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heet12" sheetId="2" r:id="rId6"/>
    <sheet state="visible" name="Sheet3" sheetId="3" r:id="rId7"/>
    <sheet state="visible" name="Sheet4" sheetId="4" r:id="rId8"/>
    <sheet state="visible" name="Data Clean" sheetId="5" r:id="rId9"/>
    <sheet state="visible" name="8 Negative Values (Live)" sheetId="6" r:id="rId10"/>
    <sheet state="visible" name="8 Negative Values" sheetId="7" r:id="rId11"/>
    <sheet state="visible" name="10 Missing Value (Live)" sheetId="8" r:id="rId12"/>
    <sheet state="visible" name="10 Missing Value" sheetId="9" r:id="rId13"/>
    <sheet state="visible" name="6 Future Dates (Live)" sheetId="10" r:id="rId14"/>
    <sheet state="visible" name="6 Future Dates" sheetId="11" r:id="rId15"/>
    <sheet state="visible" name="12 Duplicates (Live)" sheetId="12" r:id="rId16"/>
    <sheet state="visible" name="12 Duplicates" sheetId="13" r:id="rId17"/>
    <sheet state="visible" name="Data Clean (Live)" sheetId="14" r:id="rId18"/>
    <sheet state="visible" name="Pivot Table 3" sheetId="15" r:id="rId19"/>
    <sheet state="visible" name="Exploration" sheetId="16" r:id="rId20"/>
  </sheets>
  <definedNames>
    <definedName hidden="1" localSheetId="1" name="_xlnm._FilterDatabase">Sheet12!$A$1:$K$313</definedName>
    <definedName hidden="1" localSheetId="2" name="_xlnm._FilterDatabase">Sheet3!$A$1:$K$313</definedName>
    <definedName hidden="1" localSheetId="3" name="_xlnm._FilterDatabase">Sheet4!$A$1:$K$302</definedName>
    <definedName hidden="1" localSheetId="4" name="_xlnm._FilterDatabase">'Data Clean'!$A$1:$L$283</definedName>
    <definedName hidden="1" localSheetId="5" name="_xlnm._FilterDatabase">'8 Negative Values (Live)'!$A$1:$K$313</definedName>
    <definedName hidden="1" localSheetId="6" name="_xlnm._FilterDatabase">'8 Negative Values'!$A$1:$K$313</definedName>
    <definedName hidden="1" localSheetId="8" name="_xlnm._FilterDatabase">'10 Missing Value'!$A$1:$K$313</definedName>
    <definedName hidden="1" localSheetId="9" name="_xlnm._FilterDatabase">'6 Future Dates (Live)'!$A$1:$K$313</definedName>
    <definedName hidden="1" localSheetId="10" name="_xlnm._FilterDatabase">'6 Future Dates'!$A$1:$K$313</definedName>
  </definedNames>
  <calcPr/>
  <pivotCaches>
    <pivotCache cacheId="0" r:id="rId21"/>
    <pivotCache cacheId="1" r:id="rId22"/>
  </pivotCaches>
</workbook>
</file>

<file path=xl/sharedStrings.xml><?xml version="1.0" encoding="utf-8"?>
<sst xmlns="http://schemas.openxmlformats.org/spreadsheetml/2006/main" count="17666" uniqueCount="112">
  <si>
    <t>SKU</t>
  </si>
  <si>
    <t>ProductName</t>
  </si>
  <si>
    <t>Category</t>
  </si>
  <si>
    <t>CurrentStock</t>
  </si>
  <si>
    <t>ReorderPoint</t>
  </si>
  <si>
    <t>DailySalesAvg</t>
  </si>
  <si>
    <t>LeadTime</t>
  </si>
  <si>
    <t>SupplierID</t>
  </si>
  <si>
    <t>LastRestockDate</t>
  </si>
  <si>
    <t>UnitPrice</t>
  </si>
  <si>
    <t>SnapshotDate</t>
  </si>
  <si>
    <t>SKU-016</t>
  </si>
  <si>
    <t>Parfum EDT Brasov 100ml</t>
  </si>
  <si>
    <t>Beauty</t>
  </si>
  <si>
    <t>SUP_BT02</t>
  </si>
  <si>
    <t>SKU-001</t>
  </si>
  <si>
    <t>Laptop ASUS Vivobook</t>
  </si>
  <si>
    <t>Electronics</t>
  </si>
  <si>
    <t>SUP_EL01</t>
  </si>
  <si>
    <t>SKU-004</t>
  </si>
  <si>
    <t>Smartwatch Xiaomi Band</t>
  </si>
  <si>
    <t>SKU-005</t>
  </si>
  <si>
    <t>Kemeja Formal Pria</t>
  </si>
  <si>
    <t>Fashion</t>
  </si>
  <si>
    <t>SUP_FA01</t>
  </si>
  <si>
    <t>SKU-002</t>
  </si>
  <si>
    <t>Smartphone Samsung A54</t>
  </si>
  <si>
    <t>SUP_EL02</t>
  </si>
  <si>
    <t>SKU-007</t>
  </si>
  <si>
    <t>Sepatu Sneakers Nike</t>
  </si>
  <si>
    <t>SUP_FA02</t>
  </si>
  <si>
    <t>SKU-013</t>
  </si>
  <si>
    <t>Skincare Set Whitelab</t>
  </si>
  <si>
    <t>SUP_BT01</t>
  </si>
  <si>
    <t>SKU-018</t>
  </si>
  <si>
    <t>Teh Organik Premium Box</t>
  </si>
  <si>
    <t>Food &amp; Beverage</t>
  </si>
  <si>
    <t>SUP_FB01</t>
  </si>
  <si>
    <t>SKU-006</t>
  </si>
  <si>
    <t>Dress Casual Wanita</t>
  </si>
  <si>
    <t>SKU-011</t>
  </si>
  <si>
    <t>Vacuum Cleaner Deerma</t>
  </si>
  <si>
    <t>Home &amp; Living</t>
  </si>
  <si>
    <t>SUP_HM02</t>
  </si>
  <si>
    <t>SKU-012</t>
  </si>
  <si>
    <t>Kipas Angin Cosmos 16in</t>
  </si>
  <si>
    <t>SKU-008</t>
  </si>
  <si>
    <t>Tas Ransel Eiger</t>
  </si>
  <si>
    <t>SKU-020</t>
  </si>
  <si>
    <t>Snack Granola Mix 500g</t>
  </si>
  <si>
    <t>SUP_FB02</t>
  </si>
  <si>
    <t>SKU-019</t>
  </si>
  <si>
    <t>Madu Hutan Asli 500ml</t>
  </si>
  <si>
    <t>SKU-015</t>
  </si>
  <si>
    <t>Foundation Maybelline Fit</t>
  </si>
  <si>
    <t>SKU-017</t>
  </si>
  <si>
    <t>Kopi Arabika 250g Pack</t>
  </si>
  <si>
    <t>SKU-010</t>
  </si>
  <si>
    <t>Rice Cooker Miyako 1.8L</t>
  </si>
  <si>
    <t>SUP_HM01</t>
  </si>
  <si>
    <t>SKU-003</t>
  </si>
  <si>
    <t>Headphone Sony WH-1000</t>
  </si>
  <si>
    <t>SKU-014</t>
  </si>
  <si>
    <t>Lipstik Matte Wardah</t>
  </si>
  <si>
    <t>SKU-009</t>
  </si>
  <si>
    <t>Blender Philips HR2157</t>
  </si>
  <si>
    <t>Stockout</t>
  </si>
  <si>
    <t>Duplikat</t>
  </si>
  <si>
    <t>Product</t>
  </si>
  <si>
    <t>Avg Demand</t>
  </si>
  <si>
    <t xml:space="preserve">Number of Event </t>
  </si>
  <si>
    <t>StockOuts</t>
  </si>
  <si>
    <t>StockOut (%)</t>
  </si>
  <si>
    <t>Avg Reorder Point</t>
  </si>
  <si>
    <t>Avg LeadTime</t>
  </si>
  <si>
    <t>Produk</t>
  </si>
  <si>
    <t>Stockout Rate</t>
  </si>
  <si>
    <t>QUERY(A2:I21, 
"SELECT * #Pilih semua data
WHERE G &gt; 0.8 #Filter dong
ORDER BY G DESC, F DESC #Mengurutkan
", 0)</t>
  </si>
  <si>
    <t>Demand/Hari</t>
  </si>
  <si>
    <t>Reorder Point</t>
  </si>
  <si>
    <t>Days of Stock</t>
  </si>
  <si>
    <t>Lead Time</t>
  </si>
  <si>
    <t>Assessment</t>
  </si>
  <si>
    <t>Rawan</t>
  </si>
  <si>
    <t>Aman</t>
  </si>
  <si>
    <t>AVERAGE of LeadTime</t>
  </si>
  <si>
    <t>STDEV of LeadTime</t>
  </si>
  <si>
    <t>MIN of LeadTime</t>
  </si>
  <si>
    <t>MAX of LeadTime</t>
  </si>
  <si>
    <t>Grand Total</t>
  </si>
  <si>
    <t>Supplier</t>
  </si>
  <si>
    <t>Lead Time (Avg)</t>
  </si>
  <si>
    <t>Std Dev</t>
  </si>
  <si>
    <t>Range</t>
  </si>
  <si>
    <t>Status</t>
  </si>
  <si>
    <t>7-23 hari</t>
  </si>
  <si>
    <t>UNRELIABLE</t>
  </si>
  <si>
    <t>OK</t>
  </si>
  <si>
    <t>SUM of CurrentStock</t>
  </si>
  <si>
    <t>SUM of ReorderPoint</t>
  </si>
  <si>
    <t>Avg Ratio</t>
  </si>
  <si>
    <t>Overstock</t>
  </si>
  <si>
    <t>Borderline</t>
  </si>
  <si>
    <t>Understock</t>
  </si>
  <si>
    <t>Baik</t>
  </si>
  <si>
    <t>Stock</t>
  </si>
  <si>
    <t>Reorder Pt.</t>
  </si>
  <si>
    <t>Ratio</t>
  </si>
  <si>
    <t>Harga</t>
  </si>
  <si>
    <t>Nilai Tertahan</t>
  </si>
  <si>
    <t>Total Modal Tertahan di Beauty</t>
  </si>
  <si>
    <t>Kategori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</si>
</sst>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#,##0.0"/>
    <numFmt numFmtId="166" formatCode="0.0"/>
    <numFmt numFmtId="167" formatCode="M/d/yyyy"/>
    <numFmt numFmtId="168" formatCode="[$Rp]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3" xfId="0" applyFont="1" applyNumberFormat="1"/>
    <xf borderId="0" fillId="0" fontId="1" numFmtId="10" xfId="0" applyFont="1" applyNumberFormat="1"/>
    <xf borderId="0" fillId="0" fontId="1" numFmtId="2" xfId="0" applyFont="1" applyNumberFormat="1"/>
    <xf borderId="0" fillId="0" fontId="1" numFmtId="0" xfId="0" applyAlignment="1" applyFont="1">
      <alignment horizontal="right"/>
    </xf>
    <xf borderId="0" fillId="0" fontId="1" numFmtId="165" xfId="0" applyAlignment="1" applyFont="1" applyNumberFormat="1">
      <alignment horizontal="right"/>
    </xf>
    <xf borderId="0" fillId="0" fontId="1" numFmtId="2" xfId="0" applyAlignment="1" applyFont="1" applyNumberFormat="1">
      <alignment horizontal="right"/>
    </xf>
    <xf borderId="0" fillId="2" fontId="1" numFmtId="0" xfId="0" applyFill="1" applyFont="1"/>
    <xf borderId="0" fillId="0" fontId="1" numFmtId="0" xfId="0" applyAlignment="1" applyFont="1">
      <alignment shrinkToFit="0" wrapText="1"/>
    </xf>
    <xf borderId="0" fillId="0" fontId="1" numFmtId="166" xfId="0" applyFont="1" applyNumberFormat="1"/>
    <xf borderId="0" fillId="0" fontId="1" numFmtId="1" xfId="0" applyFont="1" applyNumberFormat="1"/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167" xfId="0" applyFont="1" applyNumberFormat="1"/>
    <xf borderId="0" fillId="0" fontId="1" numFmtId="168" xfId="0" applyFont="1" applyNumberFormat="1"/>
    <xf borderId="0" fillId="0" fontId="1" numFmtId="4" xfId="0" applyFont="1" applyNumberFormat="1"/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horizontal="right"/>
    </xf>
    <xf borderId="0" fillId="3" fontId="1" numFmtId="0" xfId="0" applyFill="1" applyFont="1"/>
    <xf borderId="0" fillId="3" fontId="1" numFmtId="165" xfId="0" applyFont="1" applyNumberFormat="1"/>
    <xf borderId="0" fillId="3" fontId="2" numFmtId="166" xfId="0" applyAlignment="1" applyFont="1" applyNumberFormat="1">
      <alignment horizontal="right"/>
    </xf>
    <xf borderId="0" fillId="3" fontId="1" numFmtId="0" xfId="0" applyAlignment="1" applyFont="1">
      <alignment horizontal="right"/>
    </xf>
    <xf borderId="0" fillId="3" fontId="1" numFmtId="0" xfId="0" applyAlignment="1" applyFont="1">
      <alignment readingOrder="0"/>
    </xf>
    <xf borderId="0" fillId="2" fontId="1" numFmtId="165" xfId="0" applyFont="1" applyNumberFormat="1"/>
    <xf borderId="0" fillId="2" fontId="1" numFmtId="3" xfId="0" applyFont="1" applyNumberFormat="1"/>
    <xf borderId="0" fillId="2" fontId="1" numFmtId="10" xfId="0" applyFont="1" applyNumberFormat="1"/>
    <xf borderId="0" fillId="2" fontId="1" numFmtId="2" xfId="0" applyFont="1" applyNumberFormat="1"/>
    <xf borderId="0" fillId="0" fontId="2" numFmtId="0" xfId="0" applyAlignment="1" applyFont="1">
      <alignment horizontal="center" readingOrder="0"/>
    </xf>
    <xf borderId="0" fillId="0" fontId="1" numFmtId="168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2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1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77" sheet="Data Clean (Live)"/>
  </cacheSource>
  <cacheFields>
    <cacheField name="SKU" numFmtId="0">
      <sharedItems>
        <s v="SKU-016"/>
        <s v="SKU-001"/>
        <s v="SKU-004"/>
        <s v="SKU-005"/>
        <s v="SKU-002"/>
        <s v="SKU-007"/>
        <s v="SKU-013"/>
        <s v="SKU-018"/>
        <s v="SKU-012"/>
        <s v="SKU-008"/>
        <s v="SKU-020"/>
        <s v="SKU-019"/>
        <s v="SKU-015"/>
        <s v="SKU-017"/>
        <s v="SKU-006"/>
        <s v="SKU-010"/>
        <s v="SKU-014"/>
        <s v="SKU-003"/>
        <s v="SKU-009"/>
        <s v="SKU-011"/>
      </sharedItems>
    </cacheField>
    <cacheField name="ProductName" numFmtId="0">
      <sharedItems>
        <s v="Parfum EDT Brasov 100ml"/>
        <s v="Laptop ASUS Vivobook"/>
        <s v="Smartwatch Xiaomi Band"/>
        <s v="Kemeja Formal Pria"/>
        <s v="Smartphone Samsung A54"/>
        <s v="Sepatu Sneakers Nike"/>
        <s v="Skincare Set Whitelab"/>
        <s v="Teh Organik Premium Box"/>
        <s v="Kipas Angin Cosmos 16in"/>
        <s v="Tas Ransel Eiger"/>
        <s v="Snack Granola Mix 500g"/>
        <s v="Madu Hutan Asli 500ml"/>
        <s v="Foundation Maybelline Fit"/>
        <s v="Kopi Arabika 250g Pack"/>
        <s v="Dress Casual Wanita"/>
        <s v="Rice Cooker Miyako 1.8L"/>
        <s v="Lipstik Matte Wardah"/>
        <s v="Headphone Sony WH-1000"/>
        <s v="Blender Philips HR2157"/>
        <s v="Vacuum Cleaner Deerma"/>
      </sharedItems>
    </cacheField>
    <cacheField name="Category" numFmtId="0">
      <sharedItems>
        <s v="Beauty"/>
        <s v="Electronics"/>
        <s v="Fashion"/>
        <s v="Food &amp; Beverage"/>
        <s v="Home &amp; Living"/>
      </sharedItems>
    </cacheField>
    <cacheField name="CurrentStock" numFmtId="0">
      <sharedItems containsSemiMixedTypes="0" containsString="0" containsNumber="1" containsInteger="1">
        <n v="271.0"/>
        <n v="21.0"/>
        <n v="30.0"/>
        <n v="25.0"/>
        <n v="0.0"/>
        <n v="220.0"/>
        <n v="28.0"/>
        <n v="24.0"/>
        <n v="54.0"/>
        <n v="41.0"/>
        <n v="33.0"/>
        <n v="26.0"/>
        <n v="49.0"/>
        <n v="14.0"/>
        <n v="191.0"/>
        <n v="23.0"/>
        <n v="50.0"/>
        <n v="42.0"/>
        <n v="31.0"/>
        <n v="38.0"/>
        <n v="217.0"/>
        <n v="11.0"/>
        <n v="36.0"/>
        <n v="375.0"/>
        <n v="22.0"/>
        <n v="59.0"/>
        <n v="2.0"/>
        <n v="184.0"/>
        <n v="19.0"/>
        <n v="268.0"/>
        <n v="27.0"/>
        <n v="35.0"/>
        <n v="40.0"/>
        <n v="29.0"/>
        <n v="91.0"/>
        <n v="299.0"/>
        <n v="392.0"/>
        <n v="198.0"/>
        <n v="238.0"/>
        <n v="44.0"/>
        <n v="468.0"/>
        <n v="16.0"/>
        <n v="320.0"/>
        <n v="34.0"/>
        <n v="60.0"/>
        <n v="1.0"/>
        <n v="177.0"/>
        <n v="17.0"/>
        <n v="301.0"/>
        <n v="51.0"/>
        <n v="223.0"/>
        <n v="10.0"/>
        <n v="436.0"/>
        <n v="20.0"/>
        <n v="169.0"/>
        <n v="15.0"/>
        <n v="48.0"/>
        <n v="53.0"/>
        <n v="12.0"/>
        <n v="250.0"/>
        <n v="32.0"/>
        <n v="3.0"/>
        <n v="221.0"/>
        <n v="185.0"/>
        <n v="154.0"/>
        <n v="18.0"/>
        <n v="13.0"/>
        <n v="9.0"/>
        <n v="202.0"/>
        <n v="252.0"/>
        <n v="153.0"/>
        <n v="255.0"/>
        <n v="168.0"/>
        <n v="58.0"/>
        <n v="87.0"/>
        <n v="139.0"/>
        <n v="230.0"/>
        <n v="305.0"/>
        <n v="56.0"/>
        <n v="92.0"/>
        <n v="39.0"/>
        <n v="261.0"/>
        <n v="188.0"/>
        <n v="43.0"/>
        <n v="472.0"/>
        <n v="57.0"/>
        <n v="216.0"/>
        <n v="157.0"/>
        <n v="150.0"/>
        <n v="7.0"/>
        <n v="427.0"/>
        <n v="72.0"/>
        <n v="246.0"/>
        <n v="64.0"/>
        <n v="37.0"/>
        <n v="52.0"/>
        <n v="47.0"/>
        <n v="292.0"/>
        <n v="68.0"/>
        <n v="172.0"/>
        <n v="205.0"/>
        <n v="302.0"/>
        <n v="386.0"/>
        <n v="186.0"/>
        <n v="264.0"/>
        <n v="46.0"/>
        <n v="145.0"/>
        <n v="125.0"/>
        <n v="160.0"/>
        <n v="45.0"/>
        <n v="290.0"/>
        <n v="127.0"/>
        <n v="170.0"/>
        <n v="273.0"/>
        <n v="5.0"/>
        <n v="129.0"/>
      </sharedItems>
    </cacheField>
    <cacheField name="ReorderPoint" numFmtId="0">
      <sharedItems containsSemiMixedTypes="0" containsString="0" containsNumber="1" containsInteger="1">
        <n v="50.0"/>
        <n v="15.0"/>
        <n v="30.0"/>
        <n v="25.0"/>
        <n v="35.0"/>
        <n v="40.0"/>
        <n v="80.0"/>
        <n v="120.0"/>
        <n v="60.0"/>
        <n v="100.0"/>
        <n v="45.0"/>
        <n v="20.0"/>
      </sharedItems>
    </cacheField>
    <cacheField name="DailySalesAvg" numFmtId="0">
      <sharedItems containsSemiMixedTypes="0" containsString="0" containsNumber="1" containsInteger="1">
        <n v="2.0"/>
        <n v="4.0"/>
        <n v="6.0"/>
        <n v="7.0"/>
        <n v="11.0"/>
        <n v="8.0"/>
        <n v="3.0"/>
        <n v="18.0"/>
        <n v="27.0"/>
        <n v="13.0"/>
        <n v="24.0"/>
        <n v="17.0"/>
        <n v="1.0"/>
        <n v="28.0"/>
        <n v="5.0"/>
        <n v="10.0"/>
        <n v="14.0"/>
        <n v="9.0"/>
        <n v="16.0"/>
        <n v="12.0"/>
        <n v="19.0"/>
        <n v="15.0"/>
        <n v="21.0"/>
        <n v="22.0"/>
      </sharedItems>
    </cacheField>
    <cacheField name="LeadTime" numFmtId="0">
      <sharedItems containsSemiMixedTypes="0" containsString="0" containsNumber="1" containsInteger="1">
        <n v="4.0"/>
        <n v="5.0"/>
        <n v="7.0"/>
        <n v="3.0"/>
        <n v="21.0"/>
        <n v="6.0"/>
        <n v="8.0"/>
        <n v="10.0"/>
        <n v="9.0"/>
        <n v="14.0"/>
        <n v="20.0"/>
        <n v="11.0"/>
        <n v="19.0"/>
        <n v="18.0"/>
        <n v="23.0"/>
        <n v="12.0"/>
        <n v="15.0"/>
        <n v="13.0"/>
        <n v="17.0"/>
        <n v="16.0"/>
      </sharedItems>
    </cacheField>
    <cacheField name="SupplierID" numFmtId="0">
      <sharedItems>
        <s v="SUP_BT02"/>
        <s v="SUP_EL01"/>
        <s v="SUP_FA01"/>
        <s v="SUP_EL02"/>
        <s v="SUP_FA02"/>
        <s v="SUP_BT01"/>
        <s v="SUP_FB01"/>
        <s v="SUP_HM02"/>
        <s v="SUP_FB02"/>
        <s v="SUP_HM01"/>
      </sharedItems>
    </cacheField>
    <cacheField name="LastRestockDate" numFmtId="164">
      <sharedItems containsSemiMixedTypes="0" containsDate="1" containsString="0">
        <d v="2025-04-01T00:00:00Z"/>
        <d v="2025-10-12T00:00:00Z"/>
        <d v="2026-01-07T00:00:00Z"/>
        <d v="2025-01-31T00:00:00Z"/>
        <d v="2025-11-17T00:00:00Z"/>
        <d v="2025-04-02T00:00:00Z"/>
        <d v="2025-04-27T00:00:00Z"/>
        <d v="2025-06-23T00:00:00Z"/>
        <d v="2025-06-04T00:00:00Z"/>
        <d v="2025-02-07T00:00:00Z"/>
        <d v="2025-11-22T00:00:00Z"/>
        <d v="2025-04-14T00:00:00Z"/>
        <d v="2025-09-30T00:00:00Z"/>
        <d v="2025-08-09T00:00:00Z"/>
        <d v="2025-06-08T00:00:00Z"/>
        <d v="2025-01-12T00:00:00Z"/>
        <d v="2025-12-19T00:00:00Z"/>
        <d v="2026-02-09T00:00:00Z"/>
        <d v="2025-12-13T00:00:00Z"/>
        <d v="2025-10-14T00:00:00Z"/>
        <d v="2025-03-31T00:00:00Z"/>
        <d v="2025-02-09T00:00:00Z"/>
        <d v="2025-09-20T00:00:00Z"/>
        <d v="2026-02-25T00:00:00Z"/>
        <d v="2025-08-11T00:00:00Z"/>
        <d v="2025-07-26T00:00:00Z"/>
        <d v="2026-03-30T00:00:00Z"/>
        <d v="2025-04-07T00:00:00Z"/>
        <d v="2025-08-14T00:00:00Z"/>
        <d v="2025-03-09T00:00:00Z"/>
        <d v="2025-03-21T00:00:00Z"/>
        <d v="2025-01-13T00:00:00Z"/>
        <d v="2025-03-06T00:00:00Z"/>
        <d v="2025-12-09T00:00:00Z"/>
        <d v="2026-01-26T00:00:00Z"/>
        <d v="2025-10-20T00:00:00Z"/>
        <d v="2025-01-25T00:00:00Z"/>
        <d v="2025-05-05T00:00:00Z"/>
        <d v="2026-03-18T00:00:00Z"/>
        <d v="2025-07-19T00:00:00Z"/>
        <d v="2026-02-17T00:00:00Z"/>
        <d v="2025-12-27T00:00:00Z"/>
        <d v="2025-01-28T00:00:00Z"/>
        <d v="2026-03-14T00:00:00Z"/>
        <d v="2025-10-29T00:00:00Z"/>
        <d v="2025-06-18T00:00:00Z"/>
        <d v="2025-08-23T00:00:00Z"/>
        <d v="2025-03-08T00:00:00Z"/>
        <d v="2025-04-09T00:00:00Z"/>
        <d v="2025-02-13T00:00:00Z"/>
        <d v="2025-02-24T00:00:00Z"/>
        <d v="2025-01-14T00:00:00Z"/>
        <d v="2025-05-22T00:00:00Z"/>
        <d v="2025-10-26T00:00:00Z"/>
        <d v="2025-07-01T00:00:00Z"/>
        <d v="2026-02-26T00:00:00Z"/>
        <d v="2025-11-21T00:00:00Z"/>
        <d v="2025-09-09T00:00:00Z"/>
        <d v="2025-04-21T00:00:00Z"/>
        <d v="2025-06-05T00:00:00Z"/>
        <d v="2026-03-02T00:00:00Z"/>
        <d v="2025-09-28T00:00:00Z"/>
        <d v="2025-07-23T00:00:00Z"/>
        <d v="2025-04-10T00:00:00Z"/>
        <d v="2025-08-12T00:00:00Z"/>
        <d v="2025-12-05T00:00:00Z"/>
        <d v="2026-03-28T00:00:00Z"/>
        <d v="2025-05-01T00:00:00Z"/>
        <d v="2025-10-06T00:00:00Z"/>
        <d v="2025-03-13T00:00:00Z"/>
        <d v="2025-04-05T00:00:00Z"/>
        <d v="2025-01-06T00:00:00Z"/>
        <d v="2026-03-27T00:00:00Z"/>
        <d v="2025-07-11T00:00:00Z"/>
        <d v="2026-02-02T00:00:00Z"/>
        <d v="2025-04-08T00:00:00Z"/>
        <d v="2025-12-22T00:00:00Z"/>
        <d v="2025-05-09T00:00:00Z"/>
        <d v="2025-03-30T00:00:00Z"/>
        <d v="2025-05-24T00:00:00Z"/>
        <d v="2025-12-17T00:00:00Z"/>
        <d v="2026-02-21T00:00:00Z"/>
        <d v="2026-01-10T00:00:00Z"/>
        <d v="2025-11-18T00:00:00Z"/>
        <d v="2025-03-14T00:00:00Z"/>
        <d v="2025-03-01T00:00:00Z"/>
        <d v="2025-08-22T00:00:00Z"/>
        <d v="2025-09-18T00:00:00Z"/>
        <d v="2026-01-28T00:00:00Z"/>
        <d v="2025-02-20T00:00:00Z"/>
        <d v="2025-06-07T00:00:00Z"/>
        <d v="2025-08-15T00:00:00Z"/>
        <d v="2025-09-15T00:00:00Z"/>
        <d v="2025-10-09T00:00:00Z"/>
        <d v="2025-02-01T00:00:00Z"/>
        <d v="2025-05-14T00:00:00Z"/>
        <d v="2025-09-19T00:00:00Z"/>
        <d v="2025-07-27T00:00:00Z"/>
        <d v="2025-07-21T00:00:00Z"/>
        <d v="2025-12-16T00:00:00Z"/>
        <d v="2025-12-24T00:00:00Z"/>
        <d v="2025-08-13T00:00:00Z"/>
        <d v="2025-03-25T00:00:00Z"/>
        <d v="2026-02-24T00:00:00Z"/>
        <d v="2025-12-28T00:00:00Z"/>
        <d v="2026-01-05T00:00:00Z"/>
        <d v="2026-03-16T00:00:00Z"/>
        <d v="2025-10-25T00:00:00Z"/>
        <d v="2025-12-10T00:00:00Z"/>
        <d v="2025-02-21T00:00:00Z"/>
        <d v="2025-10-22T00:00:00Z"/>
        <d v="2025-08-20T00:00:00Z"/>
        <d v="2026-01-22T00:00:00Z"/>
        <d v="2025-07-07T00:00:00Z"/>
        <d v="2025-03-02T00:00:00Z"/>
        <d v="2025-11-03T00:00:00Z"/>
        <d v="2025-01-16T00:00:00Z"/>
        <d v="2026-02-15T00:00:00Z"/>
        <d v="2026-03-29T00:00:00Z"/>
        <d v="2026-03-20T00:00:00Z"/>
        <d v="2025-09-10T00:00:00Z"/>
        <d v="2026-01-31T00:00:00Z"/>
        <d v="2025-08-28T00:00:00Z"/>
        <d v="2026-02-23T00:00:00Z"/>
        <d v="2025-05-10T00:00:00Z"/>
        <d v="2025-06-09T00:00:00Z"/>
        <d v="2025-01-02T00:00:00Z"/>
        <d v="2025-02-25T00:00:00Z"/>
        <d v="2025-10-19T00:00:00Z"/>
        <d v="2026-01-19T00:00:00Z"/>
        <d v="2025-06-30T00:00:00Z"/>
        <d v="2025-08-27T00:00:00Z"/>
        <d v="2025-08-31T00:00:00Z"/>
        <d v="2025-12-08T00:00:00Z"/>
        <d v="2026-03-17T00:00:00Z"/>
        <d v="2025-07-30T00:00:00Z"/>
        <d v="2025-09-05T00:00:00Z"/>
        <d v="2026-03-26T00:00:00Z"/>
        <d v="2025-06-15T00:00:00Z"/>
        <d v="2025-02-23T00:00:00Z"/>
        <d v="2025-07-16T00:00:00Z"/>
        <d v="2025-01-08T00:00:00Z"/>
        <d v="2025-10-04T00:00:00Z"/>
        <d v="2026-02-14T00:00:00Z"/>
        <d v="2025-11-12T00:00:00Z"/>
        <d v="2026-01-18T00:00:00Z"/>
        <d v="2026-01-02T00:00:00Z"/>
        <d v="2026-02-01T00:00:00Z"/>
        <d v="2025-09-29T00:00:00Z"/>
        <d v="2025-02-03T00:00:00Z"/>
        <d v="2025-11-04T00:00:00Z"/>
        <d v="2025-07-13T00:00:00Z"/>
        <d v="2025-12-03T00:00:00Z"/>
        <d v="2026-01-04T00:00:00Z"/>
        <d v="2025-05-23T00:00:00Z"/>
        <d v="2026-01-27T00:00:00Z"/>
        <d v="2025-11-09T00:00:00Z"/>
        <d v="2025-04-28T00:00:00Z"/>
        <d v="2025-09-03T00:00:00Z"/>
        <d v="2025-11-10T00:00:00Z"/>
        <d v="2025-05-18T00:00:00Z"/>
        <d v="2026-03-22T00:00:00Z"/>
        <d v="2025-10-21T00:00:00Z"/>
        <d v="2025-07-20T00:00:00Z"/>
        <d v="2025-04-15T00:00:00Z"/>
        <d v="2025-02-18T00:00:00Z"/>
        <d v="2025-07-31T00:00:00Z"/>
        <d v="2025-09-17T00:00:00Z"/>
        <d v="2025-01-15T00:00:00Z"/>
        <d v="2025-07-18T00:00:00Z"/>
        <d v="2026-01-08T00:00:00Z"/>
        <d v="2025-03-23T00:00:00Z"/>
        <d v="2025-10-03T00:00:00Z"/>
        <d v="2025-12-21T00:00:00Z"/>
        <d v="2025-05-20T00:00:00Z"/>
        <d v="2025-03-15T00:00:00Z"/>
        <d v="2025-05-07T00:00:00Z"/>
        <d v="2025-06-19T00:00:00Z"/>
        <d v="2025-07-14T00:00:00Z"/>
        <d v="2025-12-23T00:00:00Z"/>
        <d v="2026-02-04T00:00:00Z"/>
        <d v="2025-08-19T00:00:00Z"/>
        <d v="2025-01-30T00:00:00Z"/>
        <d v="2025-02-22T00:00:00Z"/>
        <d v="2025-05-26T00:00:00Z"/>
        <d v="2025-11-23T00:00:00Z"/>
        <d v="2025-09-24T00:00:00Z"/>
        <d v="2025-08-16T00:00:00Z"/>
        <d v="2026-03-11T00:00:00Z"/>
        <d v="2025-10-30T00:00:00Z"/>
        <d v="2025-10-15T00:00:00Z"/>
        <d v="2025-08-18T00:00:00Z"/>
        <d v="2025-11-30T00:00:00Z"/>
        <d v="2026-01-12T00:00:00Z"/>
        <d v="2025-07-24T00:00:00Z"/>
        <d v="2025-11-07T00:00:00Z"/>
        <d v="2025-03-29T00:00:00Z"/>
        <d v="2025-11-15T00:00:00Z"/>
        <d v="2025-05-29T00:00:00Z"/>
        <d v="2025-02-05T00:00:00Z"/>
        <d v="2025-06-29T00:00:00Z"/>
        <d v="2025-09-16T00:00:00Z"/>
        <d v="2025-02-10T00:00:00Z"/>
      </sharedItems>
    </cacheField>
    <cacheField name="UnitPrice" numFmtId="0">
      <sharedItems containsSemiMixedTypes="0" containsString="0" containsNumber="1" containsInteger="1">
        <n v="125000.0"/>
        <n v="8500000.0"/>
        <n v="1200000.0"/>
        <n v="350000.0"/>
        <n v="4500000.0"/>
        <n v="1250000.0"/>
        <n v="550000.0"/>
        <n v="65000.0"/>
        <n v="55000.0"/>
        <n v="175000.0"/>
        <n v="165000.0"/>
        <n v="85000.0"/>
        <n v="450000.0"/>
        <n v="3200000.0"/>
        <n v="750000.0"/>
      </sharedItems>
    </cacheField>
    <cacheField name="SnapshotDate" numFmtId="164">
      <sharedItems containsSemiMixedTypes="0" containsDate="1" containsString="0">
        <d v="2025-04-01T00:00:00Z"/>
        <d v="2025-10-01T00:00:00Z"/>
        <d v="2026-01-01T00:00:00Z"/>
        <d v="2025-01-01T00:00:00Z"/>
        <d v="2025-11-01T00:00:00Z"/>
        <d v="2025-06-01T00:00:00Z"/>
        <d v="2025-02-01T00:00:00Z"/>
        <d v="2025-09-01T00:00:00Z"/>
        <d v="2025-08-01T00:00:00Z"/>
        <d v="2025-12-01T00:00:00Z"/>
        <d v="2026-02-01T00:00:00Z"/>
        <d v="2025-03-01T00:00:00Z"/>
        <d v="2025-07-01T00:00:00Z"/>
        <d v="2026-03-01T00:00:00Z"/>
        <d v="2025-05-01T00:00:00Z"/>
      </sharedItems>
    </cacheField>
    <cacheField name="Stockout" numFmtId="0">
      <sharedItems>
        <s v="OK"/>
        <s v="STOCKOUT"/>
      </sharedItems>
    </cacheField>
    <cacheField name="StockOuts" formula="COUNTIF(Stockout, &quot;STOCKOUT&quot;)" databaseField="0"/>
    <cacheField name="StockOut (%)" formula="COUNTIF(Stockout, &quot;STOCKOUT&quot;) / COUNTA(Stockout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83" sheet="Data Clean"/>
  </cacheSource>
  <cacheFields>
    <cacheField name="SKU" numFmtId="0">
      <sharedItems>
        <s v="SKU-001"/>
        <s v="SKU-002"/>
        <s v="SKU-003"/>
        <s v="SKU-004"/>
        <s v="SKU-005"/>
        <s v="SKU-006"/>
        <s v="SKU-007"/>
        <s v="SKU-008"/>
        <s v="SKU-009"/>
        <s v="SKU-010"/>
        <s v="SKU-011"/>
        <s v="SKU-012"/>
        <s v="SKU-013"/>
        <s v="SKU-014"/>
        <s v="SKU-015"/>
        <s v="SKU-016"/>
        <s v="SKU-017"/>
        <s v="SKU-018"/>
        <s v="SKU-019"/>
        <s v="SKU-020"/>
      </sharedItems>
    </cacheField>
    <cacheField name="ProductName" numFmtId="0">
      <sharedItems>
        <s v="Laptop ASUS Vivobook"/>
        <s v="Smartphone Samsung A54"/>
        <s v="Headphone Sony WH-1000"/>
        <s v="Smartwatch Xiaomi Band"/>
        <s v="Kemeja Formal Pria"/>
        <s v="Dress Casual Wanita"/>
        <s v="Sepatu Sneakers Nike"/>
        <s v="Tas Ransel Eiger"/>
        <s v="Blender Philips HR2157"/>
        <s v="Rice Cooker Miyako 1.8L"/>
        <s v="Vacuum Cleaner Deerma"/>
        <s v="Kipas Angin Cosmos 16in"/>
        <s v="Skincare Set Whitelab"/>
        <s v="Lipstik Matte Wardah"/>
        <s v="Foundation Maybelline Fit"/>
        <s v="Parfum EDT Brasov 100ml"/>
        <s v="Kopi Arabika 250g Pack"/>
        <s v="Teh Organik Premium Box"/>
        <s v="Madu Hutan Asli 500ml"/>
        <s v="Snack Granola Mix 500g"/>
      </sharedItems>
    </cacheField>
    <cacheField name="Category" numFmtId="0">
      <sharedItems>
        <s v="Electronics"/>
        <s v="Fashion"/>
        <s v="Home &amp; Living"/>
        <s v="Beauty"/>
        <s v="Food &amp; Beverage"/>
      </sharedItems>
    </cacheField>
    <cacheField name="CurrentStock" numFmtId="0">
      <sharedItems containsSemiMixedTypes="0" containsString="0" containsNumber="1" containsInteger="1">
        <n v="17.0"/>
        <n v="13.0"/>
        <n v="25.0"/>
        <n v="11.0"/>
        <n v="28.0"/>
        <n v="26.0"/>
        <n v="1.0"/>
        <n v="22.0"/>
        <n v="19.0"/>
        <n v="21.0"/>
        <n v="0.0"/>
        <n v="15.0"/>
        <n v="9.0"/>
        <n v="32.0"/>
        <n v="20.0"/>
        <n v="5.0"/>
        <n v="42.0"/>
        <n v="29.0"/>
        <n v="2.0"/>
        <n v="23.0"/>
        <n v="12.0"/>
        <n v="38.0"/>
        <n v="33.0"/>
        <n v="7.0"/>
        <n v="30.0"/>
        <n v="27.0"/>
        <n v="24.0"/>
        <n v="51.0"/>
        <n v="44.0"/>
        <n v="31.0"/>
        <n v="34.0"/>
        <n v="52.0"/>
        <n v="14.0"/>
        <n v="36.0"/>
        <n v="40.0"/>
        <n v="18.0"/>
        <n v="10.0"/>
        <n v="16.0"/>
        <n v="35.0"/>
        <n v="47.0"/>
        <n v="41.0"/>
        <n v="37.0"/>
        <n v="43.0"/>
        <n v="50.0"/>
        <n v="58.0"/>
        <n v="3.0"/>
        <n v="49.0"/>
        <n v="53.0"/>
        <n v="45.0"/>
        <n v="39.0"/>
        <n v="59.0"/>
        <n v="54.0"/>
        <n v="60.0"/>
        <n v="57.0"/>
        <n v="184.0"/>
        <n v="168.0"/>
        <n v="91.0"/>
        <n v="177.0"/>
        <n v="221.0"/>
        <n v="220.0"/>
        <n v="139.0"/>
        <n v="160.0"/>
        <n v="129.0"/>
        <n v="172.0"/>
        <n v="186.0"/>
        <n v="127.0"/>
        <n v="150.0"/>
        <n v="169.0"/>
        <n v="153.0"/>
        <n v="392.0"/>
        <n v="375.0"/>
        <n v="436.0"/>
        <n v="302.0"/>
        <n v="427.0"/>
        <n v="386.0"/>
        <n v="472.0"/>
        <n v="320.0"/>
        <n v="301.0"/>
        <n v="264.0"/>
        <n v="255.0"/>
        <n v="468.0"/>
        <n v="268.0"/>
        <n v="188.0"/>
        <n v="198.0"/>
        <n v="205.0"/>
        <n v="299.0"/>
        <n v="273.0"/>
        <n v="230.0"/>
        <n v="292.0"/>
        <n v="252.0"/>
        <n v="191.0"/>
        <n v="202.0"/>
        <n v="246.0"/>
        <n v="305.0"/>
        <n v="223.0"/>
        <n v="240.0"/>
        <n v="238.0"/>
        <n v="271.0"/>
        <n v="261.0"/>
        <n v="157.0"/>
        <n v="216.0"/>
        <n v="290.0"/>
        <n v="250.0"/>
        <n v="185.0"/>
        <n v="217.0"/>
        <n v="145.0"/>
        <n v="125.0"/>
        <n v="92.0"/>
        <n v="46.0"/>
        <n v="64.0"/>
        <n v="56.0"/>
        <n v="68.0"/>
        <n v="87.0"/>
        <n v="72.0"/>
        <n v="170.0"/>
        <n v="154.0"/>
        <n v="48.0"/>
      </sharedItems>
    </cacheField>
    <cacheField name="ReorderPoint" numFmtId="0">
      <sharedItems containsSemiMixedTypes="0" containsString="0" containsNumber="1" containsInteger="1">
        <n v="15.0"/>
        <n v="25.0"/>
        <n v="20.0"/>
        <n v="30.0"/>
        <n v="50.0"/>
        <n v="45.0"/>
        <n v="35.0"/>
        <n v="40.0"/>
        <n v="80.0"/>
        <n v="60.0"/>
        <n v="100.0"/>
        <n v="120.0"/>
      </sharedItems>
    </cacheField>
    <cacheField name="DailySalesAvg" numFmtId="0">
      <sharedItems containsSemiMixedTypes="0" containsString="0" containsNumber="1" containsInteger="1">
        <n v="1.0"/>
        <n v="2.0"/>
        <n v="3.0"/>
        <n v="4.0"/>
        <n v="5.0"/>
        <n v="7.0"/>
        <n v="8.0"/>
        <n v="6.0"/>
        <n v="13.0"/>
        <n v="11.0"/>
        <n v="12.0"/>
        <n v="14.0"/>
        <n v="10.0"/>
        <n v="9.0"/>
        <n v="17.0"/>
        <n v="24.0"/>
        <n v="16.0"/>
        <n v="15.0"/>
        <n v="22.0"/>
        <n v="18.0"/>
        <n v="21.0"/>
        <n v="28.0"/>
        <n v="19.0"/>
        <n v="27.0"/>
      </sharedItems>
    </cacheField>
    <cacheField name="LeadTime" numFmtId="0">
      <sharedItems containsSemiMixedTypes="0" containsString="0" containsNumber="1" containsInteger="1">
        <n v="6.0"/>
        <n v="5.0"/>
        <n v="8.0"/>
        <n v="7.0"/>
        <n v="18.0"/>
        <n v="9.0"/>
        <n v="14.0"/>
        <n v="19.0"/>
        <n v="11.0"/>
        <n v="20.0"/>
        <n v="21.0"/>
        <n v="10.0"/>
        <n v="17.0"/>
        <n v="15.0"/>
        <n v="23.0"/>
        <n v="16.0"/>
        <n v="12.0"/>
        <n v="13.0"/>
        <n v="3.0"/>
        <n v="4.0"/>
      </sharedItems>
    </cacheField>
    <cacheField name="SupplierID" numFmtId="0">
      <sharedItems>
        <s v="SUP_EL01"/>
        <s v="SUP_EL02"/>
        <s v="SUP_FA01"/>
        <s v="SUP_FA02"/>
        <s v="SUP_HM01"/>
        <s v="SUP_HM02"/>
        <s v="SUP_BT01"/>
        <s v="SUP_BT02"/>
        <s v="SUP_FB01"/>
        <s v="SUP_FB02"/>
      </sharedItems>
    </cacheField>
    <cacheField name="LastRestockDate" numFmtId="164">
      <sharedItems containsSemiMixedTypes="0" containsDate="1" containsString="0">
        <d v="2025-01-08T00:00:00Z"/>
        <d v="2025-02-22T00:00:00Z"/>
        <d v="2025-03-02T00:00:00Z"/>
        <d v="2025-04-07T00:00:00Z"/>
        <d v="2025-05-23T00:00:00Z"/>
        <d v="2025-06-08T00:00:00Z"/>
        <d v="2025-07-23T00:00:00Z"/>
        <d v="2025-08-09T00:00:00Z"/>
        <d v="2025-09-03T00:00:00Z"/>
        <d v="2025-10-12T00:00:00Z"/>
        <d v="2025-11-18T00:00:00Z"/>
        <d v="2025-12-03T00:00:00Z"/>
        <d v="2026-01-19T00:00:00Z"/>
        <d v="2026-02-02T00:00:00Z"/>
        <d v="2026-03-28T00:00:00Z"/>
        <d v="2025-01-06T00:00:00Z"/>
        <d v="2025-02-20T00:00:00Z"/>
        <d v="2025-03-06T00:00:00Z"/>
        <d v="2025-04-08T00:00:00Z"/>
        <d v="2025-05-09T00:00:00Z"/>
        <d v="2025-06-29T00:00:00Z"/>
        <d v="2025-07-24T00:00:00Z"/>
        <d v="2025-08-12T00:00:00Z"/>
        <d v="2025-09-17T00:00:00Z"/>
        <d v="2025-10-20T00:00:00Z"/>
        <d v="2025-11-17T00:00:00Z"/>
        <d v="2025-12-22T00:00:00Z"/>
        <d v="2026-01-04T00:00:00Z"/>
        <d v="2026-02-17T00:00:00Z"/>
        <d v="2025-01-12T00:00:00Z"/>
        <d v="2025-02-01T00:00:00Z"/>
        <d v="2025-03-08T00:00:00Z"/>
        <d v="2025-05-05T00:00:00Z"/>
        <d v="2025-06-09T00:00:00Z"/>
        <d v="2025-09-19T00:00:00Z"/>
        <d v="2025-10-03T00:00:00Z"/>
        <d v="2025-11-03T00:00:00Z"/>
        <d v="2026-01-26T00:00:00Z"/>
        <d v="2026-02-04T00:00:00Z"/>
        <d v="2026-03-22T00:00:00Z"/>
        <d v="2025-01-13T00:00:00Z"/>
        <d v="2025-02-07T00:00:00Z"/>
        <d v="2025-03-15T00:00:00Z"/>
        <d v="2025-04-28T00:00:00Z"/>
        <d v="2025-05-26T00:00:00Z"/>
        <d v="2025-07-30T00:00:00Z"/>
        <d v="2025-08-16T00:00:00Z"/>
        <d v="2025-09-29T00:00:00Z"/>
        <d v="2025-10-30T00:00:00Z"/>
        <d v="2025-12-05T00:00:00Z"/>
        <d v="2026-01-07T00:00:00Z"/>
        <d v="2026-03-02T00:00:00Z"/>
        <d v="2026-06-24T00:00:00Z"/>
        <d v="2026-10-26T00:00:00Z"/>
        <d v="2025-01-31T00:00:00Z"/>
        <d v="2025-02-03T00:00:00Z"/>
        <d v="2025-03-31T00:00:00Z"/>
        <d v="2025-04-02T00:00:00Z"/>
        <d v="2025-07-11T00:00:00Z"/>
        <d v="2025-08-15T00:00:00Z"/>
        <d v="2025-09-18T00:00:00Z"/>
        <d v="2025-10-09T00:00:00Z"/>
        <d v="2025-11-10T00:00:00Z"/>
        <d v="2025-12-23T00:00:00Z"/>
        <d v="2026-01-10T00:00:00Z"/>
        <d v="2026-02-09T00:00:00Z"/>
        <d v="2026-03-20T00:00:00Z"/>
        <d v="2025-02-09T00:00:00Z"/>
        <d v="2025-03-21T00:00:00Z"/>
        <d v="2025-04-21T00:00:00Z"/>
        <d v="2025-05-24T00:00:00Z"/>
        <d v="2025-06-04T00:00:00Z"/>
        <d v="2025-07-18T00:00:00Z"/>
        <d v="2025-08-14T00:00:00Z"/>
        <d v="2025-09-10T00:00:00Z"/>
        <d v="2025-10-29T00:00:00Z"/>
        <d v="2025-11-22T00:00:00Z"/>
        <d v="2025-12-24T00:00:00Z"/>
        <d v="2026-01-28T00:00:00Z"/>
        <d v="2026-02-01T00:00:00Z"/>
        <d v="2026-03-26T00:00:00Z"/>
        <d v="2025-02-13T00:00:00Z"/>
        <d v="2025-03-30T00:00:00Z"/>
        <d v="2025-04-27T00:00:00Z"/>
        <d v="2025-05-07T00:00:00Z"/>
        <d v="2025-07-21T00:00:00Z"/>
        <d v="2025-08-22T00:00:00Z"/>
        <d v="2025-10-19T00:00:00Z"/>
        <d v="2025-11-12T00:00:00Z"/>
        <d v="2025-12-17T00:00:00Z"/>
        <d v="2026-01-02T00:00:00Z"/>
        <d v="2026-03-14T00:00:00Z"/>
        <d v="2025-01-30T00:00:00Z"/>
        <d v="2025-02-10T00:00:00Z"/>
        <d v="2025-03-14T00:00:00Z"/>
        <d v="2025-04-14T00:00:00Z"/>
        <d v="2025-05-22T00:00:00Z"/>
        <d v="2025-07-01T00:00:00Z"/>
        <d v="2025-08-20T00:00:00Z"/>
        <d v="2025-09-15T00:00:00Z"/>
        <d v="2025-10-26T00:00:00Z"/>
        <d v="2025-12-27T00:00:00Z"/>
        <d v="2026-01-22T00:00:00Z"/>
        <d v="2026-05-19T00:00:00Z"/>
        <d v="2025-01-16T00:00:00Z"/>
        <d v="2025-02-05T00:00:00Z"/>
        <d v="2025-04-15T00:00:00Z"/>
        <d v="2025-06-18T00:00:00Z"/>
        <d v="2025-07-27T00:00:00Z"/>
        <d v="2025-09-09T00:00:00Z"/>
        <d v="2025-10-25T00:00:00Z"/>
        <d v="2025-11-15T00:00:00Z"/>
        <d v="2025-12-08T00:00:00Z"/>
        <d v="2026-01-05T00:00:00Z"/>
        <d v="2026-02-23T00:00:00Z"/>
        <d v="2026-03-11T00:00:00Z"/>
        <d v="2025-01-14T00:00:00Z"/>
        <d v="2025-02-23T00:00:00Z"/>
        <d v="2025-03-13T00:00:00Z"/>
        <d v="2025-07-16T00:00:00Z"/>
        <d v="2025-08-27T00:00:00Z"/>
        <d v="2025-09-20T00:00:00Z"/>
        <d v="2025-10-22T00:00:00Z"/>
        <d v="2025-11-21T00:00:00Z"/>
        <d v="2025-12-09T00:00:00Z"/>
        <d v="2026-02-25T00:00:00Z"/>
        <d v="2026-03-27T00:00:00Z"/>
        <d v="2025-02-21T00:00:00Z"/>
        <d v="2025-03-01T00:00:00Z"/>
        <d v="2025-06-07T00:00:00Z"/>
        <d v="2025-07-20T00:00:00Z"/>
        <d v="2025-08-23T00:00:00Z"/>
        <d v="2025-11-07T00:00:00Z"/>
        <d v="2026-02-26T00:00:00Z"/>
        <d v="2025-04-05T00:00:00Z"/>
        <d v="2025-06-30T00:00:00Z"/>
        <d v="2025-08-11T00:00:00Z"/>
        <d v="2025-09-30T00:00:00Z"/>
        <d v="2025-10-15T00:00:00Z"/>
        <d v="2025-12-16T00:00:00Z"/>
        <d v="2026-03-17T00:00:00Z"/>
        <d v="2025-01-25T00:00:00Z"/>
        <d v="2025-04-10T00:00:00Z"/>
        <d v="2025-05-14T00:00:00Z"/>
        <d v="2025-06-23T00:00:00Z"/>
        <d v="2025-07-07T00:00:00Z"/>
        <d v="2025-08-18T00:00:00Z"/>
        <d v="2025-09-16T00:00:00Z"/>
        <d v="2025-12-10T00:00:00Z"/>
        <d v="2026-01-18T00:00:00Z"/>
        <d v="2026-02-21T00:00:00Z"/>
        <d v="2026-03-16T00:00:00Z"/>
        <d v="2025-05-20T00:00:00Z"/>
        <d v="2025-07-14T00:00:00Z"/>
        <d v="2025-08-31T00:00:00Z"/>
        <d v="2025-10-06T00:00:00Z"/>
        <d v="2025-11-23T00:00:00Z"/>
        <d v="2026-01-08T00:00:00Z"/>
        <d v="2026-03-18T00:00:00Z"/>
        <d v="2025-01-02T00:00:00Z"/>
        <d v="2025-02-24T00:00:00Z"/>
        <d v="2025-03-23T00:00:00Z"/>
        <d v="2025-04-09T00:00:00Z"/>
        <d v="2025-05-29T00:00:00Z"/>
        <d v="2025-07-31T00:00:00Z"/>
        <d v="2025-08-19T00:00:00Z"/>
        <d v="2025-10-14T00:00:00Z"/>
        <d v="2025-12-28T00:00:00Z"/>
        <d v="2026-01-27T00:00:00Z"/>
        <d v="2026-02-15T00:00:00Z"/>
        <d v="2026-06-14T00:00:00Z"/>
        <d v="2025-02-25T00:00:00Z"/>
        <d v="2025-04-01T00:00:00Z"/>
        <d v="2025-05-10T00:00:00Z"/>
        <d v="2025-06-15T00:00:00Z"/>
        <d v="2025-09-05T00:00:00Z"/>
        <d v="2025-11-30T00:00:00Z"/>
        <d v="2026-03-30T00:00:00Z"/>
        <d v="2026-10-22T00:00:00Z"/>
        <d v="2025-01-28T00:00:00Z"/>
        <d v="2025-05-01T00:00:00Z"/>
        <d v="2025-06-05T00:00:00Z"/>
        <d v="2025-07-13T00:00:00Z"/>
        <d v="2025-08-28T00:00:00Z"/>
        <d v="2025-09-28T00:00:00Z"/>
        <d v="2025-10-21T00:00:00Z"/>
        <d v="2025-11-04T00:00:00Z"/>
        <d v="2026-01-12T00:00:00Z"/>
        <d v="2025-03-29T00:00:00Z"/>
        <d v="2025-07-19T00:00:00Z"/>
        <d v="2025-08-13T00:00:00Z"/>
        <d v="2025-09-24T00:00:00Z"/>
        <d v="2025-11-09T00:00:00Z"/>
        <d v="2025-12-21T00:00:00Z"/>
        <d v="2026-02-24T00:00:00Z"/>
        <d v="2026-03-29T00:00:00Z"/>
        <d v="2025-03-25T00:00:00Z"/>
        <d v="2025-05-18T00:00:00Z"/>
        <d v="2025-06-19T00:00:00Z"/>
        <d v="2025-10-04T00:00:00Z"/>
        <d v="2025-12-13T00:00:00Z"/>
        <d v="2026-02-14T00:00:00Z"/>
        <d v="2026-07-18T00:00:00Z"/>
        <d v="2025-01-15T00:00:00Z"/>
        <d v="2025-02-18T00:00:00Z"/>
        <d v="2025-03-09T00:00:00Z"/>
        <d v="2025-07-26T00:00:00Z"/>
        <d v="2025-12-19T00:00:00Z"/>
        <d v="2026-01-31T00:00:00Z"/>
      </sharedItems>
    </cacheField>
    <cacheField name="UnitPrice" numFmtId="0">
      <sharedItems containsSemiMixedTypes="0" containsString="0" containsNumber="1" containsInteger="1">
        <n v="8500000.0"/>
        <n v="4500000.0"/>
        <n v="3200000.0"/>
        <n v="1200000.0"/>
        <n v="350000.0"/>
        <n v="450000.0"/>
        <n v="1250000.0"/>
        <n v="550000.0"/>
        <n v="750000.0"/>
        <n v="85000.0"/>
        <n v="165000.0"/>
        <n v="125000.0"/>
        <n v="65000.0"/>
        <n v="175000.0"/>
        <n v="55000.0"/>
      </sharedItems>
    </cacheField>
    <cacheField name="SnapshotDate" numFmtId="164">
      <sharedItems containsSemiMixedTypes="0" containsDate="1" containsString="0"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</sharedItems>
    </cacheField>
    <cacheField name="Stockout" numFmtId="0">
      <sharedItems>
        <s v="OK"/>
        <s v="STOCKOUT"/>
      </sharedItems>
    </cacheField>
    <cacheField name="StockOuts" formula="COUNTIF(Stockout, &quot;STOCKOUT&quot;)" databaseField="0"/>
    <cacheField name="StockOut (%)" formula="COUNTIF(Stockout, &quot;STOCKOUT&quot;) / COUNTA(Stockout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rowGrandTotals="0" compact="0" compactData="0">
  <location ref="A1:I21" firstHeaderRow="0" firstDataRow="4" firstDataCol="0"/>
  <pivotFields>
    <pivotField name="SKU" axis="axisRow" compact="0" outline="0" multipleItemSelectionAllowed="1" showAll="0" sortType="ascending" defaultSubtotal="0">
      <items>
        <item x="1"/>
        <item x="4"/>
        <item x="17"/>
        <item x="2"/>
        <item x="3"/>
        <item x="14"/>
        <item x="5"/>
        <item x="9"/>
        <item x="18"/>
        <item x="15"/>
        <item x="19"/>
        <item x="8"/>
        <item x="6"/>
        <item x="16"/>
        <item x="12"/>
        <item x="0"/>
        <item x="13"/>
        <item x="7"/>
        <item x="11"/>
        <item x="10"/>
      </items>
    </pivotField>
    <pivotField name="Product" axis="axisRow" compact="0" outline="0" multipleItemSelectionAllowed="1" showAll="0" sortType="ascending" defaultSubtotal="0">
      <items>
        <item x="18"/>
        <item x="14"/>
        <item x="12"/>
        <item x="17"/>
        <item x="3"/>
        <item x="8"/>
        <item x="13"/>
        <item x="1"/>
        <item x="16"/>
        <item x="11"/>
        <item x="0"/>
        <item x="15"/>
        <item x="5"/>
        <item x="6"/>
        <item x="4"/>
        <item x="2"/>
        <item x="10"/>
        <item x="9"/>
        <item x="7"/>
        <item x="19"/>
      </items>
    </pivotField>
    <pivotField name="Category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Current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ReorderPo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ilySalesAv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ead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uppli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Restock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napsho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ockout" dataField="1" compact="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  <field x="1"/>
    <field x="2"/>
  </rowFields>
  <colFields>
    <field x="-2"/>
  </colFields>
  <dataFields>
    <dataField name="Avg Demand" fld="5" subtotal="average" baseField="0"/>
    <dataField name="Number of Event " fld="11" subtotal="count" baseField="0"/>
    <dataField name="SUM of StockOuts" fld="12" baseField="0"/>
    <dataField name="SUM of StockOut (%)" fld="13" baseField="0"/>
    <dataField name="Avg Reorder Point" fld="4" subtotal="average" baseField="0"/>
    <dataField name="Avg LeadTime" fld="6" subtotal="average" baseField="0"/>
  </dataFields>
</pivotTableDefinition>
</file>

<file path=xl/pivotTables/pivotTable2.xml><?xml version="1.0" encoding="utf-8"?>
<pivotTableDefinition xmlns="http://schemas.openxmlformats.org/spreadsheetml/2006/main" name="Pivot Table 3 2" cacheId="0" dataCaption="" compact="0" compactData="0">
  <location ref="A31:E42" firstHeaderRow="0" firstDataRow="2" firstDataCol="0"/>
  <pivotFields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rrent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ReorderPo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ilySales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ead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upplierID" axis="axisRow" compact="0" outline="0" multipleItemSelectionAllowed="1" showAll="0" sortType="ascending">
      <items>
        <item x="5"/>
        <item x="0"/>
        <item x="1"/>
        <item x="3"/>
        <item x="2"/>
        <item x="4"/>
        <item x="6"/>
        <item x="8"/>
        <item x="9"/>
        <item x="7"/>
        <item t="default"/>
      </items>
    </pivotField>
    <pivotField name="LastRestock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napsho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ockout" compact="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7"/>
  </rowFields>
  <colFields>
    <field x="-2"/>
  </colFields>
  <dataFields>
    <dataField name="AVERAGE of LeadTime" fld="6" subtotal="average" baseField="0"/>
    <dataField name="STDEV of LeadTime" fld="6" subtotal="stdDev" baseField="0"/>
    <dataField name="MIN of LeadTime" fld="6" subtotal="min" baseField="0"/>
    <dataField name="MAX of LeadTime" fld="6" subtotal="max" baseField="0"/>
  </dataFields>
</pivotTableDefinition>
</file>

<file path=xl/pivotTables/pivotTable3.xml><?xml version="1.0" encoding="utf-8"?>
<pivotTableDefinition xmlns="http://schemas.openxmlformats.org/spreadsheetml/2006/main" name="Pivot Table 3 3" cacheId="0" dataCaption="" rowGrandTotals="0" compact="0" compactData="0">
  <location ref="A69:C74" firstHeaderRow="0" firstDataRow="2" firstDataCol="0"/>
  <pivotFields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Current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ReorderPo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ilySales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ead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uppli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Restock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napsho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ockout" compact="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SUM of CurrentStock" fld="3" baseField="0"/>
    <dataField name="SUM of ReorderPoint" fld="4" baseField="0"/>
  </dataFields>
</pivotTableDefinition>
</file>

<file path=xl/pivotTables/pivotTable4.xml><?xml version="1.0" encoding="utf-8"?>
<pivotTableDefinition xmlns="http://schemas.openxmlformats.org/spreadsheetml/2006/main" name="Pivot Table 3 4" cacheId="0" dataCaption="" rowGrandTotals="0" compact="0" compactData="0">
  <location ref="A82:D86" firstHeaderRow="0" firstDataRow="3" firstDataCol="0" rowPageCount="1" colPageCount="1"/>
  <pivotFields>
    <pivotField name="SKU" axis="axisRow" compact="0" outline="0" multipleItemSelectionAllowed="1" showAll="0" sortType="ascending" defaultSubtotal="0">
      <items>
        <item x="1"/>
        <item x="4"/>
        <item x="17"/>
        <item x="2"/>
        <item x="3"/>
        <item x="14"/>
        <item x="5"/>
        <item x="9"/>
        <item x="18"/>
        <item x="15"/>
        <item x="19"/>
        <item x="8"/>
        <item x="6"/>
        <item x="16"/>
        <item x="12"/>
        <item x="0"/>
        <item x="13"/>
        <item x="7"/>
        <item x="11"/>
        <item x="10"/>
      </items>
    </pivotField>
    <pivotField name="ProductName" axis="axisRow" compact="0" outline="0" multipleItemSelectionAllowed="1" showAll="0" sortType="ascending">
      <items>
        <item x="18"/>
        <item x="14"/>
        <item x="12"/>
        <item x="17"/>
        <item x="3"/>
        <item x="8"/>
        <item x="13"/>
        <item x="1"/>
        <item x="16"/>
        <item x="11"/>
        <item x="0"/>
        <item x="15"/>
        <item x="5"/>
        <item x="6"/>
        <item x="4"/>
        <item x="2"/>
        <item x="10"/>
        <item x="9"/>
        <item x="7"/>
        <item x="19"/>
        <item t="default"/>
      </items>
    </pivotField>
    <pivotField name="Category" axis="axisPage" compact="0" outline="0" multipleItemSelectionAllowed="1" showAll="0">
      <items>
        <item x="0"/>
        <item h="1" x="1"/>
        <item h="1" x="2"/>
        <item h="1" x="3"/>
        <item h="1" x="4"/>
        <item t="default"/>
      </items>
    </pivotField>
    <pivotField name="Current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ReorderPo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ilySales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ead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uppli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Restock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napsho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ockout" compact="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  <field x="1"/>
  </rowFields>
  <colFields>
    <field x="-2"/>
  </colFields>
  <pageFields>
    <pageField fld="2"/>
  </pageFields>
  <dataFields>
    <dataField name="SUM of CurrentStock" fld="3" baseField="0"/>
    <dataField name="SUM of ReorderPoint" fld="4" baseField="0"/>
  </dataFields>
</pivotTableDefinition>
</file>

<file path=xl/pivotTables/pivotTable5.xml><?xml version="1.0" encoding="utf-8"?>
<pivotTableDefinition xmlns="http://schemas.openxmlformats.org/spreadsheetml/2006/main" name="Exploration" cacheId="1" dataCaption="" rowGrandTotals="0" compact="0" compactData="0">
  <location ref="A1:I21" firstHeaderRow="0" firstDataRow="4" firstDataCol="0"/>
  <pivotFields>
    <pivotField name="SKU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Product" axis="axisRow" compact="0" outline="0" multipleItemSelectionAllowed="1" showAll="0" sortType="ascending" defaultSubtotal="0">
      <items>
        <item x="8"/>
        <item x="5"/>
        <item x="14"/>
        <item x="2"/>
        <item x="4"/>
        <item x="11"/>
        <item x="16"/>
        <item x="0"/>
        <item x="13"/>
        <item x="18"/>
        <item x="15"/>
        <item x="9"/>
        <item x="6"/>
        <item x="12"/>
        <item x="1"/>
        <item x="3"/>
        <item x="19"/>
        <item x="7"/>
        <item x="17"/>
        <item x="10"/>
      </items>
    </pivotField>
    <pivotField name="Category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Current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ReorderPo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ilySalesAv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ead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uppli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Restock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napsho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ockout" dataField="1" compact="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  <field x="1"/>
    <field x="2"/>
  </rowFields>
  <colFields>
    <field x="-2"/>
  </colFields>
  <dataFields>
    <dataField name="Avg Demand" fld="5" subtotal="average" baseField="0"/>
    <dataField name="Number of Event " fld="11" subtotal="count" baseField="0"/>
    <dataField name="SUM of StockOuts" fld="12" baseField="0"/>
    <dataField name="SUM of StockOut (%)" fld="13" baseField="0"/>
    <dataField name="Avg Reorder Point" fld="4" subtotal="average" baseField="0"/>
    <dataField name="Avg LeadTime" fld="6" subtotal="average" baseField="0"/>
  </dataFields>
</pivotTableDefinition>
</file>

<file path=xl/pivotTables/pivotTable6.xml><?xml version="1.0" encoding="utf-8"?>
<pivotTableDefinition xmlns="http://schemas.openxmlformats.org/spreadsheetml/2006/main" name="Exploration 2" cacheId="1" dataCaption="" compact="0" compactData="0">
  <location ref="A31:E42" firstHeaderRow="0" firstDataRow="2" firstDataCol="0"/>
  <pivotFields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rrent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ReorderPo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ilySales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ead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upplierID" axis="axisRow" compact="0" outline="0" multipleItemSelectionAllowed="1" showAll="0" sortType="ascending">
      <items>
        <item x="6"/>
        <item x="7"/>
        <item x="0"/>
        <item x="1"/>
        <item x="2"/>
        <item x="3"/>
        <item x="8"/>
        <item x="9"/>
        <item x="4"/>
        <item x="5"/>
        <item t="default"/>
      </items>
    </pivotField>
    <pivotField name="LastRestock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napsho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ockout" compact="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7"/>
  </rowFields>
  <colFields>
    <field x="-2"/>
  </colFields>
  <dataFields>
    <dataField name="AVERAGE of LeadTime" fld="6" subtotal="average" baseField="0"/>
    <dataField name="STDEV of LeadTime" fld="6" subtotal="stdDev" baseField="0"/>
    <dataField name="MIN of LeadTime" fld="6" subtotal="min" baseField="0"/>
    <dataField name="MAX of LeadTime" fld="6" subtotal="max" baseField="0"/>
  </dataFields>
</pivotTableDefinition>
</file>

<file path=xl/pivotTables/pivotTable7.xml><?xml version="1.0" encoding="utf-8"?>
<pivotTableDefinition xmlns="http://schemas.openxmlformats.org/spreadsheetml/2006/main" name="Exploration 3" cacheId="1" dataCaption="" compact="0" compactData="0">
  <location ref="A69:C75" firstHeaderRow="0" firstDataRow="2" firstDataCol="0"/>
  <pivotFields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Current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ReorderPo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ilySales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ead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uppli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Restock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napsho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ockout" compact="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SUM of CurrentStock" fld="3" baseField="0"/>
    <dataField name="SUM of ReorderPoint" fld="4" baseField="0"/>
  </dataFields>
</pivotTableDefinition>
</file>

<file path=xl/pivotTables/pivotTable8.xml><?xml version="1.0" encoding="utf-8"?>
<pivotTableDefinition xmlns="http://schemas.openxmlformats.org/spreadsheetml/2006/main" name="Exploration 4" cacheId="1" dataCaption="" rowGrandTotals="0" compact="0" compactData="0">
  <location ref="A82:C86" firstHeaderRow="0" firstDataRow="2" firstDataCol="0" rowPageCount="1" colPageCount="1"/>
  <pivotFields>
    <pivotField name="SKU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ProductName" axis="axisRow" compact="0" outline="0" multipleItemSelectionAllowed="1" showAll="0" sortType="ascending">
      <items>
        <item x="8"/>
        <item x="5"/>
        <item x="14"/>
        <item x="2"/>
        <item x="4"/>
        <item x="11"/>
        <item x="16"/>
        <item x="0"/>
        <item x="13"/>
        <item x="18"/>
        <item x="15"/>
        <item x="9"/>
        <item x="6"/>
        <item x="12"/>
        <item x="1"/>
        <item x="3"/>
        <item x="19"/>
        <item x="7"/>
        <item x="17"/>
        <item x="10"/>
        <item t="default"/>
      </items>
    </pivotField>
    <pivotField name="Category" axis="axisPage" compact="0" outline="0" multipleItemSelectionAllowed="1" showAll="0">
      <items>
        <item h="1" x="0"/>
        <item h="1" x="1"/>
        <item h="1" x="2"/>
        <item x="3"/>
        <item h="1" x="4"/>
        <item t="default"/>
      </items>
    </pivotField>
    <pivotField name="Current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ReorderPo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ilySales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ead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uppli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Restock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napshot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ockout" compact="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  <field x="1"/>
  </rowFields>
  <pageFields>
    <pageField fld="2"/>
  </page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<Relationship Id="rId4" Type="http://schemas.openxmlformats.org/officeDocument/2006/relationships/pivotTable" Target="../pivotTables/pivotTable8.xml"/><Relationship Id="rId5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</row>
    <row r="3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</row>
    <row r="4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</row>
    <row r="5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</row>
    <row r="6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</row>
    <row r="7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</row>
    <row r="8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</row>
    <row r="9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</row>
    <row r="10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</row>
    <row r="1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</row>
    <row r="12">
      <c r="A12" s="1" t="s">
        <v>38</v>
      </c>
      <c r="B12" s="1" t="s">
        <v>39</v>
      </c>
      <c r="C12" s="1" t="s">
        <v>23</v>
      </c>
      <c r="D12" s="1">
        <v>-28.0</v>
      </c>
      <c r="E12" s="1">
        <v>45.0</v>
      </c>
      <c r="F12" s="1">
        <v>7.0</v>
      </c>
      <c r="G12" s="1">
        <v>5.0</v>
      </c>
      <c r="H12" s="1" t="s">
        <v>24</v>
      </c>
      <c r="I12" s="2">
        <v>45664.0</v>
      </c>
      <c r="J12" s="1">
        <v>450000.0</v>
      </c>
      <c r="K12" s="2">
        <v>45658.0</v>
      </c>
    </row>
    <row r="13">
      <c r="A13" s="1" t="s">
        <v>40</v>
      </c>
      <c r="B13" s="1" t="s">
        <v>41</v>
      </c>
      <c r="C13" s="1" t="s">
        <v>42</v>
      </c>
      <c r="D13" s="1">
        <v>-18.0</v>
      </c>
      <c r="E13" s="1">
        <v>15.0</v>
      </c>
      <c r="F13" s="1">
        <v>4.0</v>
      </c>
      <c r="G13" s="1">
        <v>6.0</v>
      </c>
      <c r="H13" s="1" t="s">
        <v>43</v>
      </c>
      <c r="I13" s="2">
        <v>46099.0</v>
      </c>
      <c r="J13" s="1">
        <v>1200000.0</v>
      </c>
      <c r="K13" s="2">
        <v>46082.0</v>
      </c>
    </row>
    <row r="14">
      <c r="A14" s="1" t="s">
        <v>44</v>
      </c>
      <c r="B14" s="1" t="s">
        <v>45</v>
      </c>
      <c r="C14" s="1" t="s">
        <v>42</v>
      </c>
      <c r="D14" s="1">
        <v>54.0</v>
      </c>
      <c r="E14" s="1">
        <v>30.0</v>
      </c>
      <c r="F14" s="1">
        <v>6.0</v>
      </c>
      <c r="G14" s="1">
        <v>8.0</v>
      </c>
      <c r="H14" s="1" t="s">
        <v>43</v>
      </c>
      <c r="I14" s="2">
        <v>45983.0</v>
      </c>
      <c r="J14" s="1">
        <v>350000.0</v>
      </c>
      <c r="K14" s="2">
        <v>45962.0</v>
      </c>
    </row>
    <row r="15">
      <c r="A15" s="1" t="s">
        <v>46</v>
      </c>
      <c r="B15" s="1" t="s">
        <v>47</v>
      </c>
      <c r="C15" s="1" t="s">
        <v>23</v>
      </c>
      <c r="D15" s="1">
        <v>0.0</v>
      </c>
      <c r="E15" s="1">
        <v>40.0</v>
      </c>
      <c r="F15" s="1">
        <v>7.0</v>
      </c>
      <c r="G15" s="1">
        <v>4.0</v>
      </c>
      <c r="H15" s="1" t="s">
        <v>30</v>
      </c>
      <c r="I15" s="2">
        <v>45761.0</v>
      </c>
      <c r="J15" s="1">
        <v>550000.0</v>
      </c>
      <c r="K15" s="2">
        <v>45748.0</v>
      </c>
    </row>
    <row r="16">
      <c r="A16" s="1" t="s">
        <v>44</v>
      </c>
      <c r="B16" s="1" t="s">
        <v>45</v>
      </c>
      <c r="C16" s="1" t="s">
        <v>42</v>
      </c>
      <c r="D16" s="1">
        <v>41.0</v>
      </c>
      <c r="E16" s="1">
        <v>30.0</v>
      </c>
      <c r="F16" s="1">
        <v>4.0</v>
      </c>
      <c r="G16" s="1">
        <v>10.0</v>
      </c>
      <c r="H16" s="1" t="s">
        <v>43</v>
      </c>
      <c r="I16" s="2">
        <v>45930.0</v>
      </c>
      <c r="J16" s="1">
        <v>350000.0</v>
      </c>
      <c r="K16" s="2">
        <v>45901.0</v>
      </c>
    </row>
    <row r="17">
      <c r="A17" s="1" t="s">
        <v>48</v>
      </c>
      <c r="B17" s="1" t="s">
        <v>49</v>
      </c>
      <c r="C17" s="1" t="s">
        <v>36</v>
      </c>
      <c r="D17" s="1">
        <v>33.0</v>
      </c>
      <c r="E17" s="1">
        <v>120.0</v>
      </c>
      <c r="F17" s="1">
        <v>18.0</v>
      </c>
      <c r="G17" s="1">
        <v>7.0</v>
      </c>
      <c r="H17" s="1" t="s">
        <v>50</v>
      </c>
      <c r="I17" s="2">
        <v>45878.0</v>
      </c>
      <c r="J17" s="1">
        <v>55000.0</v>
      </c>
      <c r="K17" s="2">
        <v>45870.0</v>
      </c>
    </row>
    <row r="18">
      <c r="A18" s="1" t="s">
        <v>15</v>
      </c>
      <c r="B18" s="1" t="s">
        <v>16</v>
      </c>
      <c r="C18" s="1" t="s">
        <v>17</v>
      </c>
      <c r="D18" s="1">
        <v>26.0</v>
      </c>
      <c r="E18" s="1">
        <v>15.0</v>
      </c>
      <c r="F18" s="1">
        <v>3.0</v>
      </c>
      <c r="G18" s="1">
        <v>8.0</v>
      </c>
      <c r="H18" s="1" t="s">
        <v>18</v>
      </c>
      <c r="I18" s="2">
        <v>45816.0</v>
      </c>
      <c r="J18" s="1">
        <v>8500000.0</v>
      </c>
      <c r="K18" s="2">
        <v>45809.0</v>
      </c>
    </row>
    <row r="19">
      <c r="A19" s="1" t="s">
        <v>11</v>
      </c>
      <c r="B19" s="1" t="s">
        <v>12</v>
      </c>
      <c r="C19" s="1" t="s">
        <v>13</v>
      </c>
      <c r="D19" s="1">
        <v>139.0</v>
      </c>
      <c r="E19" s="1">
        <v>50.0</v>
      </c>
      <c r="F19" s="1">
        <v>1.0</v>
      </c>
      <c r="G19" s="1">
        <v>7.0</v>
      </c>
      <c r="H19" s="1" t="s">
        <v>14</v>
      </c>
      <c r="I19" s="2">
        <v>46317.0</v>
      </c>
      <c r="J19" s="1">
        <v>125000.0</v>
      </c>
      <c r="K19" s="2">
        <v>45839.0</v>
      </c>
    </row>
    <row r="20">
      <c r="A20" s="1" t="s">
        <v>44</v>
      </c>
      <c r="B20" s="1" t="s">
        <v>45</v>
      </c>
      <c r="C20" s="1" t="s">
        <v>42</v>
      </c>
      <c r="D20" s="1">
        <v>49.0</v>
      </c>
      <c r="E20" s="1">
        <v>30.0</v>
      </c>
      <c r="F20" s="1">
        <v>6.0</v>
      </c>
      <c r="G20" s="1">
        <v>9.0</v>
      </c>
      <c r="H20" s="1" t="s">
        <v>43</v>
      </c>
      <c r="I20" s="2">
        <v>45669.0</v>
      </c>
      <c r="J20" s="1">
        <v>350000.0</v>
      </c>
      <c r="K20" s="2">
        <v>45658.0</v>
      </c>
    </row>
    <row r="21">
      <c r="A21" s="1" t="s">
        <v>48</v>
      </c>
      <c r="B21" s="1" t="s">
        <v>49</v>
      </c>
      <c r="C21" s="1" t="s">
        <v>36</v>
      </c>
      <c r="D21" s="1">
        <v>0.0</v>
      </c>
      <c r="E21" s="1">
        <v>120.0</v>
      </c>
      <c r="F21" s="1">
        <v>27.0</v>
      </c>
      <c r="G21" s="1">
        <v>7.0</v>
      </c>
      <c r="H21" s="1" t="s">
        <v>50</v>
      </c>
      <c r="I21" s="2">
        <v>46010.0</v>
      </c>
      <c r="J21" s="1">
        <v>55000.0</v>
      </c>
      <c r="K21" s="2">
        <v>45992.0</v>
      </c>
    </row>
    <row r="22">
      <c r="A22" s="1" t="s">
        <v>21</v>
      </c>
      <c r="B22" s="1" t="s">
        <v>22</v>
      </c>
      <c r="C22" s="1" t="s">
        <v>23</v>
      </c>
      <c r="D22" s="1">
        <v>14.0</v>
      </c>
      <c r="E22" s="1">
        <v>50.0</v>
      </c>
      <c r="F22" s="1">
        <v>11.0</v>
      </c>
      <c r="G22" s="1">
        <v>4.0</v>
      </c>
      <c r="H22" s="1" t="s">
        <v>24</v>
      </c>
      <c r="I22" s="2">
        <v>46062.0</v>
      </c>
      <c r="J22" s="1">
        <v>350000.0</v>
      </c>
      <c r="K22" s="2">
        <v>46054.0</v>
      </c>
    </row>
    <row r="23">
      <c r="A23" s="1" t="s">
        <v>51</v>
      </c>
      <c r="B23" s="1" t="s">
        <v>52</v>
      </c>
      <c r="C23" s="1" t="s">
        <v>36</v>
      </c>
      <c r="D23" s="1">
        <v>0.0</v>
      </c>
      <c r="E23" s="1">
        <v>60.0</v>
      </c>
      <c r="F23" s="1">
        <v>13.0</v>
      </c>
      <c r="G23" s="1">
        <v>4.0</v>
      </c>
      <c r="H23" s="1" t="s">
        <v>50</v>
      </c>
      <c r="I23" s="2">
        <v>46004.0</v>
      </c>
      <c r="J23" s="1">
        <v>175000.0</v>
      </c>
      <c r="K23" s="2">
        <v>45992.0</v>
      </c>
    </row>
    <row r="24">
      <c r="A24" s="1" t="s">
        <v>53</v>
      </c>
      <c r="B24" s="1" t="s">
        <v>54</v>
      </c>
      <c r="C24" s="1" t="s">
        <v>13</v>
      </c>
      <c r="D24" s="1">
        <v>191.0</v>
      </c>
      <c r="E24" s="1">
        <v>60.0</v>
      </c>
      <c r="F24" s="1">
        <v>3.0</v>
      </c>
      <c r="G24" s="1">
        <v>8.0</v>
      </c>
      <c r="H24" s="1" t="s">
        <v>14</v>
      </c>
      <c r="I24" s="2">
        <v>45944.0</v>
      </c>
      <c r="J24" s="1">
        <v>165000.0</v>
      </c>
      <c r="K24" s="2">
        <v>45931.0</v>
      </c>
    </row>
    <row r="25">
      <c r="A25" s="1" t="s">
        <v>55</v>
      </c>
      <c r="B25" s="1" t="s">
        <v>56</v>
      </c>
      <c r="C25" s="1" t="s">
        <v>36</v>
      </c>
      <c r="D25" s="1">
        <v>0.0</v>
      </c>
      <c r="E25" s="1">
        <v>100.0</v>
      </c>
      <c r="F25" s="1">
        <v>24.0</v>
      </c>
      <c r="G25" s="1">
        <v>4.0</v>
      </c>
      <c r="H25" s="1" t="s">
        <v>37</v>
      </c>
      <c r="I25" s="2">
        <v>45747.0</v>
      </c>
      <c r="J25" s="1">
        <v>85000.0</v>
      </c>
      <c r="K25" s="2">
        <v>45717.0</v>
      </c>
    </row>
    <row r="26">
      <c r="A26" s="1" t="s">
        <v>38</v>
      </c>
      <c r="B26" s="1" t="s">
        <v>39</v>
      </c>
      <c r="C26" s="1" t="s">
        <v>23</v>
      </c>
      <c r="D26" s="1">
        <v>23.0</v>
      </c>
      <c r="E26" s="1">
        <v>45.0</v>
      </c>
      <c r="F26" s="1">
        <v>6.0</v>
      </c>
      <c r="G26" s="1">
        <v>6.0</v>
      </c>
      <c r="H26" s="1" t="s">
        <v>24</v>
      </c>
      <c r="I26" s="2">
        <v>45697.0</v>
      </c>
      <c r="J26" s="1">
        <v>450000.0</v>
      </c>
      <c r="K26" s="2">
        <v>45689.0</v>
      </c>
    </row>
    <row r="27">
      <c r="A27" s="1" t="s">
        <v>57</v>
      </c>
      <c r="B27" s="1" t="s">
        <v>58</v>
      </c>
      <c r="C27" s="1" t="s">
        <v>42</v>
      </c>
      <c r="D27" s="1">
        <v>50.0</v>
      </c>
      <c r="E27" s="1">
        <v>25.0</v>
      </c>
      <c r="F27" s="1">
        <v>3.0</v>
      </c>
      <c r="G27" s="1">
        <v>7.0</v>
      </c>
      <c r="H27" s="1" t="s">
        <v>59</v>
      </c>
      <c r="I27" s="2">
        <v>45920.0</v>
      </c>
      <c r="J27" s="1">
        <v>450000.0</v>
      </c>
      <c r="K27" s="2">
        <v>45901.0</v>
      </c>
    </row>
    <row r="28">
      <c r="A28" s="1" t="s">
        <v>57</v>
      </c>
      <c r="B28" s="1" t="s">
        <v>58</v>
      </c>
      <c r="C28" s="1" t="s">
        <v>42</v>
      </c>
      <c r="D28" s="1">
        <v>42.0</v>
      </c>
      <c r="E28" s="1">
        <v>25.0</v>
      </c>
      <c r="F28" s="1">
        <v>3.0</v>
      </c>
      <c r="G28" s="1">
        <v>8.0</v>
      </c>
      <c r="H28" s="1" t="s">
        <v>59</v>
      </c>
      <c r="I28" s="2">
        <v>46078.0</v>
      </c>
      <c r="J28" s="1">
        <v>450000.0</v>
      </c>
      <c r="K28" s="2">
        <v>46054.0</v>
      </c>
    </row>
    <row r="29">
      <c r="A29" s="1" t="s">
        <v>60</v>
      </c>
      <c r="B29" s="1" t="s">
        <v>61</v>
      </c>
      <c r="C29" s="1" t="s">
        <v>17</v>
      </c>
      <c r="D29" s="1">
        <v>-8.0</v>
      </c>
      <c r="E29" s="1">
        <v>20.0</v>
      </c>
      <c r="F29" s="1">
        <v>2.0</v>
      </c>
      <c r="G29" s="1">
        <v>9.0</v>
      </c>
      <c r="H29" s="1" t="s">
        <v>27</v>
      </c>
      <c r="I29" s="2">
        <v>45750.0</v>
      </c>
      <c r="J29" s="1">
        <v>3200000.0</v>
      </c>
      <c r="K29" s="2">
        <v>45748.0</v>
      </c>
    </row>
    <row r="30">
      <c r="A30" s="1" t="s">
        <v>51</v>
      </c>
      <c r="B30" s="1" t="s">
        <v>52</v>
      </c>
      <c r="C30" s="1" t="s">
        <v>36</v>
      </c>
      <c r="D30" s="1">
        <v>31.0</v>
      </c>
      <c r="E30" s="1">
        <v>60.0</v>
      </c>
      <c r="F30" s="1">
        <v>8.0</v>
      </c>
      <c r="G30" s="1">
        <v>7.0</v>
      </c>
      <c r="H30" s="1" t="s">
        <v>50</v>
      </c>
      <c r="I30" s="2">
        <v>45880.0</v>
      </c>
      <c r="J30" s="1">
        <v>175000.0</v>
      </c>
      <c r="K30" s="2">
        <v>45870.0</v>
      </c>
    </row>
    <row r="31">
      <c r="A31" s="1" t="s">
        <v>48</v>
      </c>
      <c r="B31" s="1" t="s">
        <v>49</v>
      </c>
      <c r="C31" s="1" t="s">
        <v>36</v>
      </c>
      <c r="D31" s="1">
        <v>38.0</v>
      </c>
      <c r="E31" s="1">
        <v>120.0</v>
      </c>
      <c r="F31" s="1">
        <v>17.0</v>
      </c>
      <c r="G31" s="1">
        <v>4.0</v>
      </c>
      <c r="H31" s="1" t="s">
        <v>50</v>
      </c>
      <c r="I31" s="2">
        <v>45864.0</v>
      </c>
      <c r="J31" s="1">
        <v>55000.0</v>
      </c>
      <c r="K31" s="2">
        <v>45839.0</v>
      </c>
    </row>
    <row r="32">
      <c r="A32" s="1" t="s">
        <v>11</v>
      </c>
      <c r="B32" s="1" t="s">
        <v>12</v>
      </c>
      <c r="C32" s="1" t="s">
        <v>13</v>
      </c>
      <c r="D32" s="1">
        <v>217.0</v>
      </c>
      <c r="E32" s="1">
        <v>50.0</v>
      </c>
      <c r="F32" s="1">
        <v>3.0</v>
      </c>
      <c r="G32" s="1">
        <v>7.0</v>
      </c>
      <c r="H32" s="1" t="s">
        <v>14</v>
      </c>
      <c r="I32" s="2">
        <v>46111.0</v>
      </c>
      <c r="J32" s="1">
        <v>125000.0</v>
      </c>
      <c r="K32" s="2">
        <v>46082.0</v>
      </c>
    </row>
    <row r="33">
      <c r="A33" s="1" t="s">
        <v>15</v>
      </c>
      <c r="B33" s="1" t="s">
        <v>16</v>
      </c>
      <c r="C33" s="1" t="s">
        <v>17</v>
      </c>
      <c r="D33" s="1">
        <v>11.0</v>
      </c>
      <c r="E33" s="1">
        <v>15.0</v>
      </c>
      <c r="F33" s="1">
        <v>1.0</v>
      </c>
      <c r="G33" s="1">
        <v>5.0</v>
      </c>
      <c r="H33" s="1" t="s">
        <v>18</v>
      </c>
      <c r="I33" s="2">
        <v>45754.0</v>
      </c>
      <c r="J33" s="1">
        <v>8500000.0</v>
      </c>
      <c r="K33" s="2">
        <v>45748.0</v>
      </c>
    </row>
    <row r="34">
      <c r="A34" s="1" t="s">
        <v>38</v>
      </c>
      <c r="B34" s="1" t="s">
        <v>39</v>
      </c>
      <c r="C34" s="1" t="s">
        <v>23</v>
      </c>
      <c r="D34" s="1">
        <v>36.0</v>
      </c>
      <c r="E34" s="1">
        <v>45.0</v>
      </c>
      <c r="F34" s="1">
        <v>7.0</v>
      </c>
      <c r="G34" s="1">
        <v>4.0</v>
      </c>
      <c r="H34" s="1" t="s">
        <v>24</v>
      </c>
      <c r="I34" s="2">
        <v>45883.0</v>
      </c>
      <c r="J34" s="1">
        <v>450000.0</v>
      </c>
      <c r="K34" s="2">
        <v>45870.0</v>
      </c>
    </row>
    <row r="35">
      <c r="A35" s="1" t="s">
        <v>48</v>
      </c>
      <c r="B35" s="1" t="s">
        <v>49</v>
      </c>
      <c r="C35" s="1" t="s">
        <v>36</v>
      </c>
      <c r="D35" s="1">
        <v>0.0</v>
      </c>
      <c r="E35" s="1">
        <v>120.0</v>
      </c>
      <c r="F35" s="1">
        <v>28.0</v>
      </c>
      <c r="G35" s="1">
        <v>6.0</v>
      </c>
      <c r="H35" s="1" t="s">
        <v>50</v>
      </c>
      <c r="I35" s="2">
        <v>45725.0</v>
      </c>
      <c r="J35" s="1">
        <v>55000.0</v>
      </c>
      <c r="K35" s="2">
        <v>45717.0</v>
      </c>
    </row>
    <row r="36">
      <c r="A36" s="1" t="s">
        <v>55</v>
      </c>
      <c r="B36" s="1" t="s">
        <v>56</v>
      </c>
      <c r="C36" s="1" t="s">
        <v>36</v>
      </c>
      <c r="D36" s="1">
        <v>-18.0</v>
      </c>
      <c r="E36" s="1">
        <v>100.0</v>
      </c>
      <c r="F36" s="1">
        <v>21.0</v>
      </c>
      <c r="G36" s="1">
        <v>3.0</v>
      </c>
      <c r="H36" s="1" t="s">
        <v>37</v>
      </c>
      <c r="I36" s="2">
        <v>46006.0</v>
      </c>
      <c r="J36" s="1">
        <v>85000.0</v>
      </c>
      <c r="K36" s="2">
        <v>45992.0</v>
      </c>
    </row>
    <row r="37">
      <c r="A37" s="1" t="s">
        <v>62</v>
      </c>
      <c r="B37" s="1" t="s">
        <v>63</v>
      </c>
      <c r="C37" s="1" t="s">
        <v>13</v>
      </c>
      <c r="D37" s="1">
        <v>375.0</v>
      </c>
      <c r="E37" s="1">
        <v>80.0</v>
      </c>
      <c r="F37" s="1">
        <v>5.0</v>
      </c>
      <c r="G37" s="1">
        <v>6.0</v>
      </c>
      <c r="H37" s="1" t="s">
        <v>33</v>
      </c>
      <c r="I37" s="2">
        <v>45737.0</v>
      </c>
      <c r="J37" s="1">
        <v>85000.0</v>
      </c>
      <c r="K37" s="2">
        <v>45717.0</v>
      </c>
    </row>
    <row r="38">
      <c r="A38" s="1" t="s">
        <v>19</v>
      </c>
      <c r="B38" s="1" t="s">
        <v>20</v>
      </c>
      <c r="C38" s="1" t="s">
        <v>17</v>
      </c>
      <c r="D38" s="1">
        <v>24.0</v>
      </c>
      <c r="E38" s="1">
        <v>30.0</v>
      </c>
      <c r="F38" s="1">
        <v>4.0</v>
      </c>
      <c r="G38" s="1">
        <v>5.0</v>
      </c>
      <c r="H38" s="1" t="s">
        <v>18</v>
      </c>
      <c r="I38" s="2">
        <v>45670.0</v>
      </c>
      <c r="J38" s="1">
        <v>1200000.0</v>
      </c>
      <c r="K38" s="2">
        <v>45658.0</v>
      </c>
    </row>
    <row r="39">
      <c r="A39" s="1" t="s">
        <v>25</v>
      </c>
      <c r="B39" s="1" t="s">
        <v>26</v>
      </c>
      <c r="C39" s="1" t="s">
        <v>17</v>
      </c>
      <c r="D39" s="1">
        <v>22.0</v>
      </c>
      <c r="E39" s="1">
        <v>25.0</v>
      </c>
      <c r="F39" s="1">
        <v>5.0</v>
      </c>
      <c r="G39" s="1">
        <v>14.0</v>
      </c>
      <c r="H39" s="1" t="s">
        <v>27</v>
      </c>
      <c r="I39" s="2">
        <v>45722.0</v>
      </c>
      <c r="J39" s="1">
        <v>4500000.0</v>
      </c>
      <c r="K39" s="2">
        <v>45717.0</v>
      </c>
    </row>
    <row r="40">
      <c r="A40" s="1" t="s">
        <v>44</v>
      </c>
      <c r="B40" s="1" t="s">
        <v>45</v>
      </c>
      <c r="C40" s="1" t="s">
        <v>42</v>
      </c>
      <c r="D40" s="1">
        <v>59.0</v>
      </c>
      <c r="E40" s="1">
        <v>30.0</v>
      </c>
      <c r="F40" s="1">
        <v>3.0</v>
      </c>
      <c r="G40" s="1">
        <v>6.0</v>
      </c>
      <c r="H40" s="1" t="s">
        <v>43</v>
      </c>
      <c r="I40" s="2">
        <v>45880.0</v>
      </c>
      <c r="J40" s="1">
        <v>350000.0</v>
      </c>
      <c r="K40" s="2">
        <v>45870.0</v>
      </c>
    </row>
    <row r="41">
      <c r="A41" s="1" t="s">
        <v>57</v>
      </c>
      <c r="B41" s="1" t="s">
        <v>58</v>
      </c>
      <c r="C41" s="1" t="s">
        <v>42</v>
      </c>
      <c r="D41" s="1">
        <v>22.0</v>
      </c>
      <c r="E41" s="1">
        <v>25.0</v>
      </c>
      <c r="F41" s="1">
        <v>2.0</v>
      </c>
      <c r="G41" s="1">
        <v>6.0</v>
      </c>
      <c r="H41" s="1" t="s">
        <v>59</v>
      </c>
      <c r="I41" s="2">
        <v>46000.0</v>
      </c>
      <c r="J41" s="1">
        <v>450000.0</v>
      </c>
      <c r="K41" s="2">
        <v>45992.0</v>
      </c>
    </row>
    <row r="42">
      <c r="A42" s="1" t="s">
        <v>60</v>
      </c>
      <c r="B42" s="1" t="s">
        <v>61</v>
      </c>
      <c r="C42" s="1" t="s">
        <v>17</v>
      </c>
      <c r="D42" s="1">
        <v>30.0</v>
      </c>
      <c r="E42" s="1">
        <v>20.0</v>
      </c>
      <c r="F42" s="1">
        <v>1.0</v>
      </c>
      <c r="G42" s="1">
        <v>14.0</v>
      </c>
      <c r="H42" s="1" t="s">
        <v>27</v>
      </c>
      <c r="I42" s="2">
        <v>46048.0</v>
      </c>
      <c r="J42" s="1">
        <v>3200000.0</v>
      </c>
      <c r="K42" s="2">
        <v>46023.0</v>
      </c>
    </row>
    <row r="43">
      <c r="A43" s="1" t="s">
        <v>25</v>
      </c>
      <c r="B43" s="1" t="s">
        <v>26</v>
      </c>
      <c r="C43" s="1" t="s">
        <v>17</v>
      </c>
      <c r="D43" s="1">
        <v>2.0</v>
      </c>
      <c r="E43" s="1">
        <v>25.0</v>
      </c>
      <c r="F43" s="1">
        <v>3.0</v>
      </c>
      <c r="G43" s="1">
        <v>20.0</v>
      </c>
      <c r="H43" s="1" t="s">
        <v>27</v>
      </c>
      <c r="I43" s="2">
        <v>45950.0</v>
      </c>
      <c r="J43" s="1">
        <v>4500000.0</v>
      </c>
      <c r="K43" s="2">
        <v>45931.0</v>
      </c>
    </row>
    <row r="44">
      <c r="A44" s="1" t="s">
        <v>31</v>
      </c>
      <c r="B44" s="1" t="s">
        <v>32</v>
      </c>
      <c r="C44" s="1" t="s">
        <v>13</v>
      </c>
      <c r="D44" s="1">
        <v>184.0</v>
      </c>
      <c r="E44" s="1">
        <v>40.0</v>
      </c>
      <c r="F44" s="1">
        <v>3.0</v>
      </c>
      <c r="G44" s="1">
        <v>6.0</v>
      </c>
      <c r="H44" s="1" t="s">
        <v>33</v>
      </c>
      <c r="I44" s="2">
        <v>45682.0</v>
      </c>
      <c r="J44" s="1">
        <v>550000.0</v>
      </c>
      <c r="K44" s="2">
        <v>45658.0</v>
      </c>
    </row>
    <row r="45">
      <c r="A45" s="1" t="s">
        <v>64</v>
      </c>
      <c r="B45" s="1" t="s">
        <v>65</v>
      </c>
      <c r="C45" s="1" t="s">
        <v>42</v>
      </c>
      <c r="D45" s="1">
        <v>19.0</v>
      </c>
      <c r="E45" s="1">
        <v>20.0</v>
      </c>
      <c r="F45" s="1">
        <v>4.0</v>
      </c>
      <c r="G45" s="1">
        <v>9.0</v>
      </c>
      <c r="H45" s="1" t="s">
        <v>59</v>
      </c>
      <c r="I45" s="2">
        <v>45782.0</v>
      </c>
      <c r="J45" s="1">
        <v>750000.0</v>
      </c>
      <c r="K45" s="2">
        <v>45778.0</v>
      </c>
    </row>
    <row r="46">
      <c r="A46" s="1" t="s">
        <v>62</v>
      </c>
      <c r="B46" s="1" t="s">
        <v>63</v>
      </c>
      <c r="C46" s="1" t="s">
        <v>13</v>
      </c>
      <c r="D46" s="1">
        <v>268.0</v>
      </c>
      <c r="E46" s="1">
        <v>80.0</v>
      </c>
      <c r="F46" s="1">
        <v>4.0</v>
      </c>
      <c r="G46" s="1">
        <v>4.0</v>
      </c>
      <c r="H46" s="1" t="s">
        <v>33</v>
      </c>
      <c r="I46" s="2">
        <v>46099.0</v>
      </c>
      <c r="J46" s="1">
        <v>85000.0</v>
      </c>
      <c r="K46" s="2">
        <v>46082.0</v>
      </c>
    </row>
    <row r="47">
      <c r="A47" s="1" t="s">
        <v>34</v>
      </c>
      <c r="B47" s="1" t="s">
        <v>35</v>
      </c>
      <c r="C47" s="1" t="s">
        <v>36</v>
      </c>
      <c r="D47" s="1">
        <v>31.0</v>
      </c>
      <c r="E47" s="1">
        <v>80.0</v>
      </c>
      <c r="F47" s="1">
        <v>13.0</v>
      </c>
      <c r="G47" s="1">
        <v>4.0</v>
      </c>
      <c r="H47" s="1" t="s">
        <v>37</v>
      </c>
      <c r="I47" s="2">
        <v>45857.0</v>
      </c>
      <c r="J47" s="1">
        <v>65000.0</v>
      </c>
      <c r="K47" s="2">
        <v>45839.0</v>
      </c>
    </row>
    <row r="48">
      <c r="A48" s="1" t="s">
        <v>55</v>
      </c>
      <c r="B48" s="1" t="s">
        <v>56</v>
      </c>
      <c r="C48" s="1" t="s">
        <v>36</v>
      </c>
      <c r="D48" s="1">
        <v>28.0</v>
      </c>
      <c r="E48" s="1">
        <v>100.0</v>
      </c>
      <c r="F48" s="1">
        <v>17.0</v>
      </c>
      <c r="G48" s="1">
        <v>3.0</v>
      </c>
      <c r="H48" s="1" t="s">
        <v>37</v>
      </c>
      <c r="I48" s="2">
        <v>46070.0</v>
      </c>
      <c r="J48" s="1">
        <v>85000.0</v>
      </c>
      <c r="K48" s="2">
        <v>46054.0</v>
      </c>
    </row>
    <row r="49">
      <c r="A49" s="1" t="s">
        <v>15</v>
      </c>
      <c r="B49" s="1" t="s">
        <v>16</v>
      </c>
      <c r="C49" s="1" t="s">
        <v>17</v>
      </c>
      <c r="D49" s="1">
        <v>22.0</v>
      </c>
      <c r="E49" s="1">
        <v>15.0</v>
      </c>
      <c r="F49" s="1">
        <v>2.0</v>
      </c>
      <c r="G49" s="1">
        <v>7.0</v>
      </c>
      <c r="H49" s="1" t="s">
        <v>18</v>
      </c>
      <c r="I49" s="2">
        <v>45878.0</v>
      </c>
      <c r="J49" s="1">
        <v>8500000.0</v>
      </c>
      <c r="K49" s="2">
        <v>45870.0</v>
      </c>
    </row>
    <row r="50">
      <c r="A50" s="1" t="s">
        <v>48</v>
      </c>
      <c r="B50" s="1" t="s">
        <v>49</v>
      </c>
      <c r="C50" s="1" t="s">
        <v>36</v>
      </c>
      <c r="D50" s="1">
        <v>27.0</v>
      </c>
      <c r="E50" s="1">
        <v>120.0</v>
      </c>
      <c r="F50" s="1">
        <v>18.0</v>
      </c>
      <c r="G50" s="1">
        <v>4.0</v>
      </c>
      <c r="H50" s="1" t="s">
        <v>50</v>
      </c>
      <c r="I50" s="2">
        <v>45782.0</v>
      </c>
      <c r="J50" s="1">
        <v>55000.0</v>
      </c>
      <c r="K50" s="2">
        <v>45778.0</v>
      </c>
    </row>
    <row r="51">
      <c r="A51" s="1" t="s">
        <v>38</v>
      </c>
      <c r="B51" s="1" t="s">
        <v>39</v>
      </c>
      <c r="C51" s="1" t="s">
        <v>23</v>
      </c>
      <c r="D51" s="1">
        <v>0.0</v>
      </c>
      <c r="E51" s="1">
        <v>45.0</v>
      </c>
      <c r="F51" s="1">
        <v>10.0</v>
      </c>
      <c r="G51" s="1">
        <v>3.0</v>
      </c>
      <c r="H51" s="1" t="s">
        <v>24</v>
      </c>
      <c r="I51" s="2">
        <v>45737.0</v>
      </c>
      <c r="J51" s="1">
        <v>450000.0</v>
      </c>
      <c r="K51" s="2">
        <v>45717.0</v>
      </c>
    </row>
    <row r="52">
      <c r="A52" s="1" t="s">
        <v>46</v>
      </c>
      <c r="B52" s="1" t="s">
        <v>47</v>
      </c>
      <c r="C52" s="1" t="s">
        <v>23</v>
      </c>
      <c r="D52" s="1">
        <v>0.0</v>
      </c>
      <c r="E52" s="1">
        <v>40.0</v>
      </c>
      <c r="F52" s="1">
        <v>8.0</v>
      </c>
      <c r="G52" s="1">
        <v>3.0</v>
      </c>
      <c r="H52" s="1" t="s">
        <v>30</v>
      </c>
      <c r="I52" s="2">
        <v>46018.0</v>
      </c>
      <c r="J52" s="1">
        <v>550000.0</v>
      </c>
      <c r="K52" s="2">
        <v>45992.0</v>
      </c>
    </row>
    <row r="53">
      <c r="A53" s="1" t="s">
        <v>55</v>
      </c>
      <c r="B53" s="1" t="s">
        <v>56</v>
      </c>
      <c r="C53" s="1" t="s">
        <v>36</v>
      </c>
      <c r="D53" s="1">
        <v>35.0</v>
      </c>
      <c r="E53" s="1">
        <v>100.0</v>
      </c>
      <c r="F53" s="1">
        <v>14.0</v>
      </c>
      <c r="G53" s="1">
        <v>3.0</v>
      </c>
      <c r="H53" s="1" t="s">
        <v>37</v>
      </c>
      <c r="I53" s="2">
        <v>45685.0</v>
      </c>
      <c r="J53" s="1">
        <v>85000.0</v>
      </c>
      <c r="K53" s="2">
        <v>45658.0</v>
      </c>
    </row>
    <row r="54">
      <c r="A54" s="1" t="s">
        <v>28</v>
      </c>
      <c r="B54" s="1" t="s">
        <v>29</v>
      </c>
      <c r="C54" s="1" t="s">
        <v>23</v>
      </c>
      <c r="D54" s="1">
        <v>0.0</v>
      </c>
      <c r="E54" s="1">
        <v>35.0</v>
      </c>
      <c r="F54" s="1">
        <v>9.0</v>
      </c>
      <c r="G54" s="1">
        <v>5.0</v>
      </c>
      <c r="H54" s="1" t="s">
        <v>30</v>
      </c>
      <c r="I54" s="2">
        <v>46095.0</v>
      </c>
      <c r="J54" s="1">
        <v>1250000.0</v>
      </c>
      <c r="K54" s="2">
        <v>46082.0</v>
      </c>
    </row>
    <row r="55">
      <c r="A55" s="1" t="s">
        <v>38</v>
      </c>
      <c r="B55" s="1" t="s">
        <v>39</v>
      </c>
      <c r="C55" s="1" t="s">
        <v>23</v>
      </c>
      <c r="D55" s="1">
        <v>40.0</v>
      </c>
      <c r="E55" s="1">
        <v>45.0</v>
      </c>
      <c r="F55" s="1">
        <v>5.0</v>
      </c>
      <c r="G55" s="1">
        <v>3.0</v>
      </c>
      <c r="H55" s="1" t="s">
        <v>24</v>
      </c>
      <c r="I55" s="2">
        <v>45959.0</v>
      </c>
      <c r="J55" s="1">
        <v>450000.0</v>
      </c>
      <c r="K55" s="2">
        <v>45931.0</v>
      </c>
    </row>
    <row r="56">
      <c r="A56" s="1" t="s">
        <v>64</v>
      </c>
      <c r="B56" s="1" t="s">
        <v>65</v>
      </c>
      <c r="C56" s="1" t="s">
        <v>42</v>
      </c>
      <c r="D56" s="1">
        <v>29.0</v>
      </c>
      <c r="E56" s="1">
        <v>20.0</v>
      </c>
      <c r="F56" s="1">
        <v>4.0</v>
      </c>
      <c r="G56" s="1">
        <v>10.0</v>
      </c>
      <c r="H56" s="1" t="s">
        <v>59</v>
      </c>
      <c r="I56" s="2">
        <v>45826.0</v>
      </c>
      <c r="J56" s="1">
        <v>750000.0</v>
      </c>
      <c r="K56" s="2">
        <v>45809.0</v>
      </c>
    </row>
    <row r="57">
      <c r="A57" s="1" t="s">
        <v>40</v>
      </c>
      <c r="B57" s="1" t="s">
        <v>41</v>
      </c>
      <c r="C57" s="1" t="s">
        <v>42</v>
      </c>
      <c r="D57" s="1">
        <v>30.0</v>
      </c>
      <c r="E57" s="1">
        <v>15.0</v>
      </c>
      <c r="F57" s="1">
        <v>2.0</v>
      </c>
      <c r="G57" s="1">
        <v>9.0</v>
      </c>
      <c r="H57" s="1" t="s">
        <v>43</v>
      </c>
      <c r="I57" s="2">
        <v>45892.0</v>
      </c>
      <c r="J57" s="1">
        <v>1200000.0</v>
      </c>
      <c r="K57" s="2">
        <v>45870.0</v>
      </c>
    </row>
    <row r="58">
      <c r="A58" s="1" t="s">
        <v>31</v>
      </c>
      <c r="B58" s="1" t="s">
        <v>32</v>
      </c>
      <c r="C58" s="1" t="s">
        <v>13</v>
      </c>
      <c r="D58" s="1">
        <v>91.0</v>
      </c>
      <c r="E58" s="1">
        <v>40.0</v>
      </c>
      <c r="F58" s="1">
        <v>3.0</v>
      </c>
      <c r="G58" s="1">
        <v>5.0</v>
      </c>
      <c r="H58" s="1" t="s">
        <v>33</v>
      </c>
      <c r="I58" s="2">
        <v>45724.0</v>
      </c>
      <c r="J58" s="1">
        <v>550000.0</v>
      </c>
      <c r="K58" s="2">
        <v>45717.0</v>
      </c>
    </row>
    <row r="59">
      <c r="A59" s="1" t="s">
        <v>53</v>
      </c>
      <c r="B59" s="1" t="s">
        <v>54</v>
      </c>
      <c r="C59" s="1" t="s">
        <v>13</v>
      </c>
      <c r="D59" s="1">
        <v>299.0</v>
      </c>
      <c r="E59" s="1">
        <v>60.0</v>
      </c>
      <c r="F59" s="1">
        <v>1.0</v>
      </c>
      <c r="G59" s="1">
        <v>7.0</v>
      </c>
      <c r="H59" s="1" t="s">
        <v>14</v>
      </c>
      <c r="I59" s="2">
        <v>45756.0</v>
      </c>
      <c r="J59" s="1">
        <v>165000.0</v>
      </c>
      <c r="K59" s="2">
        <v>45748.0</v>
      </c>
    </row>
    <row r="60">
      <c r="A60" s="1" t="s">
        <v>62</v>
      </c>
      <c r="B60" s="1" t="s">
        <v>63</v>
      </c>
      <c r="C60" s="1" t="s">
        <v>13</v>
      </c>
      <c r="D60" s="1">
        <v>392.0</v>
      </c>
      <c r="E60" s="1">
        <v>80.0</v>
      </c>
      <c r="F60" s="1">
        <v>5.0</v>
      </c>
      <c r="G60" s="1">
        <v>4.0</v>
      </c>
      <c r="H60" s="1" t="s">
        <v>33</v>
      </c>
      <c r="I60" s="2">
        <v>45701.0</v>
      </c>
      <c r="J60" s="1">
        <v>85000.0</v>
      </c>
      <c r="K60" s="2">
        <v>45689.0</v>
      </c>
    </row>
    <row r="61">
      <c r="A61" s="1" t="s">
        <v>53</v>
      </c>
      <c r="B61" s="1" t="s">
        <v>54</v>
      </c>
      <c r="C61" s="1" t="s">
        <v>13</v>
      </c>
      <c r="D61" s="1">
        <v>198.0</v>
      </c>
      <c r="E61" s="1">
        <v>60.0</v>
      </c>
      <c r="F61" s="1">
        <v>3.0</v>
      </c>
      <c r="G61" s="1">
        <v>8.0</v>
      </c>
      <c r="H61" s="1" t="s">
        <v>14</v>
      </c>
      <c r="I61" s="2">
        <v>45712.0</v>
      </c>
      <c r="J61" s="1">
        <v>165000.0</v>
      </c>
      <c r="K61" s="2">
        <v>45689.0</v>
      </c>
    </row>
    <row r="62">
      <c r="A62" s="1" t="s">
        <v>11</v>
      </c>
      <c r="B62" s="1" t="s">
        <v>12</v>
      </c>
      <c r="C62" s="1" t="s">
        <v>13</v>
      </c>
      <c r="D62" s="1">
        <v>238.0</v>
      </c>
      <c r="E62" s="1">
        <v>50.0</v>
      </c>
      <c r="F62" s="1">
        <v>2.0</v>
      </c>
      <c r="G62" s="1">
        <v>7.0</v>
      </c>
      <c r="H62" s="1" t="s">
        <v>14</v>
      </c>
      <c r="I62" s="2">
        <v>45671.0</v>
      </c>
      <c r="J62" s="1">
        <v>125000.0</v>
      </c>
      <c r="K62" s="2">
        <v>45658.0</v>
      </c>
    </row>
    <row r="63">
      <c r="A63" s="1" t="s">
        <v>46</v>
      </c>
      <c r="B63" s="1" t="s">
        <v>47</v>
      </c>
      <c r="C63" s="1" t="s">
        <v>23</v>
      </c>
      <c r="D63" s="1">
        <v>44.0</v>
      </c>
      <c r="E63" s="1">
        <v>40.0</v>
      </c>
      <c r="F63" s="1">
        <v>5.0</v>
      </c>
      <c r="G63" s="1">
        <v>6.0</v>
      </c>
      <c r="H63" s="1" t="s">
        <v>30</v>
      </c>
      <c r="I63" s="2">
        <v>45799.0</v>
      </c>
      <c r="J63" s="1">
        <v>550000.0</v>
      </c>
      <c r="K63" s="2">
        <v>45778.0</v>
      </c>
    </row>
    <row r="64">
      <c r="A64" s="1" t="s">
        <v>46</v>
      </c>
      <c r="B64" s="1" t="s">
        <v>47</v>
      </c>
      <c r="C64" s="1" t="s">
        <v>23</v>
      </c>
      <c r="D64" s="1">
        <v>28.0</v>
      </c>
      <c r="E64" s="1">
        <v>40.0</v>
      </c>
      <c r="F64" s="1">
        <v>3.0</v>
      </c>
      <c r="G64" s="1">
        <v>6.0</v>
      </c>
      <c r="H64" s="1" t="s">
        <v>30</v>
      </c>
      <c r="I64" s="2">
        <v>45956.0</v>
      </c>
      <c r="J64" s="1">
        <v>550000.0</v>
      </c>
      <c r="K64" s="2">
        <v>45931.0</v>
      </c>
    </row>
    <row r="65">
      <c r="A65" s="1" t="s">
        <v>46</v>
      </c>
      <c r="B65" s="1" t="s">
        <v>47</v>
      </c>
      <c r="C65" s="1" t="s">
        <v>23</v>
      </c>
      <c r="D65" s="1">
        <v>29.0</v>
      </c>
      <c r="E65" s="1">
        <v>40.0</v>
      </c>
      <c r="F65" s="1">
        <v>4.0</v>
      </c>
      <c r="G65" s="1">
        <v>9.0</v>
      </c>
      <c r="H65" s="1" t="s">
        <v>30</v>
      </c>
      <c r="I65" s="2">
        <v>45839.0</v>
      </c>
      <c r="J65" s="1">
        <v>550000.0</v>
      </c>
      <c r="K65" s="2">
        <v>45839.0</v>
      </c>
    </row>
    <row r="66">
      <c r="A66" s="1" t="s">
        <v>62</v>
      </c>
      <c r="B66" s="1" t="s">
        <v>63</v>
      </c>
      <c r="C66" s="1" t="s">
        <v>13</v>
      </c>
      <c r="D66" s="1">
        <v>468.0</v>
      </c>
      <c r="E66" s="1">
        <v>80.0</v>
      </c>
      <c r="F66" s="1">
        <v>5.0</v>
      </c>
      <c r="G66" s="1">
        <v>6.0</v>
      </c>
      <c r="H66" s="1" t="s">
        <v>33</v>
      </c>
      <c r="I66" s="2">
        <v>46079.0</v>
      </c>
      <c r="J66" s="1">
        <v>85000.0</v>
      </c>
      <c r="K66" s="2">
        <v>46054.0</v>
      </c>
    </row>
    <row r="67">
      <c r="A67" s="1" t="s">
        <v>57</v>
      </c>
      <c r="B67" s="1" t="s">
        <v>58</v>
      </c>
      <c r="C67" s="1" t="s">
        <v>42</v>
      </c>
      <c r="D67" s="1">
        <v>16.0</v>
      </c>
      <c r="E67" s="1">
        <v>25.0</v>
      </c>
      <c r="F67" s="1">
        <v>3.0</v>
      </c>
      <c r="G67" s="1">
        <v>6.0</v>
      </c>
      <c r="H67" s="1" t="s">
        <v>59</v>
      </c>
      <c r="I67" s="2">
        <v>45982.0</v>
      </c>
      <c r="J67" s="1">
        <v>450000.0</v>
      </c>
      <c r="K67" s="2">
        <v>45962.0</v>
      </c>
    </row>
    <row r="68">
      <c r="A68" s="1" t="s">
        <v>62</v>
      </c>
      <c r="B68" s="1" t="s">
        <v>63</v>
      </c>
      <c r="C68" s="1" t="s">
        <v>13</v>
      </c>
      <c r="D68" s="1">
        <v>320.0</v>
      </c>
      <c r="E68" s="1">
        <v>80.0</v>
      </c>
      <c r="F68" s="1">
        <v>5.0</v>
      </c>
      <c r="G68" s="1">
        <v>4.0</v>
      </c>
      <c r="H68" s="1" t="s">
        <v>33</v>
      </c>
      <c r="I68" s="2">
        <v>45909.0</v>
      </c>
      <c r="J68" s="1">
        <v>85000.0</v>
      </c>
      <c r="K68" s="2">
        <v>45901.0</v>
      </c>
    </row>
    <row r="69">
      <c r="A69" s="1" t="s">
        <v>38</v>
      </c>
      <c r="B69" s="1" t="s">
        <v>39</v>
      </c>
      <c r="C69" s="1" t="s">
        <v>23</v>
      </c>
      <c r="D69" s="1">
        <v>0.0</v>
      </c>
      <c r="E69" s="1">
        <v>45.0</v>
      </c>
      <c r="F69" s="1">
        <v>10.0</v>
      </c>
      <c r="G69" s="1">
        <v>4.0</v>
      </c>
      <c r="H69" s="1" t="s">
        <v>24</v>
      </c>
      <c r="I69" s="2">
        <v>45768.0</v>
      </c>
      <c r="J69" s="1">
        <v>450000.0</v>
      </c>
      <c r="K69" s="2">
        <v>45748.0</v>
      </c>
    </row>
    <row r="70">
      <c r="A70" s="1" t="s">
        <v>55</v>
      </c>
      <c r="B70" s="1" t="s">
        <v>56</v>
      </c>
      <c r="C70" s="1" t="s">
        <v>36</v>
      </c>
      <c r="D70" s="1">
        <v>29.0</v>
      </c>
      <c r="E70" s="1">
        <v>100.0</v>
      </c>
      <c r="F70" s="1">
        <v>16.0</v>
      </c>
      <c r="G70" s="1">
        <v>5.0</v>
      </c>
      <c r="H70" s="1" t="s">
        <v>37</v>
      </c>
      <c r="I70" s="2">
        <v>45813.0</v>
      </c>
      <c r="J70" s="1">
        <v>85000.0</v>
      </c>
      <c r="K70" s="2">
        <v>45809.0</v>
      </c>
    </row>
    <row r="71">
      <c r="A71" s="1" t="s">
        <v>19</v>
      </c>
      <c r="B71" s="1" t="s">
        <v>20</v>
      </c>
      <c r="C71" s="1" t="s">
        <v>17</v>
      </c>
      <c r="D71" s="1">
        <v>34.0</v>
      </c>
      <c r="E71" s="1">
        <v>30.0</v>
      </c>
      <c r="F71" s="1">
        <v>4.0</v>
      </c>
      <c r="G71" s="1">
        <v>5.0</v>
      </c>
      <c r="H71" s="1" t="s">
        <v>18</v>
      </c>
      <c r="I71" s="2">
        <v>46083.0</v>
      </c>
      <c r="J71" s="1">
        <v>1200000.0</v>
      </c>
      <c r="K71" s="2">
        <v>46082.0</v>
      </c>
    </row>
    <row r="72">
      <c r="A72" s="1" t="s">
        <v>55</v>
      </c>
      <c r="B72" s="1" t="s">
        <v>56</v>
      </c>
      <c r="C72" s="1" t="s">
        <v>36</v>
      </c>
      <c r="D72" s="1">
        <v>60.0</v>
      </c>
      <c r="E72" s="1">
        <v>100.0</v>
      </c>
      <c r="F72" s="1">
        <v>12.0</v>
      </c>
      <c r="G72" s="1">
        <v>4.0</v>
      </c>
      <c r="H72" s="1" t="s">
        <v>37</v>
      </c>
      <c r="I72" s="2">
        <v>45928.0</v>
      </c>
      <c r="J72" s="1">
        <v>85000.0</v>
      </c>
      <c r="K72" s="2">
        <v>45901.0</v>
      </c>
    </row>
    <row r="73">
      <c r="A73" s="1" t="s">
        <v>15</v>
      </c>
      <c r="B73" s="1" t="s">
        <v>16</v>
      </c>
      <c r="C73" s="1" t="s">
        <v>17</v>
      </c>
      <c r="D73" s="1">
        <v>1.0</v>
      </c>
      <c r="E73" s="1">
        <v>15.0</v>
      </c>
      <c r="F73" s="1">
        <v>2.0</v>
      </c>
      <c r="G73" s="1">
        <v>6.0</v>
      </c>
      <c r="H73" s="1" t="s">
        <v>18</v>
      </c>
      <c r="I73" s="2">
        <v>45861.0</v>
      </c>
      <c r="J73" s="1">
        <v>8500000.0</v>
      </c>
      <c r="K73" s="2">
        <v>45839.0</v>
      </c>
    </row>
    <row r="74">
      <c r="A74" s="1" t="s">
        <v>31</v>
      </c>
      <c r="B74" s="1" t="s">
        <v>32</v>
      </c>
      <c r="C74" s="1" t="s">
        <v>13</v>
      </c>
      <c r="D74" s="1">
        <v>177.0</v>
      </c>
      <c r="E74" s="1">
        <v>40.0</v>
      </c>
      <c r="F74" s="1">
        <v>2.0</v>
      </c>
      <c r="G74" s="1">
        <v>4.0</v>
      </c>
      <c r="H74" s="1" t="s">
        <v>33</v>
      </c>
      <c r="I74" s="2">
        <v>45757.0</v>
      </c>
      <c r="J74" s="1">
        <v>550000.0</v>
      </c>
      <c r="K74" s="2">
        <v>45748.0</v>
      </c>
    </row>
    <row r="75">
      <c r="A75" s="1" t="s">
        <v>60</v>
      </c>
      <c r="B75" s="1" t="s">
        <v>61</v>
      </c>
      <c r="C75" s="1" t="s">
        <v>17</v>
      </c>
      <c r="D75" s="1">
        <v>28.0</v>
      </c>
      <c r="E75" s="1">
        <v>20.0</v>
      </c>
      <c r="F75" s="1">
        <v>1.0</v>
      </c>
      <c r="G75" s="1">
        <v>11.0</v>
      </c>
      <c r="H75" s="1" t="s">
        <v>27</v>
      </c>
      <c r="I75" s="2">
        <v>45669.0</v>
      </c>
      <c r="J75" s="1">
        <v>3200000.0</v>
      </c>
      <c r="K75" s="2">
        <v>45658.0</v>
      </c>
    </row>
    <row r="76">
      <c r="A76" s="1" t="s">
        <v>25</v>
      </c>
      <c r="B76" s="1" t="s">
        <v>26</v>
      </c>
      <c r="C76" s="1" t="s">
        <v>17</v>
      </c>
      <c r="D76" s="1">
        <v>42.0</v>
      </c>
      <c r="E76" s="1">
        <v>25.0</v>
      </c>
      <c r="F76" s="1">
        <v>4.0</v>
      </c>
      <c r="G76" s="1">
        <v>19.0</v>
      </c>
      <c r="H76" s="1" t="s">
        <v>27</v>
      </c>
      <c r="I76" s="2">
        <v>45881.0</v>
      </c>
      <c r="J76" s="1">
        <v>4500000.0</v>
      </c>
      <c r="K76" s="2">
        <v>45870.0</v>
      </c>
    </row>
    <row r="77">
      <c r="A77" s="1" t="s">
        <v>51</v>
      </c>
      <c r="B77" s="1" t="s">
        <v>52</v>
      </c>
      <c r="C77" s="1" t="s">
        <v>36</v>
      </c>
      <c r="D77" s="1">
        <v>18.0</v>
      </c>
      <c r="E77" s="1">
        <v>60.0</v>
      </c>
      <c r="F77" s="1">
        <v>8.0</v>
      </c>
      <c r="G77" s="1">
        <v>5.0</v>
      </c>
      <c r="H77" s="1" t="s">
        <v>50</v>
      </c>
      <c r="I77" s="2">
        <v>45712.0</v>
      </c>
      <c r="K77" s="2">
        <v>45689.0</v>
      </c>
    </row>
    <row r="78">
      <c r="A78" s="1" t="s">
        <v>19</v>
      </c>
      <c r="B78" s="1" t="s">
        <v>20</v>
      </c>
      <c r="C78" s="1" t="s">
        <v>17</v>
      </c>
      <c r="D78" s="1">
        <v>17.0</v>
      </c>
      <c r="E78" s="1">
        <v>30.0</v>
      </c>
      <c r="F78" s="1">
        <v>6.0</v>
      </c>
      <c r="G78" s="1">
        <v>8.0</v>
      </c>
      <c r="H78" s="1" t="s">
        <v>18</v>
      </c>
      <c r="I78" s="2">
        <v>45996.0</v>
      </c>
      <c r="J78" s="1">
        <v>1200000.0</v>
      </c>
      <c r="K78" s="2">
        <v>45992.0</v>
      </c>
    </row>
    <row r="79">
      <c r="A79" s="1" t="s">
        <v>11</v>
      </c>
      <c r="B79" s="1" t="s">
        <v>12</v>
      </c>
      <c r="C79" s="1" t="s">
        <v>13</v>
      </c>
      <c r="D79" s="1">
        <v>238.0</v>
      </c>
      <c r="E79" s="1">
        <v>50.0</v>
      </c>
      <c r="F79" s="1">
        <v>2.0</v>
      </c>
      <c r="G79" s="1">
        <v>7.0</v>
      </c>
      <c r="H79" s="1" t="s">
        <v>14</v>
      </c>
      <c r="I79" s="2">
        <v>45671.0</v>
      </c>
      <c r="J79" s="1">
        <v>125000.0</v>
      </c>
      <c r="K79" s="2">
        <v>45658.0</v>
      </c>
    </row>
    <row r="80">
      <c r="A80" s="1" t="s">
        <v>46</v>
      </c>
      <c r="B80" s="1" t="s">
        <v>47</v>
      </c>
      <c r="C80" s="1" t="s">
        <v>23</v>
      </c>
      <c r="D80" s="1">
        <v>0.0</v>
      </c>
      <c r="E80" s="1">
        <v>40.0</v>
      </c>
      <c r="F80" s="1">
        <v>10.0</v>
      </c>
      <c r="G80" s="1">
        <v>7.0</v>
      </c>
      <c r="H80" s="1" t="s">
        <v>30</v>
      </c>
      <c r="I80" s="2">
        <v>46109.0</v>
      </c>
      <c r="J80" s="1">
        <v>550000.0</v>
      </c>
      <c r="K80" s="2">
        <v>46082.0</v>
      </c>
    </row>
    <row r="81">
      <c r="A81" s="1" t="s">
        <v>34</v>
      </c>
      <c r="B81" s="1" t="s">
        <v>35</v>
      </c>
      <c r="C81" s="1" t="s">
        <v>36</v>
      </c>
      <c r="E81" s="1">
        <v>80.0</v>
      </c>
      <c r="F81" s="1">
        <v>11.0</v>
      </c>
      <c r="G81" s="1">
        <v>4.0</v>
      </c>
      <c r="H81" s="1" t="s">
        <v>37</v>
      </c>
      <c r="I81" s="2">
        <v>45766.0</v>
      </c>
      <c r="J81" s="1">
        <v>65000.0</v>
      </c>
      <c r="K81" s="2">
        <v>45748.0</v>
      </c>
    </row>
    <row r="82">
      <c r="A82" s="1" t="s">
        <v>55</v>
      </c>
      <c r="B82" s="1" t="s">
        <v>56</v>
      </c>
      <c r="C82" s="1" t="s">
        <v>36</v>
      </c>
      <c r="D82" s="1">
        <v>26.0</v>
      </c>
      <c r="E82" s="1">
        <v>100.0</v>
      </c>
      <c r="F82" s="1">
        <v>16.0</v>
      </c>
      <c r="G82" s="1">
        <v>4.0</v>
      </c>
      <c r="H82" s="1" t="s">
        <v>37</v>
      </c>
      <c r="I82" s="2">
        <v>45778.0</v>
      </c>
      <c r="J82" s="1">
        <v>85000.0</v>
      </c>
      <c r="K82" s="2">
        <v>45778.0</v>
      </c>
    </row>
    <row r="83">
      <c r="A83" s="1" t="s">
        <v>62</v>
      </c>
      <c r="B83" s="1" t="s">
        <v>63</v>
      </c>
      <c r="C83" s="1" t="s">
        <v>13</v>
      </c>
      <c r="D83" s="1">
        <v>301.0</v>
      </c>
      <c r="E83" s="1">
        <v>80.0</v>
      </c>
      <c r="F83" s="1">
        <v>3.0</v>
      </c>
      <c r="G83" s="1">
        <v>4.0</v>
      </c>
      <c r="H83" s="1" t="s">
        <v>33</v>
      </c>
      <c r="I83" s="2">
        <v>45936.0</v>
      </c>
      <c r="J83" s="1">
        <v>85000.0</v>
      </c>
      <c r="K83" s="2">
        <v>45931.0</v>
      </c>
    </row>
    <row r="84">
      <c r="A84" s="1" t="s">
        <v>57</v>
      </c>
      <c r="B84" s="1" t="s">
        <v>58</v>
      </c>
      <c r="C84" s="1" t="s">
        <v>42</v>
      </c>
      <c r="D84" s="1">
        <v>19.0</v>
      </c>
      <c r="E84" s="1">
        <v>25.0</v>
      </c>
      <c r="F84" s="1">
        <v>4.0</v>
      </c>
      <c r="G84" s="1">
        <v>10.0</v>
      </c>
      <c r="H84" s="1" t="s">
        <v>59</v>
      </c>
      <c r="I84" s="2">
        <v>45729.0</v>
      </c>
      <c r="J84" s="1">
        <v>450000.0</v>
      </c>
      <c r="K84" s="2">
        <v>45717.0</v>
      </c>
    </row>
    <row r="85">
      <c r="A85" s="1" t="s">
        <v>44</v>
      </c>
      <c r="B85" s="1" t="s">
        <v>45</v>
      </c>
      <c r="C85" s="1" t="s">
        <v>42</v>
      </c>
      <c r="D85" s="1">
        <v>51.0</v>
      </c>
      <c r="E85" s="1">
        <v>30.0</v>
      </c>
      <c r="F85" s="1">
        <v>6.0</v>
      </c>
      <c r="G85" s="1">
        <v>9.0</v>
      </c>
      <c r="H85" s="1" t="s">
        <v>43</v>
      </c>
      <c r="I85" s="2">
        <v>45752.0</v>
      </c>
      <c r="J85" s="1">
        <v>350000.0</v>
      </c>
      <c r="K85" s="2">
        <v>45748.0</v>
      </c>
    </row>
    <row r="86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</row>
    <row r="87">
      <c r="A87" s="1" t="s">
        <v>53</v>
      </c>
      <c r="B87" s="1" t="s">
        <v>54</v>
      </c>
      <c r="C87" s="1" t="s">
        <v>13</v>
      </c>
      <c r="D87" s="1">
        <v>223.0</v>
      </c>
      <c r="E87" s="1">
        <v>60.0</v>
      </c>
      <c r="F87" s="1">
        <v>4.0</v>
      </c>
      <c r="G87" s="1">
        <v>8.0</v>
      </c>
      <c r="H87" s="1" t="s">
        <v>14</v>
      </c>
      <c r="I87" s="2">
        <v>46108.0</v>
      </c>
      <c r="J87" s="1">
        <v>165000.0</v>
      </c>
      <c r="K87" s="2">
        <v>46082.0</v>
      </c>
    </row>
    <row r="88">
      <c r="A88" s="1" t="s">
        <v>21</v>
      </c>
      <c r="B88" s="1" t="s">
        <v>22</v>
      </c>
      <c r="C88" s="1" t="s">
        <v>23</v>
      </c>
      <c r="D88" s="1">
        <v>34.0</v>
      </c>
      <c r="E88" s="1">
        <v>50.0</v>
      </c>
      <c r="F88" s="1">
        <v>6.0</v>
      </c>
      <c r="G88" s="1">
        <v>6.0</v>
      </c>
      <c r="H88" s="1" t="s">
        <v>24</v>
      </c>
      <c r="I88" s="2">
        <v>45849.0</v>
      </c>
      <c r="J88" s="1">
        <v>350000.0</v>
      </c>
      <c r="K88" s="2">
        <v>45839.0</v>
      </c>
    </row>
    <row r="89">
      <c r="A89" s="1" t="s">
        <v>46</v>
      </c>
      <c r="B89" s="1" t="s">
        <v>47</v>
      </c>
      <c r="C89" s="1" t="s">
        <v>23</v>
      </c>
      <c r="D89" s="1">
        <v>10.0</v>
      </c>
      <c r="E89" s="1">
        <v>40.0</v>
      </c>
      <c r="F89" s="1">
        <v>4.0</v>
      </c>
      <c r="G89" s="1">
        <v>3.0</v>
      </c>
      <c r="H89" s="1" t="s">
        <v>30</v>
      </c>
      <c r="I89" s="2">
        <v>46055.0</v>
      </c>
      <c r="J89" s="1">
        <v>550000.0</v>
      </c>
      <c r="K89" s="2">
        <v>46054.0</v>
      </c>
    </row>
    <row r="90">
      <c r="A90" s="1" t="s">
        <v>62</v>
      </c>
      <c r="B90" s="1" t="s">
        <v>63</v>
      </c>
      <c r="C90" s="1" t="s">
        <v>13</v>
      </c>
      <c r="D90" s="1">
        <v>436.0</v>
      </c>
      <c r="E90" s="1">
        <v>80.0</v>
      </c>
      <c r="F90" s="1">
        <v>4.0</v>
      </c>
      <c r="G90" s="1">
        <v>4.0</v>
      </c>
      <c r="H90" s="1" t="s">
        <v>33</v>
      </c>
      <c r="I90" s="2">
        <v>45755.0</v>
      </c>
      <c r="J90" s="1">
        <v>85000.0</v>
      </c>
      <c r="K90" s="2">
        <v>45748.0</v>
      </c>
    </row>
    <row r="91">
      <c r="A91" s="1" t="s">
        <v>25</v>
      </c>
      <c r="B91" s="1" t="s">
        <v>26</v>
      </c>
      <c r="C91" s="1" t="s">
        <v>17</v>
      </c>
      <c r="D91" s="1">
        <v>0.0</v>
      </c>
      <c r="E91" s="1">
        <v>25.0</v>
      </c>
      <c r="F91" s="1">
        <v>8.0</v>
      </c>
      <c r="G91" s="1">
        <v>10.0</v>
      </c>
      <c r="H91" s="1" t="s">
        <v>27</v>
      </c>
      <c r="I91" s="2">
        <v>46013.0</v>
      </c>
      <c r="J91" s="1">
        <v>4500000.0</v>
      </c>
      <c r="K91" s="2">
        <v>45992.0</v>
      </c>
    </row>
    <row r="92">
      <c r="A92" s="1" t="s">
        <v>25</v>
      </c>
      <c r="B92" s="1" t="s">
        <v>26</v>
      </c>
      <c r="C92" s="1" t="s">
        <v>17</v>
      </c>
      <c r="D92" s="1">
        <v>20.0</v>
      </c>
      <c r="E92" s="1">
        <v>25.0</v>
      </c>
      <c r="F92" s="1">
        <v>4.0</v>
      </c>
      <c r="G92" s="1">
        <v>19.0</v>
      </c>
      <c r="H92" s="1" t="s">
        <v>27</v>
      </c>
      <c r="I92" s="2">
        <v>45786.0</v>
      </c>
      <c r="J92" s="1">
        <v>4500000.0</v>
      </c>
      <c r="K92" s="2">
        <v>45778.0</v>
      </c>
    </row>
    <row r="93">
      <c r="A93" s="1" t="s">
        <v>57</v>
      </c>
      <c r="B93" s="1" t="s">
        <v>58</v>
      </c>
      <c r="C93" s="1" t="s">
        <v>42</v>
      </c>
      <c r="D93" s="1">
        <v>42.0</v>
      </c>
      <c r="E93" s="1">
        <v>25.0</v>
      </c>
      <c r="F93" s="1">
        <v>4.0</v>
      </c>
      <c r="G93" s="1">
        <v>8.0</v>
      </c>
      <c r="H93" s="1" t="s">
        <v>59</v>
      </c>
      <c r="I93" s="2">
        <v>46029.0</v>
      </c>
      <c r="J93" s="1">
        <v>450000.0</v>
      </c>
      <c r="K93" s="2">
        <v>46023.0</v>
      </c>
    </row>
    <row r="94">
      <c r="A94" s="1" t="s">
        <v>28</v>
      </c>
      <c r="B94" s="1" t="s">
        <v>29</v>
      </c>
      <c r="C94" s="1" t="s">
        <v>23</v>
      </c>
      <c r="D94" s="1">
        <v>0.0</v>
      </c>
      <c r="E94" s="1">
        <v>35.0</v>
      </c>
      <c r="F94" s="1">
        <v>12.0</v>
      </c>
      <c r="G94" s="1">
        <v>9.0</v>
      </c>
      <c r="H94" s="1" t="s">
        <v>30</v>
      </c>
      <c r="I94" s="2">
        <v>45746.0</v>
      </c>
      <c r="J94" s="1">
        <v>1250000.0</v>
      </c>
      <c r="K94" s="2">
        <v>45717.0</v>
      </c>
    </row>
    <row r="95">
      <c r="A95" s="1" t="s">
        <v>38</v>
      </c>
      <c r="B95" s="1" t="s">
        <v>39</v>
      </c>
      <c r="C95" s="1" t="s">
        <v>23</v>
      </c>
      <c r="D95" s="1">
        <v>34.0</v>
      </c>
      <c r="E95" s="1">
        <v>45.0</v>
      </c>
      <c r="F95" s="1">
        <v>5.0</v>
      </c>
      <c r="G95" s="1">
        <v>4.0</v>
      </c>
      <c r="H95" s="1" t="s">
        <v>24</v>
      </c>
      <c r="I95" s="2">
        <v>45801.0</v>
      </c>
      <c r="J95" s="1">
        <v>450000.0</v>
      </c>
      <c r="K95" s="2">
        <v>45778.0</v>
      </c>
    </row>
    <row r="96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10.0</v>
      </c>
      <c r="G96" s="1">
        <v>7.0</v>
      </c>
      <c r="H96" s="1" t="s">
        <v>30</v>
      </c>
      <c r="I96" s="2">
        <v>46008.0</v>
      </c>
      <c r="J96" s="1">
        <v>1250000.0</v>
      </c>
      <c r="K96" s="2">
        <v>45992.0</v>
      </c>
    </row>
    <row r="97">
      <c r="A97" s="1" t="s">
        <v>31</v>
      </c>
      <c r="B97" s="1" t="s">
        <v>32</v>
      </c>
      <c r="C97" s="1" t="s">
        <v>13</v>
      </c>
      <c r="D97" s="1">
        <v>169.0</v>
      </c>
      <c r="E97" s="1">
        <v>40.0</v>
      </c>
      <c r="F97" s="1">
        <v>3.0</v>
      </c>
      <c r="G97" s="1">
        <v>4.0</v>
      </c>
      <c r="H97" s="1" t="s">
        <v>33</v>
      </c>
      <c r="I97" s="2">
        <v>46074.0</v>
      </c>
      <c r="J97" s="1">
        <v>550000.0</v>
      </c>
      <c r="K97" s="2">
        <v>46054.0</v>
      </c>
    </row>
    <row r="98">
      <c r="A98" s="1" t="s">
        <v>21</v>
      </c>
      <c r="B98" s="1" t="s">
        <v>22</v>
      </c>
      <c r="C98" s="1" t="s">
        <v>23</v>
      </c>
      <c r="D98" s="1">
        <v>15.0</v>
      </c>
      <c r="E98" s="1">
        <v>50.0</v>
      </c>
      <c r="F98" s="1">
        <v>7.0</v>
      </c>
      <c r="G98" s="1">
        <v>7.0</v>
      </c>
      <c r="H98" s="1" t="s">
        <v>24</v>
      </c>
      <c r="I98" s="2">
        <v>46032.0</v>
      </c>
      <c r="J98" s="1">
        <v>350000.0</v>
      </c>
      <c r="K98" s="2">
        <v>46023.0</v>
      </c>
    </row>
    <row r="99">
      <c r="A99" s="1" t="s">
        <v>48</v>
      </c>
      <c r="B99" s="1" t="s">
        <v>49</v>
      </c>
      <c r="C99" s="1" t="s">
        <v>36</v>
      </c>
      <c r="D99" s="1">
        <v>48.0</v>
      </c>
      <c r="E99" s="1">
        <v>120.0</v>
      </c>
      <c r="F99" s="1">
        <v>18.0</v>
      </c>
      <c r="G99" s="1">
        <v>6.0</v>
      </c>
      <c r="H99" s="1" t="s">
        <v>50</v>
      </c>
      <c r="I99" s="2">
        <v>46074.0</v>
      </c>
      <c r="J99" s="1">
        <v>55000.0</v>
      </c>
      <c r="K99" s="2">
        <v>46054.0</v>
      </c>
    </row>
    <row r="100">
      <c r="A100" s="1" t="s">
        <v>25</v>
      </c>
      <c r="B100" s="1" t="s">
        <v>26</v>
      </c>
      <c r="C100" s="1" t="s">
        <v>17</v>
      </c>
      <c r="D100" s="1">
        <v>0.0</v>
      </c>
      <c r="E100" s="1">
        <v>25.0</v>
      </c>
      <c r="F100" s="1">
        <v>3.0</v>
      </c>
      <c r="G100" s="1">
        <v>18.0</v>
      </c>
      <c r="H100" s="1" t="s">
        <v>27</v>
      </c>
      <c r="I100" s="2">
        <v>45663.0</v>
      </c>
      <c r="J100" s="1">
        <v>4500000.0</v>
      </c>
      <c r="K100" s="2">
        <v>45658.0</v>
      </c>
    </row>
    <row r="101">
      <c r="A101" s="1" t="s">
        <v>15</v>
      </c>
      <c r="B101" s="1" t="s">
        <v>16</v>
      </c>
      <c r="C101" s="1" t="s">
        <v>17</v>
      </c>
      <c r="D101" s="1">
        <v>0.0</v>
      </c>
      <c r="E101" s="1">
        <v>15.0</v>
      </c>
      <c r="F101" s="1">
        <v>3.0</v>
      </c>
      <c r="G101" s="1">
        <v>8.0</v>
      </c>
      <c r="H101" s="1" t="s">
        <v>18</v>
      </c>
      <c r="I101" s="2">
        <v>45979.0</v>
      </c>
      <c r="J101" s="1">
        <v>8500000.0</v>
      </c>
      <c r="K101" s="2">
        <v>45962.0</v>
      </c>
    </row>
    <row r="102">
      <c r="A102" s="1" t="s">
        <v>44</v>
      </c>
      <c r="B102" s="1" t="s">
        <v>45</v>
      </c>
      <c r="C102" s="1" t="s">
        <v>42</v>
      </c>
      <c r="D102" s="1">
        <v>53.0</v>
      </c>
      <c r="E102" s="1">
        <v>30.0</v>
      </c>
      <c r="F102" s="1">
        <v>5.0</v>
      </c>
      <c r="G102" s="1">
        <v>4.0</v>
      </c>
      <c r="H102" s="1" t="s">
        <v>43</v>
      </c>
      <c r="I102" s="2">
        <v>45730.0</v>
      </c>
      <c r="J102" s="1">
        <v>350000.0</v>
      </c>
      <c r="K102" s="2">
        <v>45717.0</v>
      </c>
    </row>
    <row r="103">
      <c r="A103" s="1" t="s">
        <v>40</v>
      </c>
      <c r="B103" s="1" t="s">
        <v>41</v>
      </c>
      <c r="C103" s="1" t="s">
        <v>42</v>
      </c>
      <c r="D103" s="1">
        <v>12.0</v>
      </c>
      <c r="E103" s="1">
        <v>15.0</v>
      </c>
      <c r="F103" s="1">
        <v>4.0</v>
      </c>
      <c r="G103" s="1">
        <v>10.0</v>
      </c>
      <c r="H103" s="1" t="s">
        <v>43</v>
      </c>
      <c r="I103" s="2">
        <v>45717.0</v>
      </c>
      <c r="J103" s="1">
        <v>1200000.0</v>
      </c>
      <c r="K103" s="2">
        <v>45717.0</v>
      </c>
    </row>
    <row r="104">
      <c r="A104" s="1" t="s">
        <v>28</v>
      </c>
      <c r="B104" s="1" t="s">
        <v>29</v>
      </c>
      <c r="C104" s="1" t="s">
        <v>23</v>
      </c>
      <c r="D104" s="1">
        <v>31.0</v>
      </c>
      <c r="E104" s="1">
        <v>35.0</v>
      </c>
      <c r="F104" s="1">
        <v>3.0</v>
      </c>
      <c r="G104" s="1">
        <v>6.0</v>
      </c>
      <c r="H104" s="1" t="s">
        <v>30</v>
      </c>
      <c r="I104" s="2">
        <v>45891.0</v>
      </c>
      <c r="J104" s="1">
        <v>1250000.0</v>
      </c>
      <c r="K104" s="2">
        <v>45870.0</v>
      </c>
    </row>
    <row r="105">
      <c r="A105" s="1" t="s">
        <v>21</v>
      </c>
      <c r="B105" s="1" t="s">
        <v>22</v>
      </c>
      <c r="C105" s="1" t="s">
        <v>23</v>
      </c>
      <c r="D105" s="1">
        <v>21.0</v>
      </c>
      <c r="E105" s="1">
        <v>50.0</v>
      </c>
      <c r="F105" s="1">
        <v>7.0</v>
      </c>
      <c r="G105" s="1">
        <v>3.0</v>
      </c>
      <c r="H105" s="1" t="s">
        <v>24</v>
      </c>
      <c r="I105" s="2">
        <v>45918.0</v>
      </c>
      <c r="J105" s="1">
        <v>350000.0</v>
      </c>
      <c r="K105" s="2">
        <v>45901.0</v>
      </c>
    </row>
    <row r="106">
      <c r="A106" s="1" t="s">
        <v>11</v>
      </c>
      <c r="B106" s="1" t="s">
        <v>12</v>
      </c>
      <c r="C106" s="1" t="s">
        <v>13</v>
      </c>
      <c r="D106" s="1">
        <v>250.0</v>
      </c>
      <c r="E106" s="1">
        <v>50.0</v>
      </c>
      <c r="F106" s="1">
        <v>1.0</v>
      </c>
      <c r="G106" s="1">
        <v>7.0</v>
      </c>
      <c r="H106" s="1" t="s">
        <v>14</v>
      </c>
      <c r="I106" s="2">
        <v>46050.0</v>
      </c>
      <c r="J106" s="1">
        <v>125000.0</v>
      </c>
      <c r="K106" s="2">
        <v>46023.0</v>
      </c>
    </row>
    <row r="107">
      <c r="A107" s="1" t="s">
        <v>60</v>
      </c>
      <c r="B107" s="1" t="s">
        <v>61</v>
      </c>
      <c r="C107" s="1" t="s">
        <v>17</v>
      </c>
      <c r="D107" s="1">
        <v>-19.0</v>
      </c>
      <c r="E107" s="1">
        <v>20.0</v>
      </c>
      <c r="F107" s="1">
        <v>2.0</v>
      </c>
      <c r="G107" s="1">
        <v>18.0</v>
      </c>
      <c r="H107" s="1" t="s">
        <v>27</v>
      </c>
      <c r="I107" s="2">
        <v>45884.0</v>
      </c>
      <c r="J107" s="1">
        <v>3200000.0</v>
      </c>
      <c r="K107" s="2">
        <v>45870.0</v>
      </c>
    </row>
    <row r="108">
      <c r="A108" s="1" t="s">
        <v>25</v>
      </c>
      <c r="B108" s="1" t="s">
        <v>26</v>
      </c>
      <c r="C108" s="1" t="s">
        <v>17</v>
      </c>
      <c r="D108" s="1">
        <v>32.0</v>
      </c>
      <c r="E108" s="1">
        <v>25.0</v>
      </c>
      <c r="F108" s="1">
        <v>4.0</v>
      </c>
      <c r="G108" s="1">
        <v>9.0</v>
      </c>
      <c r="H108" s="1" t="s">
        <v>27</v>
      </c>
      <c r="I108" s="2">
        <v>45708.0</v>
      </c>
      <c r="J108" s="1">
        <v>4500000.0</v>
      </c>
      <c r="K108" s="2">
        <v>45689.0</v>
      </c>
    </row>
    <row r="109">
      <c r="A109" s="1" t="s">
        <v>19</v>
      </c>
      <c r="B109" s="1" t="s">
        <v>20</v>
      </c>
      <c r="C109" s="1" t="s">
        <v>17</v>
      </c>
      <c r="D109" s="1">
        <v>-12.0</v>
      </c>
      <c r="E109" s="1">
        <v>30.0</v>
      </c>
      <c r="F109" s="1">
        <v>6.0</v>
      </c>
      <c r="G109" s="1">
        <v>7.0</v>
      </c>
      <c r="H109" s="1" t="s">
        <v>18</v>
      </c>
      <c r="I109" s="2">
        <v>45975.0</v>
      </c>
      <c r="J109" s="1">
        <v>1200000.0</v>
      </c>
      <c r="K109" s="2">
        <v>45962.0</v>
      </c>
    </row>
    <row r="110">
      <c r="A110" s="1" t="s">
        <v>40</v>
      </c>
      <c r="B110" s="1" t="s">
        <v>41</v>
      </c>
      <c r="C110" s="1" t="s">
        <v>42</v>
      </c>
      <c r="D110" s="1">
        <v>3.0</v>
      </c>
      <c r="E110" s="1">
        <v>15.0</v>
      </c>
      <c r="F110" s="1">
        <v>3.0</v>
      </c>
      <c r="G110" s="1">
        <v>8.0</v>
      </c>
      <c r="H110" s="1" t="s">
        <v>43</v>
      </c>
      <c r="I110" s="2">
        <v>45815.0</v>
      </c>
      <c r="J110" s="1">
        <v>1200000.0</v>
      </c>
      <c r="K110" s="2">
        <v>45809.0</v>
      </c>
    </row>
    <row r="111">
      <c r="A111" s="1" t="s">
        <v>51</v>
      </c>
      <c r="B111" s="1" t="s">
        <v>52</v>
      </c>
      <c r="C111" s="1" t="s">
        <v>36</v>
      </c>
      <c r="D111" s="1">
        <v>0.0</v>
      </c>
      <c r="E111" s="1">
        <v>60.0</v>
      </c>
      <c r="F111" s="1">
        <v>13.0</v>
      </c>
      <c r="G111" s="1">
        <v>4.0</v>
      </c>
      <c r="H111" s="1" t="s">
        <v>50</v>
      </c>
      <c r="I111" s="2">
        <v>46004.0</v>
      </c>
      <c r="J111" s="1">
        <v>175000.0</v>
      </c>
      <c r="K111" s="2">
        <v>45992.0</v>
      </c>
    </row>
    <row r="112">
      <c r="A112" s="1" t="s">
        <v>21</v>
      </c>
      <c r="B112" s="1" t="s">
        <v>22</v>
      </c>
      <c r="C112" s="1" t="s">
        <v>23</v>
      </c>
      <c r="D112" s="1">
        <v>26.0</v>
      </c>
      <c r="E112" s="1">
        <v>50.0</v>
      </c>
      <c r="F112" s="1">
        <v>8.0</v>
      </c>
      <c r="G112" s="1">
        <v>3.0</v>
      </c>
      <c r="H112" s="1" t="s">
        <v>24</v>
      </c>
      <c r="I112" s="2">
        <v>45884.0</v>
      </c>
      <c r="J112" s="1">
        <v>350000.0</v>
      </c>
      <c r="K112" s="2">
        <v>45870.0</v>
      </c>
    </row>
    <row r="113">
      <c r="A113" s="1" t="s">
        <v>46</v>
      </c>
      <c r="B113" s="1" t="s">
        <v>47</v>
      </c>
      <c r="C113" s="1" t="s">
        <v>23</v>
      </c>
      <c r="D113" s="1">
        <v>32.0</v>
      </c>
      <c r="E113" s="1">
        <v>40.0</v>
      </c>
      <c r="F113" s="1">
        <v>5.0</v>
      </c>
      <c r="G113" s="1">
        <v>5.0</v>
      </c>
      <c r="H113" s="1" t="s">
        <v>30</v>
      </c>
      <c r="I113" s="2">
        <v>45915.0</v>
      </c>
      <c r="J113" s="1">
        <v>550000.0</v>
      </c>
      <c r="K113" s="2">
        <v>45901.0</v>
      </c>
    </row>
    <row r="114">
      <c r="A114" s="1" t="s">
        <v>21</v>
      </c>
      <c r="B114" s="1" t="s">
        <v>22</v>
      </c>
      <c r="C114" s="1" t="s">
        <v>23</v>
      </c>
      <c r="D114" s="1">
        <v>28.0</v>
      </c>
      <c r="E114" s="1">
        <v>50.0</v>
      </c>
      <c r="F114" s="1">
        <v>7.0</v>
      </c>
      <c r="G114" s="1">
        <v>7.0</v>
      </c>
      <c r="H114" s="1" t="s">
        <v>24</v>
      </c>
      <c r="I114" s="2">
        <v>45939.0</v>
      </c>
      <c r="J114" s="1">
        <v>350000.0</v>
      </c>
      <c r="K114" s="2">
        <v>45931.0</v>
      </c>
    </row>
    <row r="115">
      <c r="A115" s="1" t="s">
        <v>60</v>
      </c>
      <c r="B115" s="1" t="s">
        <v>61</v>
      </c>
      <c r="C115" s="1" t="s">
        <v>17</v>
      </c>
      <c r="D115" s="1">
        <v>0.0</v>
      </c>
      <c r="E115" s="1">
        <v>20.0</v>
      </c>
      <c r="F115" s="1">
        <v>1.0</v>
      </c>
      <c r="G115" s="1">
        <v>23.0</v>
      </c>
      <c r="H115" s="1" t="s">
        <v>27</v>
      </c>
      <c r="I115" s="2">
        <v>45689.0</v>
      </c>
      <c r="J115" s="1">
        <v>3200000.0</v>
      </c>
      <c r="K115" s="2">
        <v>45689.0</v>
      </c>
    </row>
    <row r="116">
      <c r="A116" s="1" t="s">
        <v>31</v>
      </c>
      <c r="B116" s="1" t="s">
        <v>32</v>
      </c>
      <c r="C116" s="1" t="s">
        <v>13</v>
      </c>
      <c r="D116" s="1">
        <v>221.0</v>
      </c>
      <c r="E116" s="1">
        <v>40.0</v>
      </c>
      <c r="F116" s="1">
        <v>2.0</v>
      </c>
      <c r="G116" s="1">
        <v>5.0</v>
      </c>
      <c r="H116" s="1" t="s">
        <v>33</v>
      </c>
      <c r="I116" s="2">
        <v>45791.0</v>
      </c>
      <c r="J116" s="1">
        <v>550000.0</v>
      </c>
      <c r="K116" s="2">
        <v>45778.0</v>
      </c>
    </row>
    <row r="117">
      <c r="A117" s="1" t="s">
        <v>40</v>
      </c>
      <c r="B117" s="1" t="s">
        <v>41</v>
      </c>
      <c r="C117" s="1" t="s">
        <v>42</v>
      </c>
      <c r="D117" s="1">
        <v>22.0</v>
      </c>
      <c r="E117" s="1">
        <v>15.0</v>
      </c>
      <c r="F117" s="1">
        <v>3.0</v>
      </c>
      <c r="G117" s="1">
        <v>4.0</v>
      </c>
      <c r="H117" s="1" t="s">
        <v>43</v>
      </c>
      <c r="I117" s="2">
        <v>45919.0</v>
      </c>
      <c r="J117" s="1">
        <v>1200000.0</v>
      </c>
      <c r="K117" s="2">
        <v>45901.0</v>
      </c>
    </row>
    <row r="118">
      <c r="A118" s="1" t="s">
        <v>11</v>
      </c>
      <c r="B118" s="1" t="s">
        <v>12</v>
      </c>
      <c r="C118" s="1" t="s">
        <v>13</v>
      </c>
      <c r="D118" s="1">
        <v>185.0</v>
      </c>
      <c r="E118" s="1">
        <v>50.0</v>
      </c>
      <c r="F118" s="1">
        <v>2.0</v>
      </c>
      <c r="G118" s="1">
        <v>8.0</v>
      </c>
      <c r="H118" s="1" t="s">
        <v>14</v>
      </c>
      <c r="I118" s="2">
        <v>46078.0</v>
      </c>
      <c r="J118" s="1">
        <v>125000.0</v>
      </c>
      <c r="K118" s="2">
        <v>46054.0</v>
      </c>
    </row>
    <row r="119">
      <c r="A119" s="1" t="s">
        <v>64</v>
      </c>
      <c r="B119" s="1" t="s">
        <v>65</v>
      </c>
      <c r="C119" s="1" t="s">
        <v>42</v>
      </c>
      <c r="D119" s="1">
        <v>32.0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45865.0</v>
      </c>
      <c r="J119" s="1">
        <v>750000.0</v>
      </c>
      <c r="K119" s="2">
        <v>45839.0</v>
      </c>
    </row>
    <row r="120">
      <c r="A120" s="1" t="s">
        <v>25</v>
      </c>
      <c r="B120" s="1" t="s">
        <v>26</v>
      </c>
      <c r="C120" s="1" t="s">
        <v>17</v>
      </c>
      <c r="D120" s="1">
        <v>32.0</v>
      </c>
      <c r="E120" s="1">
        <v>25.0</v>
      </c>
      <c r="F120" s="1">
        <v>3.0</v>
      </c>
      <c r="G120" s="1">
        <v>8.0</v>
      </c>
      <c r="H120" s="1" t="s">
        <v>27</v>
      </c>
      <c r="I120" s="2">
        <v>45755.0</v>
      </c>
      <c r="J120" s="1">
        <v>4500000.0</v>
      </c>
      <c r="K120" s="2">
        <v>45748.0</v>
      </c>
    </row>
    <row r="121">
      <c r="A121" s="1" t="s">
        <v>48</v>
      </c>
      <c r="B121" s="1" t="s">
        <v>49</v>
      </c>
      <c r="C121" s="1" t="s">
        <v>36</v>
      </c>
      <c r="D121" s="1">
        <v>154.0</v>
      </c>
      <c r="E121" s="1">
        <v>120.0</v>
      </c>
      <c r="F121" s="1">
        <v>19.0</v>
      </c>
      <c r="G121" s="1">
        <v>6.0</v>
      </c>
      <c r="H121" s="1" t="s">
        <v>50</v>
      </c>
      <c r="I121" s="2">
        <v>45978.0</v>
      </c>
      <c r="J121" s="1">
        <v>55000.0</v>
      </c>
      <c r="K121" s="2">
        <v>45962.0</v>
      </c>
    </row>
    <row r="122">
      <c r="A122" s="1" t="s">
        <v>28</v>
      </c>
      <c r="B122" s="1" t="s">
        <v>29</v>
      </c>
      <c r="C122" s="1" t="s">
        <v>23</v>
      </c>
      <c r="D122" s="1">
        <v>18.0</v>
      </c>
      <c r="E122" s="1">
        <v>35.0</v>
      </c>
      <c r="F122" s="1">
        <v>7.0</v>
      </c>
      <c r="G122" s="1">
        <v>5.0</v>
      </c>
      <c r="H122" s="1" t="s">
        <v>30</v>
      </c>
      <c r="I122" s="2">
        <v>45859.0</v>
      </c>
      <c r="J122" s="1">
        <v>1250000.0</v>
      </c>
      <c r="K122" s="2">
        <v>45839.0</v>
      </c>
    </row>
    <row r="123">
      <c r="A123" s="1" t="s">
        <v>57</v>
      </c>
      <c r="B123" s="1" t="s">
        <v>58</v>
      </c>
      <c r="C123" s="1" t="s">
        <v>42</v>
      </c>
      <c r="D123" s="1">
        <v>14.0</v>
      </c>
      <c r="E123" s="1">
        <v>25.0</v>
      </c>
      <c r="F123" s="1">
        <v>5.0</v>
      </c>
      <c r="G123" s="1">
        <v>9.0</v>
      </c>
      <c r="H123" s="1" t="s">
        <v>59</v>
      </c>
      <c r="I123" s="2">
        <v>45816.0</v>
      </c>
      <c r="K123" s="2">
        <v>45809.0</v>
      </c>
    </row>
    <row r="124">
      <c r="A124" s="1" t="s">
        <v>44</v>
      </c>
      <c r="B124" s="1" t="s">
        <v>45</v>
      </c>
      <c r="C124" s="1" t="s">
        <v>42</v>
      </c>
      <c r="D124" s="1">
        <v>34.0</v>
      </c>
      <c r="E124" s="1">
        <v>30.0</v>
      </c>
      <c r="F124" s="1">
        <v>5.0</v>
      </c>
      <c r="G124" s="1">
        <v>5.0</v>
      </c>
      <c r="H124" s="1" t="s">
        <v>43</v>
      </c>
      <c r="I124" s="2">
        <v>46007.0</v>
      </c>
      <c r="J124" s="1">
        <v>350000.0</v>
      </c>
      <c r="K124" s="2">
        <v>45992.0</v>
      </c>
    </row>
    <row r="125">
      <c r="A125" s="1" t="s">
        <v>38</v>
      </c>
      <c r="B125" s="1" t="s">
        <v>39</v>
      </c>
      <c r="C125" s="1" t="s">
        <v>23</v>
      </c>
      <c r="D125" s="1">
        <v>0.0</v>
      </c>
      <c r="E125" s="1">
        <v>45.0</v>
      </c>
      <c r="F125" s="1">
        <v>13.0</v>
      </c>
      <c r="G125" s="1">
        <v>7.0</v>
      </c>
      <c r="H125" s="1" t="s">
        <v>24</v>
      </c>
      <c r="I125" s="2">
        <v>46015.0</v>
      </c>
      <c r="J125" s="1">
        <v>450000.0</v>
      </c>
      <c r="K125" s="2">
        <v>45992.0</v>
      </c>
    </row>
    <row r="126">
      <c r="A126" s="1" t="s">
        <v>34</v>
      </c>
      <c r="B126" s="1" t="s">
        <v>35</v>
      </c>
      <c r="C126" s="1" t="s">
        <v>36</v>
      </c>
      <c r="D126" s="1">
        <v>17.0</v>
      </c>
      <c r="E126" s="1">
        <v>80.0</v>
      </c>
      <c r="F126" s="1">
        <v>11.0</v>
      </c>
      <c r="G126" s="1">
        <v>5.0</v>
      </c>
      <c r="H126" s="1" t="s">
        <v>37</v>
      </c>
      <c r="I126" s="2">
        <v>45882.0</v>
      </c>
      <c r="J126" s="1">
        <v>65000.0</v>
      </c>
      <c r="K126" s="2">
        <v>45870.0</v>
      </c>
    </row>
    <row r="127">
      <c r="A127" s="1" t="s">
        <v>51</v>
      </c>
      <c r="B127" s="1" t="s">
        <v>52</v>
      </c>
      <c r="C127" s="1" t="s">
        <v>36</v>
      </c>
      <c r="D127" s="1">
        <v>0.0</v>
      </c>
      <c r="E127" s="1">
        <v>60.0</v>
      </c>
      <c r="F127" s="1">
        <v>14.0</v>
      </c>
      <c r="G127" s="1">
        <v>4.0</v>
      </c>
      <c r="H127" s="1" t="s">
        <v>50</v>
      </c>
      <c r="I127" s="2">
        <v>45741.0</v>
      </c>
      <c r="J127" s="1">
        <v>175000.0</v>
      </c>
      <c r="K127" s="2">
        <v>45717.0</v>
      </c>
    </row>
    <row r="128">
      <c r="A128" s="1" t="s">
        <v>40</v>
      </c>
      <c r="B128" s="1" t="s">
        <v>41</v>
      </c>
      <c r="C128" s="1" t="s">
        <v>42</v>
      </c>
      <c r="D128" s="1">
        <v>13.0</v>
      </c>
      <c r="E128" s="1">
        <v>15.0</v>
      </c>
      <c r="F128" s="1">
        <v>2.0</v>
      </c>
      <c r="G128" s="1">
        <v>7.0</v>
      </c>
      <c r="H128" s="1" t="s">
        <v>43</v>
      </c>
      <c r="I128" s="2">
        <v>45799.0</v>
      </c>
      <c r="J128" s="1">
        <v>1200000.0</v>
      </c>
      <c r="K128" s="2">
        <v>45778.0</v>
      </c>
    </row>
    <row r="129">
      <c r="A129" s="1" t="s">
        <v>34</v>
      </c>
      <c r="B129" s="1" t="s">
        <v>35</v>
      </c>
      <c r="C129" s="1" t="s">
        <v>36</v>
      </c>
      <c r="D129" s="1">
        <v>9.0</v>
      </c>
      <c r="E129" s="1">
        <v>80.0</v>
      </c>
      <c r="F129" s="1">
        <v>11.0</v>
      </c>
      <c r="G129" s="1">
        <v>4.0</v>
      </c>
      <c r="H129" s="1" t="s">
        <v>37</v>
      </c>
      <c r="I129" s="2">
        <v>46077.0</v>
      </c>
      <c r="J129" s="1">
        <v>65000.0</v>
      </c>
      <c r="K129" s="2">
        <v>46054.0</v>
      </c>
    </row>
    <row r="130">
      <c r="A130" s="1" t="s">
        <v>53</v>
      </c>
      <c r="B130" s="1" t="s">
        <v>54</v>
      </c>
      <c r="C130" s="1" t="s">
        <v>13</v>
      </c>
      <c r="D130" s="1">
        <v>202.0</v>
      </c>
      <c r="E130" s="1">
        <v>60.0</v>
      </c>
      <c r="F130" s="1">
        <v>2.0</v>
      </c>
      <c r="G130" s="1">
        <v>4.0</v>
      </c>
      <c r="H130" s="1" t="s">
        <v>14</v>
      </c>
      <c r="I130" s="2">
        <v>46019.0</v>
      </c>
      <c r="J130" s="1">
        <v>165000.0</v>
      </c>
      <c r="K130" s="2">
        <v>45992.0</v>
      </c>
    </row>
    <row r="131">
      <c r="A131" s="1" t="s">
        <v>53</v>
      </c>
      <c r="B131" s="1" t="s">
        <v>54</v>
      </c>
      <c r="C131" s="1" t="s">
        <v>13</v>
      </c>
      <c r="D131" s="1">
        <v>252.0</v>
      </c>
      <c r="E131" s="1">
        <v>60.0</v>
      </c>
      <c r="F131" s="1">
        <v>4.0</v>
      </c>
      <c r="G131" s="1">
        <v>7.0</v>
      </c>
      <c r="H131" s="1" t="s">
        <v>14</v>
      </c>
      <c r="I131" s="2">
        <v>45930.0</v>
      </c>
      <c r="J131" s="1">
        <v>165000.0</v>
      </c>
      <c r="K131" s="2">
        <v>45901.0</v>
      </c>
    </row>
    <row r="132">
      <c r="A132" s="1" t="s">
        <v>64</v>
      </c>
      <c r="B132" s="1" t="s">
        <v>65</v>
      </c>
      <c r="C132" s="1" t="s">
        <v>42</v>
      </c>
      <c r="D132" s="1">
        <v>20.0</v>
      </c>
      <c r="E132" s="1">
        <v>20.0</v>
      </c>
      <c r="F132" s="1">
        <v>2.0</v>
      </c>
      <c r="G132" s="1">
        <v>7.0</v>
      </c>
      <c r="H132" s="1" t="s">
        <v>59</v>
      </c>
      <c r="I132" s="2">
        <v>46027.0</v>
      </c>
      <c r="J132" s="1">
        <v>750000.0</v>
      </c>
      <c r="K132" s="2">
        <v>46023.0</v>
      </c>
    </row>
    <row r="133">
      <c r="A133" s="1" t="s">
        <v>31</v>
      </c>
      <c r="B133" s="1" t="s">
        <v>32</v>
      </c>
      <c r="C133" s="1" t="s">
        <v>13</v>
      </c>
      <c r="D133" s="1">
        <v>153.0</v>
      </c>
      <c r="E133" s="1">
        <v>40.0</v>
      </c>
      <c r="F133" s="1">
        <v>4.0</v>
      </c>
      <c r="G133" s="1">
        <v>5.0</v>
      </c>
      <c r="H133" s="1" t="s">
        <v>33</v>
      </c>
      <c r="I133" s="2">
        <v>46097.0</v>
      </c>
      <c r="J133" s="1">
        <v>550000.0</v>
      </c>
      <c r="K133" s="2">
        <v>46082.0</v>
      </c>
    </row>
    <row r="134">
      <c r="A134" s="1" t="s">
        <v>57</v>
      </c>
      <c r="B134" s="1" t="s">
        <v>58</v>
      </c>
      <c r="C134" s="1" t="s">
        <v>42</v>
      </c>
      <c r="D134" s="1">
        <v>41.0</v>
      </c>
      <c r="E134" s="1">
        <v>25.0</v>
      </c>
      <c r="F134" s="1">
        <v>4.0</v>
      </c>
      <c r="G134" s="1">
        <v>10.0</v>
      </c>
      <c r="H134" s="1" t="s">
        <v>59</v>
      </c>
      <c r="I134" s="2">
        <v>45801.0</v>
      </c>
      <c r="J134" s="1">
        <v>450000.0</v>
      </c>
      <c r="K134" s="2">
        <v>45778.0</v>
      </c>
    </row>
    <row r="135">
      <c r="A135" s="1" t="s">
        <v>62</v>
      </c>
      <c r="B135" s="1" t="s">
        <v>63</v>
      </c>
      <c r="C135" s="1" t="s">
        <v>13</v>
      </c>
      <c r="D135" s="1">
        <v>405.0</v>
      </c>
      <c r="E135" s="1">
        <v>80.0</v>
      </c>
      <c r="G135" s="1">
        <v>5.0</v>
      </c>
      <c r="H135" s="1" t="s">
        <v>33</v>
      </c>
      <c r="I135" s="2">
        <v>45663.0</v>
      </c>
      <c r="J135" s="1">
        <v>85000.0</v>
      </c>
      <c r="K135" s="2">
        <v>45658.0</v>
      </c>
    </row>
    <row r="136">
      <c r="A136" s="1" t="s">
        <v>64</v>
      </c>
      <c r="B136" s="1" t="s">
        <v>65</v>
      </c>
      <c r="C136" s="1" t="s">
        <v>42</v>
      </c>
      <c r="D136" s="1">
        <v>32.0</v>
      </c>
      <c r="E136" s="1">
        <v>20.0</v>
      </c>
      <c r="F136" s="1">
        <v>1.0</v>
      </c>
      <c r="G136" s="1">
        <v>8.0</v>
      </c>
      <c r="H136" s="1" t="s">
        <v>59</v>
      </c>
      <c r="I136" s="2">
        <v>45955.0</v>
      </c>
      <c r="J136" s="1">
        <v>750000.0</v>
      </c>
      <c r="K136" s="2">
        <v>45931.0</v>
      </c>
    </row>
    <row r="137">
      <c r="A137" s="1" t="s">
        <v>60</v>
      </c>
      <c r="B137" s="1" t="s">
        <v>61</v>
      </c>
      <c r="C137" s="1" t="s">
        <v>17</v>
      </c>
      <c r="D137" s="1">
        <v>0.0</v>
      </c>
      <c r="E137" s="1">
        <v>20.0</v>
      </c>
      <c r="F137" s="1">
        <v>3.0</v>
      </c>
      <c r="G137" s="1">
        <v>7.0</v>
      </c>
      <c r="H137" s="1" t="s">
        <v>27</v>
      </c>
      <c r="I137" s="2">
        <v>45919.0</v>
      </c>
      <c r="J137" s="1">
        <v>3200000.0</v>
      </c>
      <c r="K137" s="2">
        <v>45901.0</v>
      </c>
    </row>
    <row r="138">
      <c r="A138" s="1" t="s">
        <v>62</v>
      </c>
      <c r="B138" s="1" t="s">
        <v>63</v>
      </c>
      <c r="C138" s="1" t="s">
        <v>13</v>
      </c>
      <c r="D138" s="1">
        <v>255.0</v>
      </c>
      <c r="E138" s="1">
        <v>80.0</v>
      </c>
      <c r="F138" s="1">
        <v>4.0</v>
      </c>
      <c r="G138" s="1">
        <v>6.0</v>
      </c>
      <c r="H138" s="1" t="s">
        <v>33</v>
      </c>
      <c r="I138" s="2">
        <v>46001.0</v>
      </c>
      <c r="J138" s="1">
        <v>85000.0</v>
      </c>
      <c r="K138" s="2">
        <v>45992.0</v>
      </c>
    </row>
    <row r="139">
      <c r="A139" s="1" t="s">
        <v>31</v>
      </c>
      <c r="B139" s="1" t="s">
        <v>32</v>
      </c>
      <c r="C139" s="1" t="s">
        <v>13</v>
      </c>
      <c r="D139" s="1">
        <v>168.0</v>
      </c>
      <c r="E139" s="1">
        <v>40.0</v>
      </c>
      <c r="F139" s="1">
        <v>3.0</v>
      </c>
      <c r="G139" s="1">
        <v>5.0</v>
      </c>
      <c r="H139" s="1" t="s">
        <v>33</v>
      </c>
      <c r="I139" s="2">
        <v>45709.0</v>
      </c>
      <c r="J139" s="1">
        <v>550000.0</v>
      </c>
      <c r="K139" s="2">
        <v>45689.0</v>
      </c>
    </row>
    <row r="140">
      <c r="A140" s="1" t="s">
        <v>57</v>
      </c>
      <c r="B140" s="1" t="s">
        <v>58</v>
      </c>
      <c r="C140" s="1" t="s">
        <v>42</v>
      </c>
      <c r="D140" s="1">
        <v>58.0</v>
      </c>
      <c r="E140" s="1">
        <v>25.0</v>
      </c>
      <c r="F140" s="1">
        <v>1.0</v>
      </c>
      <c r="G140" s="1">
        <v>10.0</v>
      </c>
      <c r="H140" s="1" t="s">
        <v>59</v>
      </c>
      <c r="I140" s="2">
        <v>45952.0</v>
      </c>
      <c r="J140" s="1">
        <v>450000.0</v>
      </c>
      <c r="K140" s="2">
        <v>45931.0</v>
      </c>
    </row>
    <row r="141">
      <c r="A141" s="1" t="s">
        <v>46</v>
      </c>
      <c r="B141" s="1" t="s">
        <v>47</v>
      </c>
      <c r="C141" s="1" t="s">
        <v>23</v>
      </c>
      <c r="D141" s="1">
        <v>42.0</v>
      </c>
      <c r="E141" s="1">
        <v>40.0</v>
      </c>
      <c r="F141" s="1">
        <v>4.0</v>
      </c>
      <c r="G141" s="1">
        <v>7.0</v>
      </c>
      <c r="H141" s="1" t="s">
        <v>30</v>
      </c>
      <c r="I141" s="2">
        <v>45889.0</v>
      </c>
      <c r="J141" s="1">
        <v>550000.0</v>
      </c>
      <c r="K141" s="2">
        <v>45870.0</v>
      </c>
    </row>
    <row r="142">
      <c r="A142" s="1" t="s">
        <v>44</v>
      </c>
      <c r="B142" s="1" t="s">
        <v>45</v>
      </c>
      <c r="C142" s="1" t="s">
        <v>42</v>
      </c>
      <c r="D142" s="1">
        <v>35.0</v>
      </c>
      <c r="E142" s="1">
        <v>30.0</v>
      </c>
      <c r="F142" s="1">
        <v>5.0</v>
      </c>
      <c r="G142" s="1">
        <v>6.0</v>
      </c>
      <c r="H142" s="1" t="s">
        <v>43</v>
      </c>
      <c r="I142" s="2">
        <v>46048.0</v>
      </c>
      <c r="J142" s="1">
        <v>350000.0</v>
      </c>
      <c r="K142" s="2">
        <v>46023.0</v>
      </c>
    </row>
    <row r="143">
      <c r="A143" s="1" t="s">
        <v>46</v>
      </c>
      <c r="B143" s="1" t="s">
        <v>47</v>
      </c>
      <c r="C143" s="1" t="s">
        <v>23</v>
      </c>
      <c r="D143" s="1">
        <v>36.0</v>
      </c>
      <c r="E143" s="1">
        <v>40.0</v>
      </c>
      <c r="F143" s="1">
        <v>6.0</v>
      </c>
      <c r="G143" s="1">
        <v>4.0</v>
      </c>
      <c r="H143" s="1" t="s">
        <v>30</v>
      </c>
      <c r="I143" s="2">
        <v>46044.0</v>
      </c>
      <c r="J143" s="1">
        <v>550000.0</v>
      </c>
      <c r="K143" s="2">
        <v>46023.0</v>
      </c>
    </row>
    <row r="144">
      <c r="A144" s="1" t="s">
        <v>48</v>
      </c>
      <c r="B144" s="1" t="s">
        <v>49</v>
      </c>
      <c r="C144" s="1" t="s">
        <v>36</v>
      </c>
      <c r="D144" s="1">
        <v>87.0</v>
      </c>
      <c r="E144" s="1">
        <v>120.0</v>
      </c>
      <c r="F144" s="1">
        <v>18.0</v>
      </c>
      <c r="G144" s="1">
        <v>7.0</v>
      </c>
      <c r="H144" s="1" t="s">
        <v>50</v>
      </c>
      <c r="I144" s="2">
        <v>45748.0</v>
      </c>
      <c r="J144" s="1">
        <v>55000.0</v>
      </c>
      <c r="K144" s="2">
        <v>45748.0</v>
      </c>
    </row>
    <row r="145">
      <c r="A145" s="1" t="s">
        <v>51</v>
      </c>
      <c r="B145" s="1" t="s">
        <v>52</v>
      </c>
      <c r="C145" s="1" t="s">
        <v>36</v>
      </c>
      <c r="D145" s="1">
        <v>35.0</v>
      </c>
      <c r="E145" s="1">
        <v>60.0</v>
      </c>
      <c r="F145" s="1">
        <v>6.0</v>
      </c>
      <c r="G145" s="1">
        <v>7.0</v>
      </c>
      <c r="H145" s="1" t="s">
        <v>50</v>
      </c>
      <c r="I145" s="2">
        <v>46221.0</v>
      </c>
      <c r="J145" s="1">
        <v>175000.0</v>
      </c>
      <c r="K145" s="2">
        <v>46023.0</v>
      </c>
    </row>
    <row r="146">
      <c r="A146" s="1" t="s">
        <v>40</v>
      </c>
      <c r="B146" s="1" t="s">
        <v>41</v>
      </c>
      <c r="C146" s="1" t="s">
        <v>42</v>
      </c>
      <c r="D146" s="1">
        <v>32.0</v>
      </c>
      <c r="E146" s="1">
        <v>15.0</v>
      </c>
      <c r="F146" s="1">
        <v>1.0</v>
      </c>
      <c r="G146" s="1">
        <v>8.0</v>
      </c>
      <c r="H146" s="1" t="s">
        <v>43</v>
      </c>
      <c r="I146" s="2">
        <v>46079.0</v>
      </c>
      <c r="J146" s="1">
        <v>1200000.0</v>
      </c>
      <c r="K146" s="2">
        <v>46054.0</v>
      </c>
    </row>
    <row r="147">
      <c r="A147" s="1" t="s">
        <v>31</v>
      </c>
      <c r="B147" s="1" t="s">
        <v>32</v>
      </c>
      <c r="C147" s="1" t="s">
        <v>13</v>
      </c>
      <c r="D147" s="1">
        <v>139.0</v>
      </c>
      <c r="E147" s="1">
        <v>40.0</v>
      </c>
      <c r="F147" s="1">
        <v>2.0</v>
      </c>
      <c r="G147" s="1">
        <v>6.0</v>
      </c>
      <c r="H147" s="1" t="s">
        <v>33</v>
      </c>
      <c r="I147" s="2">
        <v>45845.0</v>
      </c>
      <c r="J147" s="1">
        <v>550000.0</v>
      </c>
      <c r="K147" s="2">
        <v>45839.0</v>
      </c>
    </row>
    <row r="148">
      <c r="A148" s="1" t="s">
        <v>31</v>
      </c>
      <c r="B148" s="1" t="s">
        <v>32</v>
      </c>
      <c r="C148" s="1" t="s">
        <v>13</v>
      </c>
      <c r="D148" s="1">
        <v>169.0</v>
      </c>
      <c r="E148" s="1">
        <v>40.0</v>
      </c>
      <c r="F148" s="1">
        <v>3.0</v>
      </c>
      <c r="G148" s="1">
        <v>4.0</v>
      </c>
      <c r="H148" s="1" t="s">
        <v>33</v>
      </c>
      <c r="I148" s="2">
        <v>46074.0</v>
      </c>
      <c r="J148" s="1">
        <v>550000.0</v>
      </c>
      <c r="K148" s="2">
        <v>46054.0</v>
      </c>
    </row>
    <row r="149">
      <c r="A149" s="1" t="s">
        <v>15</v>
      </c>
      <c r="B149" s="1" t="s">
        <v>16</v>
      </c>
      <c r="C149" s="1" t="s">
        <v>17</v>
      </c>
      <c r="D149" s="1">
        <v>25.0</v>
      </c>
      <c r="E149" s="1">
        <v>15.0</v>
      </c>
      <c r="F149" s="1">
        <v>2.0</v>
      </c>
      <c r="G149" s="1">
        <v>8.0</v>
      </c>
      <c r="H149" s="1" t="s">
        <v>18</v>
      </c>
      <c r="I149" s="2">
        <v>45718.0</v>
      </c>
      <c r="J149" s="1">
        <v>8500000.0</v>
      </c>
      <c r="K149" s="2">
        <v>45717.0</v>
      </c>
    </row>
    <row r="150">
      <c r="A150" s="1" t="s">
        <v>46</v>
      </c>
      <c r="B150" s="1" t="s">
        <v>47</v>
      </c>
      <c r="C150" s="1" t="s">
        <v>23</v>
      </c>
      <c r="D150" s="1">
        <v>0.0</v>
      </c>
      <c r="E150" s="1">
        <v>40.0</v>
      </c>
      <c r="F150" s="1">
        <v>8.0</v>
      </c>
      <c r="G150" s="1">
        <v>8.0</v>
      </c>
      <c r="H150" s="1" t="s">
        <v>30</v>
      </c>
      <c r="I150" s="2">
        <v>45964.0</v>
      </c>
      <c r="J150" s="1">
        <v>550000.0</v>
      </c>
      <c r="K150" s="2">
        <v>45962.0</v>
      </c>
    </row>
    <row r="151">
      <c r="A151" s="1" t="s">
        <v>21</v>
      </c>
      <c r="B151" s="1" t="s">
        <v>22</v>
      </c>
      <c r="C151" s="1" t="s">
        <v>23</v>
      </c>
      <c r="D151" s="1">
        <v>28.0</v>
      </c>
      <c r="E151" s="1">
        <v>50.0</v>
      </c>
      <c r="F151" s="1">
        <v>7.0</v>
      </c>
      <c r="G151" s="1">
        <v>7.0</v>
      </c>
      <c r="H151" s="1" t="s">
        <v>24</v>
      </c>
      <c r="I151" s="2">
        <v>45939.0</v>
      </c>
      <c r="J151" s="1">
        <v>350000.0</v>
      </c>
      <c r="K151" s="2">
        <v>45931.0</v>
      </c>
    </row>
    <row r="152">
      <c r="A152" s="1" t="s">
        <v>11</v>
      </c>
      <c r="B152" s="1" t="s">
        <v>12</v>
      </c>
      <c r="C152" s="1" t="s">
        <v>13</v>
      </c>
      <c r="D152" s="1">
        <v>230.0</v>
      </c>
      <c r="E152" s="1">
        <v>50.0</v>
      </c>
      <c r="F152" s="1">
        <v>1.0</v>
      </c>
      <c r="G152" s="1">
        <v>4.0</v>
      </c>
      <c r="H152" s="1" t="s">
        <v>14</v>
      </c>
      <c r="I152" s="2">
        <v>45939.0</v>
      </c>
      <c r="J152" s="1">
        <v>125000.0</v>
      </c>
      <c r="K152" s="2">
        <v>45931.0</v>
      </c>
    </row>
    <row r="153">
      <c r="A153" s="1" t="s">
        <v>64</v>
      </c>
      <c r="B153" s="1" t="s">
        <v>65</v>
      </c>
      <c r="C153" s="1" t="s">
        <v>42</v>
      </c>
      <c r="D153" s="1">
        <v>27.0</v>
      </c>
      <c r="E153" s="1">
        <v>20.0</v>
      </c>
      <c r="F153" s="1">
        <v>3.0</v>
      </c>
      <c r="G153" s="1">
        <v>9.0</v>
      </c>
      <c r="H153" s="1" t="s">
        <v>59</v>
      </c>
      <c r="I153" s="2">
        <v>45673.0</v>
      </c>
      <c r="J153" s="1">
        <v>750000.0</v>
      </c>
      <c r="K153" s="2">
        <v>45658.0</v>
      </c>
    </row>
    <row r="154">
      <c r="A154" s="1" t="s">
        <v>53</v>
      </c>
      <c r="B154" s="1" t="s">
        <v>54</v>
      </c>
      <c r="C154" s="1" t="s">
        <v>13</v>
      </c>
      <c r="D154" s="1">
        <v>305.0</v>
      </c>
      <c r="E154" s="1">
        <v>60.0</v>
      </c>
      <c r="F154" s="1">
        <v>4.0</v>
      </c>
      <c r="G154" s="1">
        <v>4.0</v>
      </c>
      <c r="H154" s="1" t="s">
        <v>14</v>
      </c>
      <c r="I154" s="2">
        <v>46068.0</v>
      </c>
      <c r="J154" s="1">
        <v>165000.0</v>
      </c>
      <c r="K154" s="2">
        <v>46054.0</v>
      </c>
    </row>
    <row r="155">
      <c r="A155" s="1" t="s">
        <v>34</v>
      </c>
      <c r="B155" s="1" t="s">
        <v>35</v>
      </c>
      <c r="C155" s="1" t="s">
        <v>36</v>
      </c>
      <c r="D155" s="1">
        <v>56.0</v>
      </c>
      <c r="E155" s="1">
        <v>80.0</v>
      </c>
      <c r="F155" s="1">
        <v>18.0</v>
      </c>
      <c r="G155" s="1">
        <v>5.0</v>
      </c>
      <c r="H155" s="1" t="s">
        <v>37</v>
      </c>
      <c r="I155" s="2">
        <v>46110.0</v>
      </c>
      <c r="J155" s="1">
        <v>65000.0</v>
      </c>
      <c r="K155" s="2">
        <v>46082.0</v>
      </c>
    </row>
    <row r="156">
      <c r="A156" s="1" t="s">
        <v>64</v>
      </c>
      <c r="B156" s="1" t="s">
        <v>65</v>
      </c>
      <c r="C156" s="1" t="s">
        <v>42</v>
      </c>
      <c r="D156" s="1">
        <v>42.0</v>
      </c>
      <c r="E156" s="1">
        <v>20.0</v>
      </c>
      <c r="F156" s="1">
        <v>1.0</v>
      </c>
      <c r="G156" s="1">
        <v>10.0</v>
      </c>
      <c r="H156" s="1" t="s">
        <v>59</v>
      </c>
      <c r="I156" s="2">
        <v>45884.0</v>
      </c>
      <c r="J156" s="1">
        <v>750000.0</v>
      </c>
      <c r="K156" s="2">
        <v>45870.0</v>
      </c>
    </row>
    <row r="157">
      <c r="A157" s="1" t="s">
        <v>21</v>
      </c>
      <c r="B157" s="1" t="s">
        <v>22</v>
      </c>
      <c r="C157" s="1" t="s">
        <v>23</v>
      </c>
      <c r="D157" s="1">
        <v>0.0</v>
      </c>
      <c r="E157" s="1">
        <v>50.0</v>
      </c>
      <c r="F157" s="1">
        <v>14.0</v>
      </c>
      <c r="G157" s="1">
        <v>5.0</v>
      </c>
      <c r="H157" s="1" t="s">
        <v>24</v>
      </c>
      <c r="I157" s="2">
        <v>46101.0</v>
      </c>
      <c r="J157" s="1">
        <v>350000.0</v>
      </c>
      <c r="K157" s="2">
        <v>46082.0</v>
      </c>
    </row>
    <row r="158">
      <c r="A158" s="1" t="s">
        <v>25</v>
      </c>
      <c r="B158" s="1" t="s">
        <v>26</v>
      </c>
      <c r="C158" s="1" t="s">
        <v>17</v>
      </c>
      <c r="D158" s="1">
        <v>23.0</v>
      </c>
      <c r="E158" s="1">
        <v>25.0</v>
      </c>
      <c r="F158" s="1">
        <v>6.0</v>
      </c>
      <c r="G158" s="1">
        <v>10.0</v>
      </c>
      <c r="H158" s="1" t="s">
        <v>27</v>
      </c>
      <c r="I158" s="2">
        <v>46109.0</v>
      </c>
      <c r="J158" s="1">
        <v>4500000.0</v>
      </c>
      <c r="K158" s="2">
        <v>46082.0</v>
      </c>
    </row>
    <row r="159">
      <c r="A159" s="1" t="s">
        <v>38</v>
      </c>
      <c r="B159" s="1" t="s">
        <v>39</v>
      </c>
      <c r="C159" s="1" t="s">
        <v>23</v>
      </c>
      <c r="D159" s="1">
        <v>17.0</v>
      </c>
      <c r="E159" s="1">
        <v>45.0</v>
      </c>
      <c r="F159" s="1">
        <v>7.0</v>
      </c>
      <c r="G159" s="1">
        <v>3.0</v>
      </c>
      <c r="H159" s="1" t="s">
        <v>24</v>
      </c>
      <c r="I159" s="2">
        <v>45910.0</v>
      </c>
      <c r="J159" s="1">
        <v>450000.0</v>
      </c>
      <c r="K159" s="2">
        <v>45901.0</v>
      </c>
    </row>
    <row r="160">
      <c r="A160" s="1" t="s">
        <v>48</v>
      </c>
      <c r="B160" s="1" t="s">
        <v>49</v>
      </c>
      <c r="C160" s="1" t="s">
        <v>36</v>
      </c>
      <c r="D160" s="1">
        <v>30.0</v>
      </c>
      <c r="E160" s="1">
        <v>120.0</v>
      </c>
      <c r="F160" s="1">
        <v>18.0</v>
      </c>
      <c r="G160" s="1">
        <v>4.0</v>
      </c>
      <c r="H160" s="1" t="s">
        <v>50</v>
      </c>
      <c r="I160" s="2">
        <v>46053.0</v>
      </c>
      <c r="J160" s="1">
        <v>55000.0</v>
      </c>
      <c r="K160" s="2">
        <v>46023.0</v>
      </c>
    </row>
    <row r="161">
      <c r="A161" s="1" t="s">
        <v>46</v>
      </c>
      <c r="B161" s="1" t="s">
        <v>47</v>
      </c>
      <c r="C161" s="1" t="s">
        <v>23</v>
      </c>
      <c r="D161" s="1">
        <v>0.0</v>
      </c>
      <c r="E161" s="1">
        <v>40.0</v>
      </c>
      <c r="F161" s="1">
        <v>9.0</v>
      </c>
      <c r="G161" s="1">
        <v>8.0</v>
      </c>
      <c r="H161" s="1" t="s">
        <v>30</v>
      </c>
      <c r="I161" s="2">
        <v>45730.0</v>
      </c>
      <c r="J161" s="1">
        <v>550000.0</v>
      </c>
      <c r="K161" s="2">
        <v>45717.0</v>
      </c>
    </row>
    <row r="162">
      <c r="A162" s="1" t="s">
        <v>55</v>
      </c>
      <c r="B162" s="1" t="s">
        <v>56</v>
      </c>
      <c r="C162" s="1" t="s">
        <v>36</v>
      </c>
      <c r="D162" s="1">
        <v>92.0</v>
      </c>
      <c r="E162" s="1">
        <v>100.0</v>
      </c>
      <c r="F162" s="1">
        <v>15.0</v>
      </c>
      <c r="G162" s="1">
        <v>5.0</v>
      </c>
      <c r="H162" s="1" t="s">
        <v>37</v>
      </c>
      <c r="I162" s="2">
        <v>45897.0</v>
      </c>
      <c r="J162" s="1">
        <v>85000.0</v>
      </c>
      <c r="K162" s="2">
        <v>45870.0</v>
      </c>
    </row>
    <row r="163">
      <c r="A163" s="1" t="s">
        <v>48</v>
      </c>
      <c r="B163" s="1" t="s">
        <v>49</v>
      </c>
      <c r="C163" s="1" t="s">
        <v>36</v>
      </c>
      <c r="D163" s="1">
        <v>39.0</v>
      </c>
      <c r="E163" s="1">
        <v>120.0</v>
      </c>
      <c r="F163" s="1">
        <v>19.0</v>
      </c>
      <c r="G163" s="1">
        <v>3.0</v>
      </c>
      <c r="H163" s="1" t="s">
        <v>50</v>
      </c>
      <c r="I163" s="2">
        <v>45936.0</v>
      </c>
      <c r="J163" s="1">
        <v>55000.0</v>
      </c>
      <c r="K163" s="2">
        <v>45931.0</v>
      </c>
    </row>
    <row r="164">
      <c r="A164" s="1" t="s">
        <v>64</v>
      </c>
      <c r="B164" s="1" t="s">
        <v>65</v>
      </c>
      <c r="C164" s="1" t="s">
        <v>42</v>
      </c>
      <c r="D164" s="1">
        <v>29.0</v>
      </c>
      <c r="E164" s="1">
        <v>20.0</v>
      </c>
      <c r="F164" s="1">
        <v>3.0</v>
      </c>
      <c r="G164" s="1">
        <v>9.0</v>
      </c>
      <c r="H164" s="1" t="s">
        <v>59</v>
      </c>
      <c r="I164" s="2">
        <v>46076.0</v>
      </c>
      <c r="J164" s="1">
        <v>750000.0</v>
      </c>
      <c r="K164" s="2">
        <v>46054.0</v>
      </c>
    </row>
    <row r="165">
      <c r="A165" s="1" t="s">
        <v>34</v>
      </c>
      <c r="B165" s="1" t="s">
        <v>35</v>
      </c>
      <c r="C165" s="1" t="s">
        <v>36</v>
      </c>
      <c r="D165" s="1">
        <v>40.0</v>
      </c>
      <c r="E165" s="1">
        <v>80.0</v>
      </c>
      <c r="F165" s="1">
        <v>12.0</v>
      </c>
      <c r="G165" s="1">
        <v>3.0</v>
      </c>
      <c r="H165" s="1" t="s">
        <v>37</v>
      </c>
      <c r="I165" s="2">
        <v>45673.0</v>
      </c>
      <c r="J165" s="1">
        <v>65000.0</v>
      </c>
      <c r="K165" s="2">
        <v>45658.0</v>
      </c>
    </row>
    <row r="166">
      <c r="A166" s="1" t="s">
        <v>11</v>
      </c>
      <c r="B166" s="1" t="s">
        <v>12</v>
      </c>
      <c r="C166" s="1" t="s">
        <v>13</v>
      </c>
      <c r="D166" s="1">
        <v>261.0</v>
      </c>
      <c r="E166" s="1">
        <v>50.0</v>
      </c>
      <c r="F166" s="1">
        <v>2.0</v>
      </c>
      <c r="G166" s="1">
        <v>5.0</v>
      </c>
      <c r="H166" s="1" t="s">
        <v>14</v>
      </c>
      <c r="I166" s="2">
        <v>45787.0</v>
      </c>
      <c r="J166" s="1">
        <v>125000.0</v>
      </c>
      <c r="K166" s="2">
        <v>45778.0</v>
      </c>
    </row>
    <row r="167">
      <c r="A167" s="1" t="s">
        <v>21</v>
      </c>
      <c r="B167" s="1" t="s">
        <v>22</v>
      </c>
      <c r="C167" s="1" t="s">
        <v>23</v>
      </c>
      <c r="D167" s="1">
        <v>42.0</v>
      </c>
      <c r="E167" s="1">
        <v>50.0</v>
      </c>
      <c r="F167" s="1">
        <v>6.0</v>
      </c>
      <c r="G167" s="1">
        <v>4.0</v>
      </c>
      <c r="H167" s="1" t="s">
        <v>24</v>
      </c>
      <c r="I167" s="2">
        <v>45817.0</v>
      </c>
      <c r="J167" s="1">
        <v>350000.0</v>
      </c>
      <c r="K167" s="2">
        <v>45809.0</v>
      </c>
    </row>
    <row r="168">
      <c r="A168" s="1" t="s">
        <v>53</v>
      </c>
      <c r="B168" s="1" t="s">
        <v>54</v>
      </c>
      <c r="C168" s="1" t="s">
        <v>13</v>
      </c>
      <c r="D168" s="1">
        <v>188.0</v>
      </c>
      <c r="E168" s="1">
        <v>60.0</v>
      </c>
      <c r="F168" s="1">
        <v>3.0</v>
      </c>
      <c r="G168" s="1">
        <v>4.0</v>
      </c>
      <c r="H168" s="1" t="s">
        <v>14</v>
      </c>
      <c r="I168" s="2">
        <v>45659.0</v>
      </c>
      <c r="J168" s="1">
        <v>165000.0</v>
      </c>
      <c r="K168" s="2">
        <v>45658.0</v>
      </c>
    </row>
    <row r="169">
      <c r="A169" s="1" t="s">
        <v>38</v>
      </c>
      <c r="B169" s="1" t="s">
        <v>39</v>
      </c>
      <c r="C169" s="1" t="s">
        <v>23</v>
      </c>
      <c r="D169" s="1">
        <v>0.0</v>
      </c>
      <c r="E169" s="1">
        <v>45.0</v>
      </c>
      <c r="F169" s="1">
        <v>12.0</v>
      </c>
      <c r="G169" s="1">
        <v>4.0</v>
      </c>
      <c r="H169" s="1" t="s">
        <v>24</v>
      </c>
      <c r="I169" s="2">
        <v>45983.0</v>
      </c>
      <c r="J169" s="1">
        <v>450000.0</v>
      </c>
      <c r="K169" s="2">
        <v>45962.0</v>
      </c>
    </row>
    <row r="170">
      <c r="A170" s="1" t="s">
        <v>11</v>
      </c>
      <c r="B170" s="1" t="s">
        <v>12</v>
      </c>
      <c r="C170" s="1" t="s">
        <v>13</v>
      </c>
      <c r="D170" s="1">
        <v>252.0</v>
      </c>
      <c r="E170" s="1">
        <v>50.0</v>
      </c>
      <c r="F170" s="1">
        <v>3.0</v>
      </c>
      <c r="G170" s="1">
        <v>7.0</v>
      </c>
      <c r="H170" s="1" t="s">
        <v>14</v>
      </c>
      <c r="I170" s="2">
        <v>45713.0</v>
      </c>
      <c r="J170" s="1">
        <v>125000.0</v>
      </c>
      <c r="K170" s="2">
        <v>45689.0</v>
      </c>
    </row>
    <row r="171">
      <c r="A171" s="1" t="s">
        <v>40</v>
      </c>
      <c r="B171" s="1" t="s">
        <v>41</v>
      </c>
      <c r="C171" s="1" t="s">
        <v>42</v>
      </c>
      <c r="D171" s="1">
        <v>13.0</v>
      </c>
      <c r="E171" s="1">
        <v>15.0</v>
      </c>
      <c r="F171" s="1">
        <v>3.0</v>
      </c>
      <c r="G171" s="1">
        <v>6.0</v>
      </c>
      <c r="H171" s="1" t="s">
        <v>43</v>
      </c>
      <c r="I171" s="2">
        <v>45949.0</v>
      </c>
      <c r="J171" s="1">
        <v>1200000.0</v>
      </c>
      <c r="K171" s="2">
        <v>45931.0</v>
      </c>
    </row>
    <row r="172">
      <c r="A172" s="1" t="s">
        <v>15</v>
      </c>
      <c r="B172" s="1" t="s">
        <v>16</v>
      </c>
      <c r="C172" s="1" t="s">
        <v>17</v>
      </c>
      <c r="D172" s="1">
        <v>28.0</v>
      </c>
      <c r="E172" s="1">
        <v>15.0</v>
      </c>
      <c r="F172" s="1">
        <v>1.0</v>
      </c>
      <c r="G172" s="1">
        <v>7.0</v>
      </c>
      <c r="H172" s="1" t="s">
        <v>18</v>
      </c>
      <c r="I172" s="2">
        <v>46041.0</v>
      </c>
      <c r="J172" s="1">
        <v>8500000.0</v>
      </c>
      <c r="K172" s="2">
        <v>46023.0</v>
      </c>
    </row>
    <row r="173">
      <c r="A173" s="1" t="s">
        <v>60</v>
      </c>
      <c r="B173" s="1" t="s">
        <v>61</v>
      </c>
      <c r="C173" s="1" t="s">
        <v>17</v>
      </c>
      <c r="D173" s="1">
        <v>33.0</v>
      </c>
      <c r="E173" s="1">
        <v>20.0</v>
      </c>
      <c r="F173" s="1">
        <v>1.0</v>
      </c>
      <c r="G173" s="1">
        <v>12.0</v>
      </c>
      <c r="H173" s="1" t="s">
        <v>27</v>
      </c>
      <c r="I173" s="2">
        <v>45817.0</v>
      </c>
      <c r="J173" s="1">
        <v>3200000.0</v>
      </c>
      <c r="K173" s="2">
        <v>45809.0</v>
      </c>
    </row>
    <row r="174">
      <c r="A174" s="1" t="s">
        <v>25</v>
      </c>
      <c r="B174" s="1" t="s">
        <v>26</v>
      </c>
      <c r="C174" s="1" t="s">
        <v>17</v>
      </c>
      <c r="D174" s="1">
        <v>15.0</v>
      </c>
      <c r="E174" s="1">
        <v>25.0</v>
      </c>
      <c r="F174" s="1">
        <v>4.0</v>
      </c>
      <c r="G174" s="1">
        <v>15.0</v>
      </c>
      <c r="H174" s="1" t="s">
        <v>27</v>
      </c>
      <c r="I174" s="2">
        <v>46070.0</v>
      </c>
      <c r="J174" s="1">
        <v>4500000.0</v>
      </c>
      <c r="K174" s="2">
        <v>46054.0</v>
      </c>
    </row>
    <row r="175">
      <c r="A175" s="1" t="s">
        <v>44</v>
      </c>
      <c r="B175" s="1" t="s">
        <v>45</v>
      </c>
      <c r="C175" s="1" t="s">
        <v>42</v>
      </c>
      <c r="D175" s="1">
        <v>39.0</v>
      </c>
      <c r="E175" s="1">
        <v>30.0</v>
      </c>
      <c r="F175" s="1">
        <v>6.0</v>
      </c>
      <c r="G175" s="1">
        <v>10.0</v>
      </c>
      <c r="H175" s="1" t="s">
        <v>43</v>
      </c>
      <c r="I175" s="2">
        <v>45838.0</v>
      </c>
      <c r="J175" s="1">
        <v>350000.0</v>
      </c>
      <c r="K175" s="2">
        <v>45809.0</v>
      </c>
    </row>
    <row r="176">
      <c r="A176" s="1" t="s">
        <v>57</v>
      </c>
      <c r="B176" s="1" t="s">
        <v>58</v>
      </c>
      <c r="C176" s="1" t="s">
        <v>42</v>
      </c>
      <c r="D176" s="1">
        <v>43.0</v>
      </c>
      <c r="E176" s="1">
        <v>25.0</v>
      </c>
      <c r="F176" s="1">
        <v>4.0</v>
      </c>
      <c r="G176" s="1">
        <v>7.0</v>
      </c>
      <c r="H176" s="1" t="s">
        <v>59</v>
      </c>
      <c r="I176" s="2">
        <v>45896.0</v>
      </c>
      <c r="J176" s="1">
        <v>450000.0</v>
      </c>
      <c r="K176" s="2">
        <v>45870.0</v>
      </c>
    </row>
    <row r="177">
      <c r="A177" s="1" t="s">
        <v>62</v>
      </c>
      <c r="B177" s="1" t="s">
        <v>63</v>
      </c>
      <c r="C177" s="1" t="s">
        <v>13</v>
      </c>
      <c r="D177" s="1">
        <v>472.0</v>
      </c>
      <c r="E177" s="1">
        <v>80.0</v>
      </c>
      <c r="F177" s="1">
        <v>3.0</v>
      </c>
      <c r="G177" s="1">
        <v>4.0</v>
      </c>
      <c r="H177" s="1" t="s">
        <v>33</v>
      </c>
      <c r="I177" s="2">
        <v>45900.0</v>
      </c>
      <c r="J177" s="1">
        <v>85000.0</v>
      </c>
      <c r="K177" s="2">
        <v>45870.0</v>
      </c>
    </row>
    <row r="178">
      <c r="A178" s="1" t="s">
        <v>64</v>
      </c>
      <c r="B178" s="1" t="s">
        <v>65</v>
      </c>
      <c r="C178" s="1" t="s">
        <v>42</v>
      </c>
      <c r="D178" s="1">
        <v>14.0</v>
      </c>
      <c r="E178" s="1">
        <v>20.0</v>
      </c>
      <c r="F178" s="1">
        <v>2.0</v>
      </c>
      <c r="G178" s="1">
        <v>8.0</v>
      </c>
      <c r="H178" s="1" t="s">
        <v>59</v>
      </c>
      <c r="I178" s="2">
        <v>45999.0</v>
      </c>
      <c r="J178" s="1">
        <v>750000.0</v>
      </c>
      <c r="K178" s="2">
        <v>45992.0</v>
      </c>
    </row>
    <row r="179">
      <c r="A179" s="1" t="s">
        <v>44</v>
      </c>
      <c r="B179" s="1" t="s">
        <v>45</v>
      </c>
      <c r="C179" s="1" t="s">
        <v>42</v>
      </c>
      <c r="D179" s="1">
        <v>57.0</v>
      </c>
      <c r="E179" s="1">
        <v>30.0</v>
      </c>
      <c r="F179" s="1">
        <v>5.0</v>
      </c>
      <c r="G179" s="1">
        <v>4.0</v>
      </c>
      <c r="H179" s="1" t="s">
        <v>43</v>
      </c>
      <c r="I179" s="2">
        <v>46098.0</v>
      </c>
      <c r="J179" s="1">
        <v>350000.0</v>
      </c>
      <c r="K179" s="2">
        <v>46082.0</v>
      </c>
    </row>
    <row r="180">
      <c r="A180" s="1" t="s">
        <v>19</v>
      </c>
      <c r="B180" s="1" t="s">
        <v>20</v>
      </c>
      <c r="C180" s="1" t="s">
        <v>17</v>
      </c>
      <c r="D180" s="1">
        <v>1.0</v>
      </c>
      <c r="E180" s="1">
        <v>30.0</v>
      </c>
      <c r="F180" s="1">
        <v>4.0</v>
      </c>
      <c r="G180" s="1">
        <v>5.0</v>
      </c>
      <c r="H180" s="1" t="s">
        <v>18</v>
      </c>
      <c r="I180" s="2">
        <v>45868.0</v>
      </c>
      <c r="J180" s="1">
        <v>1200000.0</v>
      </c>
      <c r="K180" s="2">
        <v>45839.0</v>
      </c>
    </row>
    <row r="181">
      <c r="A181" s="1" t="s">
        <v>28</v>
      </c>
      <c r="B181" s="1" t="s">
        <v>29</v>
      </c>
      <c r="C181" s="1" t="s">
        <v>23</v>
      </c>
      <c r="D181" s="1">
        <v>27.0</v>
      </c>
      <c r="E181" s="1">
        <v>35.0</v>
      </c>
      <c r="F181" s="1">
        <v>4.0</v>
      </c>
      <c r="G181" s="1">
        <v>5.0</v>
      </c>
      <c r="H181" s="1" t="s">
        <v>30</v>
      </c>
      <c r="I181" s="2">
        <v>45817.0</v>
      </c>
      <c r="J181" s="1">
        <v>1250000.0</v>
      </c>
      <c r="K181" s="2">
        <v>45809.0</v>
      </c>
    </row>
    <row r="182">
      <c r="A182" s="1" t="s">
        <v>53</v>
      </c>
      <c r="B182" s="1" t="s">
        <v>54</v>
      </c>
      <c r="C182" s="1" t="s">
        <v>13</v>
      </c>
      <c r="D182" s="1">
        <v>240.0</v>
      </c>
      <c r="E182" s="1">
        <v>60.0</v>
      </c>
      <c r="F182" s="1">
        <v>2.0</v>
      </c>
      <c r="G182" s="1">
        <v>6.0</v>
      </c>
      <c r="H182" s="1" t="s">
        <v>14</v>
      </c>
      <c r="I182" s="2">
        <v>46187.0</v>
      </c>
      <c r="J182" s="1">
        <v>165000.0</v>
      </c>
      <c r="K182" s="2">
        <v>45962.0</v>
      </c>
    </row>
    <row r="183">
      <c r="A183" s="1" t="s">
        <v>44</v>
      </c>
      <c r="B183" s="1" t="s">
        <v>45</v>
      </c>
      <c r="C183" s="1" t="s">
        <v>42</v>
      </c>
      <c r="D183" s="1">
        <v>60.0</v>
      </c>
      <c r="E183" s="1">
        <v>30.0</v>
      </c>
      <c r="F183" s="1">
        <v>4.0</v>
      </c>
      <c r="G183" s="1">
        <v>9.0</v>
      </c>
      <c r="H183" s="1" t="s">
        <v>43</v>
      </c>
      <c r="I183" s="2">
        <v>46062.0</v>
      </c>
      <c r="J183" s="1">
        <v>350000.0</v>
      </c>
      <c r="K183" s="2">
        <v>46054.0</v>
      </c>
    </row>
    <row r="184">
      <c r="A184" s="1" t="s">
        <v>11</v>
      </c>
      <c r="B184" s="1" t="s">
        <v>12</v>
      </c>
      <c r="C184" s="1" t="s">
        <v>13</v>
      </c>
      <c r="D184" s="1">
        <v>216.0</v>
      </c>
      <c r="E184" s="1">
        <v>50.0</v>
      </c>
      <c r="F184" s="1">
        <v>1.0</v>
      </c>
      <c r="G184" s="1">
        <v>8.0</v>
      </c>
      <c r="H184" s="1" t="s">
        <v>14</v>
      </c>
      <c r="I184" s="2">
        <v>45905.0</v>
      </c>
      <c r="J184" s="1">
        <v>125000.0</v>
      </c>
      <c r="K184" s="2">
        <v>45901.0</v>
      </c>
    </row>
    <row r="185">
      <c r="A185" s="1" t="s">
        <v>60</v>
      </c>
      <c r="B185" s="1" t="s">
        <v>61</v>
      </c>
      <c r="C185" s="1" t="s">
        <v>17</v>
      </c>
      <c r="D185" s="1">
        <v>-17.0</v>
      </c>
      <c r="E185" s="1">
        <v>20.0</v>
      </c>
      <c r="F185" s="1">
        <v>5.0</v>
      </c>
      <c r="G185" s="1">
        <v>22.0</v>
      </c>
      <c r="H185" s="1" t="s">
        <v>27</v>
      </c>
      <c r="I185" s="2">
        <v>45998.0</v>
      </c>
      <c r="J185" s="1">
        <v>3200000.0</v>
      </c>
      <c r="K185" s="2">
        <v>45992.0</v>
      </c>
    </row>
    <row r="186">
      <c r="A186" s="1" t="s">
        <v>38</v>
      </c>
      <c r="B186" s="1" t="s">
        <v>39</v>
      </c>
      <c r="C186" s="1" t="s">
        <v>23</v>
      </c>
      <c r="D186" s="1">
        <v>0.0</v>
      </c>
      <c r="E186" s="1">
        <v>45.0</v>
      </c>
      <c r="F186" s="1">
        <v>14.0</v>
      </c>
      <c r="G186" s="1">
        <v>6.0</v>
      </c>
      <c r="H186" s="1" t="s">
        <v>24</v>
      </c>
      <c r="I186" s="2">
        <v>46107.0</v>
      </c>
      <c r="J186" s="1">
        <v>450000.0</v>
      </c>
      <c r="K186" s="2">
        <v>46082.0</v>
      </c>
    </row>
    <row r="187">
      <c r="A187" s="1" t="s">
        <v>11</v>
      </c>
      <c r="B187" s="1" t="s">
        <v>12</v>
      </c>
      <c r="C187" s="1" t="s">
        <v>13</v>
      </c>
      <c r="D187" s="1">
        <v>157.0</v>
      </c>
      <c r="E187" s="1">
        <v>50.0</v>
      </c>
      <c r="F187" s="1">
        <v>1.0</v>
      </c>
      <c r="G187" s="1">
        <v>4.0</v>
      </c>
      <c r="H187" s="1" t="s">
        <v>14</v>
      </c>
      <c r="I187" s="2">
        <v>45823.0</v>
      </c>
      <c r="J187" s="1">
        <v>125000.0</v>
      </c>
      <c r="K187" s="2">
        <v>45809.0</v>
      </c>
    </row>
    <row r="188">
      <c r="A188" s="1" t="s">
        <v>57</v>
      </c>
      <c r="B188" s="1" t="s">
        <v>58</v>
      </c>
      <c r="C188" s="1" t="s">
        <v>42</v>
      </c>
      <c r="D188" s="1">
        <v>42.0</v>
      </c>
      <c r="E188" s="1">
        <v>25.0</v>
      </c>
      <c r="F188" s="1">
        <v>5.0</v>
      </c>
      <c r="G188" s="1">
        <v>10.0</v>
      </c>
      <c r="H188" s="1" t="s">
        <v>59</v>
      </c>
      <c r="I188" s="2">
        <v>45711.0</v>
      </c>
      <c r="J188" s="1">
        <v>450000.0</v>
      </c>
      <c r="K188" s="2">
        <v>45689.0</v>
      </c>
    </row>
    <row r="189">
      <c r="A189" s="1" t="s">
        <v>25</v>
      </c>
      <c r="B189" s="1" t="s">
        <v>26</v>
      </c>
      <c r="C189" s="1" t="s">
        <v>17</v>
      </c>
      <c r="D189" s="1">
        <v>0.0</v>
      </c>
      <c r="E189" s="1">
        <v>25.0</v>
      </c>
      <c r="F189" s="1">
        <v>8.0</v>
      </c>
      <c r="G189" s="1">
        <v>10.0</v>
      </c>
      <c r="H189" s="1" t="s">
        <v>27</v>
      </c>
      <c r="I189" s="2">
        <v>46013.0</v>
      </c>
      <c r="J189" s="1">
        <v>4500000.0</v>
      </c>
      <c r="K189" s="2">
        <v>45992.0</v>
      </c>
    </row>
    <row r="190">
      <c r="A190" s="1" t="s">
        <v>40</v>
      </c>
      <c r="B190" s="1" t="s">
        <v>41</v>
      </c>
      <c r="C190" s="1" t="s">
        <v>42</v>
      </c>
      <c r="D190" s="1">
        <v>22.0</v>
      </c>
      <c r="E190" s="1">
        <v>15.0</v>
      </c>
      <c r="F190" s="1">
        <v>3.0</v>
      </c>
      <c r="G190" s="1">
        <v>4.0</v>
      </c>
      <c r="H190" s="1" t="s">
        <v>43</v>
      </c>
      <c r="I190" s="2">
        <v>45919.0</v>
      </c>
      <c r="J190" s="1">
        <v>1200000.0</v>
      </c>
      <c r="K190" s="2">
        <v>45901.0</v>
      </c>
    </row>
    <row r="191">
      <c r="A191" s="1" t="s">
        <v>57</v>
      </c>
      <c r="B191" s="1" t="s">
        <v>58</v>
      </c>
      <c r="C191" s="1" t="s">
        <v>42</v>
      </c>
      <c r="D191" s="1">
        <v>21.0</v>
      </c>
      <c r="E191" s="1">
        <v>25.0</v>
      </c>
      <c r="F191" s="1">
        <v>3.0</v>
      </c>
      <c r="G191" s="1">
        <v>9.0</v>
      </c>
      <c r="H191" s="1" t="s">
        <v>59</v>
      </c>
      <c r="I191" s="2">
        <v>45854.0</v>
      </c>
      <c r="J191" s="1">
        <v>450000.0</v>
      </c>
      <c r="K191" s="2">
        <v>45839.0</v>
      </c>
    </row>
    <row r="192">
      <c r="A192" s="1" t="s">
        <v>51</v>
      </c>
      <c r="B192" s="1" t="s">
        <v>52</v>
      </c>
      <c r="C192" s="1" t="s">
        <v>36</v>
      </c>
      <c r="D192" s="1">
        <v>12.0</v>
      </c>
      <c r="E192" s="1">
        <v>60.0</v>
      </c>
      <c r="F192" s="1">
        <v>10.0</v>
      </c>
      <c r="H192" s="1" t="s">
        <v>50</v>
      </c>
      <c r="I192" s="2">
        <v>45965.0</v>
      </c>
      <c r="J192" s="1">
        <v>175000.0</v>
      </c>
      <c r="K192" s="2">
        <v>45962.0</v>
      </c>
    </row>
    <row r="193">
      <c r="A193" s="1" t="s">
        <v>15</v>
      </c>
      <c r="B193" s="1" t="s">
        <v>16</v>
      </c>
      <c r="C193" s="1" t="s">
        <v>17</v>
      </c>
      <c r="D193" s="1">
        <v>17.0</v>
      </c>
      <c r="E193" s="1">
        <v>15.0</v>
      </c>
      <c r="F193" s="1">
        <v>1.0</v>
      </c>
      <c r="G193" s="1">
        <v>6.0</v>
      </c>
      <c r="H193" s="1" t="s">
        <v>18</v>
      </c>
      <c r="I193" s="2">
        <v>45665.0</v>
      </c>
      <c r="J193" s="1">
        <v>8500000.0</v>
      </c>
      <c r="K193" s="2">
        <v>45658.0</v>
      </c>
    </row>
    <row r="194">
      <c r="A194" s="1" t="s">
        <v>51</v>
      </c>
      <c r="B194" s="1" t="s">
        <v>52</v>
      </c>
      <c r="C194" s="1" t="s">
        <v>36</v>
      </c>
      <c r="D194" s="1">
        <v>34.0</v>
      </c>
      <c r="E194" s="1">
        <v>60.0</v>
      </c>
      <c r="F194" s="1">
        <v>7.0</v>
      </c>
      <c r="G194" s="1">
        <v>6.0</v>
      </c>
      <c r="H194" s="1" t="s">
        <v>50</v>
      </c>
      <c r="I194" s="2">
        <v>45934.0</v>
      </c>
      <c r="J194" s="1">
        <v>175000.0</v>
      </c>
      <c r="K194" s="2">
        <v>45931.0</v>
      </c>
    </row>
    <row r="195">
      <c r="A195" s="1" t="s">
        <v>51</v>
      </c>
      <c r="B195" s="1" t="s">
        <v>52</v>
      </c>
      <c r="C195" s="1" t="s">
        <v>36</v>
      </c>
      <c r="D195" s="1">
        <v>21.0</v>
      </c>
      <c r="E195" s="1">
        <v>60.0</v>
      </c>
      <c r="F195" s="1">
        <v>9.0</v>
      </c>
      <c r="G195" s="1">
        <v>4.0</v>
      </c>
      <c r="H195" s="1" t="s">
        <v>50</v>
      </c>
      <c r="I195" s="2">
        <v>46067.0</v>
      </c>
      <c r="J195" s="1">
        <v>175000.0</v>
      </c>
      <c r="K195" s="2">
        <v>46054.0</v>
      </c>
    </row>
    <row r="196">
      <c r="A196" s="1" t="s">
        <v>28</v>
      </c>
      <c r="B196" s="1" t="s">
        <v>29</v>
      </c>
      <c r="C196" s="1" t="s">
        <v>23</v>
      </c>
      <c r="D196" s="1">
        <v>0.0</v>
      </c>
      <c r="E196" s="1">
        <v>35.0</v>
      </c>
      <c r="F196" s="1">
        <v>9.0</v>
      </c>
      <c r="G196" s="1">
        <v>6.0</v>
      </c>
      <c r="H196" s="1" t="s">
        <v>30</v>
      </c>
      <c r="I196" s="2">
        <v>45973.0</v>
      </c>
      <c r="J196" s="1">
        <v>1250000.0</v>
      </c>
      <c r="K196" s="2">
        <v>45962.0</v>
      </c>
    </row>
    <row r="197">
      <c r="A197" s="1" t="s">
        <v>31</v>
      </c>
      <c r="B197" s="1" t="s">
        <v>32</v>
      </c>
      <c r="C197" s="1" t="s">
        <v>13</v>
      </c>
      <c r="D197" s="1">
        <v>150.0</v>
      </c>
      <c r="E197" s="1">
        <v>40.0</v>
      </c>
      <c r="F197" s="1">
        <v>4.0</v>
      </c>
      <c r="G197" s="1">
        <v>4.0</v>
      </c>
      <c r="H197" s="1" t="s">
        <v>33</v>
      </c>
      <c r="I197" s="2">
        <v>46040.0</v>
      </c>
      <c r="J197" s="1">
        <v>550000.0</v>
      </c>
      <c r="K197" s="2">
        <v>46023.0</v>
      </c>
    </row>
    <row r="198">
      <c r="A198" s="1" t="s">
        <v>34</v>
      </c>
      <c r="B198" s="1" t="s">
        <v>35</v>
      </c>
      <c r="C198" s="1" t="s">
        <v>36</v>
      </c>
      <c r="D198" s="1">
        <v>18.0</v>
      </c>
      <c r="E198" s="1">
        <v>80.0</v>
      </c>
      <c r="F198" s="1">
        <v>10.0</v>
      </c>
      <c r="G198" s="1">
        <v>4.0</v>
      </c>
      <c r="H198" s="1" t="s">
        <v>37</v>
      </c>
      <c r="I198" s="2">
        <v>46024.0</v>
      </c>
      <c r="J198" s="1">
        <v>65000.0</v>
      </c>
      <c r="K198" s="2">
        <v>46023.0</v>
      </c>
    </row>
    <row r="199">
      <c r="A199" s="1" t="s">
        <v>28</v>
      </c>
      <c r="B199" s="1" t="s">
        <v>29</v>
      </c>
      <c r="C199" s="1" t="s">
        <v>23</v>
      </c>
      <c r="D199" s="1">
        <v>27.0</v>
      </c>
      <c r="E199" s="1">
        <v>35.0</v>
      </c>
      <c r="F199" s="1">
        <v>8.0</v>
      </c>
      <c r="G199" s="1">
        <v>6.0</v>
      </c>
      <c r="H199" s="1" t="s">
        <v>30</v>
      </c>
      <c r="I199" s="2">
        <v>46054.0</v>
      </c>
      <c r="J199" s="1">
        <v>1250000.0</v>
      </c>
      <c r="K199" s="2">
        <v>46054.0</v>
      </c>
    </row>
    <row r="200">
      <c r="A200" s="1" t="s">
        <v>44</v>
      </c>
      <c r="B200" s="1" t="s">
        <v>45</v>
      </c>
      <c r="C200" s="1" t="s">
        <v>42</v>
      </c>
      <c r="D200" s="1">
        <v>39.0</v>
      </c>
      <c r="E200" s="1">
        <v>30.0</v>
      </c>
      <c r="F200" s="1">
        <v>6.0</v>
      </c>
      <c r="G200" s="1">
        <v>10.0</v>
      </c>
      <c r="H200" s="1" t="s">
        <v>43</v>
      </c>
      <c r="I200" s="2">
        <v>45854.0</v>
      </c>
      <c r="J200" s="1">
        <v>350000.0</v>
      </c>
      <c r="K200" s="2">
        <v>45839.0</v>
      </c>
    </row>
    <row r="201">
      <c r="A201" s="1" t="s">
        <v>28</v>
      </c>
      <c r="B201" s="1" t="s">
        <v>29</v>
      </c>
      <c r="C201" s="1" t="s">
        <v>23</v>
      </c>
      <c r="D201" s="1">
        <v>10.0</v>
      </c>
      <c r="E201" s="1">
        <v>35.0</v>
      </c>
      <c r="F201" s="1">
        <v>7.0</v>
      </c>
      <c r="G201" s="1">
        <v>3.0</v>
      </c>
      <c r="H201" s="1" t="s">
        <v>30</v>
      </c>
      <c r="I201" s="2">
        <v>45929.0</v>
      </c>
      <c r="J201" s="1">
        <v>1250000.0</v>
      </c>
      <c r="K201" s="2">
        <v>45901.0</v>
      </c>
    </row>
    <row r="202">
      <c r="A202" s="1" t="s">
        <v>60</v>
      </c>
      <c r="B202" s="1" t="s">
        <v>61</v>
      </c>
      <c r="C202" s="1" t="s">
        <v>17</v>
      </c>
      <c r="D202" s="1">
        <v>7.0</v>
      </c>
      <c r="E202" s="1">
        <v>20.0</v>
      </c>
      <c r="F202" s="1">
        <v>2.0</v>
      </c>
      <c r="G202" s="1">
        <v>13.0</v>
      </c>
      <c r="H202" s="1" t="s">
        <v>27</v>
      </c>
      <c r="I202" s="2">
        <v>45861.0</v>
      </c>
      <c r="J202" s="1">
        <v>3200000.0</v>
      </c>
      <c r="K202" s="2">
        <v>45839.0</v>
      </c>
    </row>
    <row r="203">
      <c r="A203" s="1" t="s">
        <v>21</v>
      </c>
      <c r="B203" s="1" t="s">
        <v>22</v>
      </c>
      <c r="C203" s="1" t="s">
        <v>23</v>
      </c>
      <c r="D203" s="1">
        <v>13.0</v>
      </c>
      <c r="E203" s="1">
        <v>50.0</v>
      </c>
      <c r="F203" s="1">
        <v>8.0</v>
      </c>
      <c r="G203" s="1">
        <v>4.0</v>
      </c>
      <c r="H203" s="1" t="s">
        <v>24</v>
      </c>
      <c r="I203" s="2">
        <v>45691.0</v>
      </c>
      <c r="J203" s="1">
        <v>350000.0</v>
      </c>
      <c r="K203" s="2">
        <v>45689.0</v>
      </c>
    </row>
    <row r="204">
      <c r="A204" s="1" t="s">
        <v>40</v>
      </c>
      <c r="B204" s="1" t="s">
        <v>41</v>
      </c>
      <c r="C204" s="1" t="s">
        <v>42</v>
      </c>
      <c r="E204" s="1">
        <v>15.0</v>
      </c>
      <c r="F204" s="1">
        <v>2.0</v>
      </c>
      <c r="G204" s="1">
        <v>4.0</v>
      </c>
      <c r="H204" s="1" t="s">
        <v>43</v>
      </c>
      <c r="I204" s="2">
        <v>45688.0</v>
      </c>
      <c r="J204" s="1">
        <v>1200000.0</v>
      </c>
      <c r="K204" s="2">
        <v>45658.0</v>
      </c>
    </row>
    <row r="205">
      <c r="A205" s="1" t="s">
        <v>55</v>
      </c>
      <c r="B205" s="1" t="s">
        <v>56</v>
      </c>
      <c r="C205" s="1" t="s">
        <v>36</v>
      </c>
      <c r="D205" s="1">
        <v>19.0</v>
      </c>
      <c r="E205" s="1">
        <v>100.0</v>
      </c>
      <c r="F205" s="1">
        <v>16.0</v>
      </c>
      <c r="G205" s="1">
        <v>4.0</v>
      </c>
      <c r="H205" s="1" t="s">
        <v>37</v>
      </c>
      <c r="I205" s="2">
        <v>45965.0</v>
      </c>
      <c r="J205" s="1">
        <v>85000.0</v>
      </c>
      <c r="K205" s="2">
        <v>45962.0</v>
      </c>
    </row>
    <row r="206">
      <c r="A206" s="1" t="s">
        <v>55</v>
      </c>
      <c r="B206" s="1" t="s">
        <v>56</v>
      </c>
      <c r="C206" s="1" t="s">
        <v>36</v>
      </c>
      <c r="D206" s="1">
        <v>36.0</v>
      </c>
      <c r="E206" s="1">
        <v>100.0</v>
      </c>
      <c r="F206" s="1">
        <v>16.0</v>
      </c>
      <c r="G206" s="1">
        <v>5.0</v>
      </c>
      <c r="H206" s="1" t="s">
        <v>37</v>
      </c>
      <c r="I206" s="2">
        <v>45851.0</v>
      </c>
      <c r="J206" s="1">
        <v>85000.0</v>
      </c>
      <c r="K206" s="2">
        <v>45839.0</v>
      </c>
    </row>
    <row r="207">
      <c r="A207" s="1" t="s">
        <v>34</v>
      </c>
      <c r="B207" s="1" t="s">
        <v>35</v>
      </c>
      <c r="C207" s="1" t="s">
        <v>36</v>
      </c>
      <c r="D207" s="1">
        <v>33.0</v>
      </c>
      <c r="E207" s="1">
        <v>80.0</v>
      </c>
      <c r="F207" s="1">
        <v>13.0</v>
      </c>
      <c r="G207" s="1">
        <v>4.0</v>
      </c>
      <c r="H207" s="1" t="s">
        <v>37</v>
      </c>
      <c r="I207" s="2">
        <v>45697.0</v>
      </c>
      <c r="J207" s="1">
        <v>65000.0</v>
      </c>
      <c r="K207" s="2">
        <v>45689.0</v>
      </c>
    </row>
    <row r="208">
      <c r="A208" s="1" t="s">
        <v>15</v>
      </c>
      <c r="B208" s="1" t="s">
        <v>16</v>
      </c>
      <c r="C208" s="1" t="s">
        <v>17</v>
      </c>
      <c r="D208" s="1">
        <v>0.0</v>
      </c>
      <c r="E208" s="1">
        <v>15.0</v>
      </c>
      <c r="F208" s="1">
        <v>2.0</v>
      </c>
      <c r="G208" s="1">
        <v>8.0</v>
      </c>
      <c r="H208" s="1" t="s">
        <v>18</v>
      </c>
      <c r="I208" s="2">
        <v>45994.0</v>
      </c>
      <c r="J208" s="1">
        <v>8500000.0</v>
      </c>
      <c r="K208" s="2">
        <v>45992.0</v>
      </c>
    </row>
    <row r="209">
      <c r="A209" s="1" t="s">
        <v>19</v>
      </c>
      <c r="B209" s="1" t="s">
        <v>20</v>
      </c>
      <c r="C209" s="1" t="s">
        <v>17</v>
      </c>
      <c r="D209" s="1">
        <v>34.0</v>
      </c>
      <c r="E209" s="1">
        <v>30.0</v>
      </c>
      <c r="F209" s="1">
        <v>4.0</v>
      </c>
      <c r="G209" s="1">
        <v>5.0</v>
      </c>
      <c r="H209" s="1" t="s">
        <v>18</v>
      </c>
      <c r="I209" s="2">
        <v>46083.0</v>
      </c>
      <c r="J209" s="1">
        <v>1200000.0</v>
      </c>
      <c r="K209" s="2">
        <v>46082.0</v>
      </c>
    </row>
    <row r="210">
      <c r="A210" s="1" t="s">
        <v>62</v>
      </c>
      <c r="B210" s="1" t="s">
        <v>63</v>
      </c>
      <c r="C210" s="1" t="s">
        <v>13</v>
      </c>
      <c r="D210" s="1">
        <v>427.0</v>
      </c>
      <c r="E210" s="1">
        <v>80.0</v>
      </c>
      <c r="F210" s="1">
        <v>2.0</v>
      </c>
      <c r="G210" s="1">
        <v>5.0</v>
      </c>
      <c r="H210" s="1" t="s">
        <v>33</v>
      </c>
      <c r="I210" s="2">
        <v>45838.0</v>
      </c>
      <c r="J210" s="1">
        <v>85000.0</v>
      </c>
      <c r="K210" s="2">
        <v>45809.0</v>
      </c>
    </row>
    <row r="211">
      <c r="A211" s="1" t="s">
        <v>51</v>
      </c>
      <c r="B211" s="1" t="s">
        <v>52</v>
      </c>
      <c r="C211" s="1" t="s">
        <v>36</v>
      </c>
      <c r="D211" s="1">
        <v>14.0</v>
      </c>
      <c r="E211" s="1">
        <v>60.0</v>
      </c>
      <c r="F211" s="1">
        <v>8.0</v>
      </c>
      <c r="G211" s="1">
        <v>6.0</v>
      </c>
      <c r="H211" s="1" t="s">
        <v>50</v>
      </c>
      <c r="I211" s="2">
        <v>45930.0</v>
      </c>
      <c r="J211" s="1">
        <v>175000.0</v>
      </c>
      <c r="K211" s="2">
        <v>45901.0</v>
      </c>
    </row>
    <row r="212">
      <c r="A212" s="1" t="s">
        <v>25</v>
      </c>
      <c r="B212" s="1" t="s">
        <v>26</v>
      </c>
      <c r="C212" s="1" t="s">
        <v>17</v>
      </c>
      <c r="D212" s="1">
        <v>32.0</v>
      </c>
      <c r="E212" s="1">
        <v>25.0</v>
      </c>
      <c r="F212" s="1">
        <v>6.0</v>
      </c>
      <c r="G212" s="1">
        <v>17.0</v>
      </c>
      <c r="H212" s="1" t="s">
        <v>27</v>
      </c>
      <c r="I212" s="2">
        <v>46026.0</v>
      </c>
      <c r="J212" s="1">
        <v>4500000.0</v>
      </c>
      <c r="K212" s="2">
        <v>46023.0</v>
      </c>
    </row>
    <row r="213">
      <c r="A213" s="1" t="s">
        <v>11</v>
      </c>
      <c r="B213" s="1" t="s">
        <v>12</v>
      </c>
      <c r="C213" s="1" t="s">
        <v>13</v>
      </c>
      <c r="E213" s="1">
        <v>50.0</v>
      </c>
      <c r="F213" s="1">
        <v>1.0</v>
      </c>
      <c r="G213" s="1">
        <v>7.0</v>
      </c>
      <c r="H213" s="1" t="s">
        <v>14</v>
      </c>
      <c r="I213" s="2">
        <v>45885.0</v>
      </c>
      <c r="J213" s="1">
        <v>125000.0</v>
      </c>
      <c r="K213" s="2">
        <v>45870.0</v>
      </c>
    </row>
    <row r="214">
      <c r="A214" s="1" t="s">
        <v>15</v>
      </c>
      <c r="B214" s="1" t="s">
        <v>16</v>
      </c>
      <c r="C214" s="1" t="s">
        <v>17</v>
      </c>
      <c r="D214" s="1">
        <v>28.0</v>
      </c>
      <c r="E214" s="1">
        <v>15.0</v>
      </c>
      <c r="F214" s="1">
        <v>1.0</v>
      </c>
      <c r="G214" s="1">
        <v>6.0</v>
      </c>
      <c r="H214" s="1" t="s">
        <v>18</v>
      </c>
      <c r="I214" s="2">
        <v>45800.0</v>
      </c>
      <c r="J214" s="1">
        <v>8500000.0</v>
      </c>
      <c r="K214" s="2">
        <v>45778.0</v>
      </c>
    </row>
    <row r="215">
      <c r="A215" s="1" t="s">
        <v>64</v>
      </c>
      <c r="B215" s="1" t="s">
        <v>65</v>
      </c>
      <c r="C215" s="1" t="s">
        <v>42</v>
      </c>
      <c r="D215" s="1">
        <v>21.0</v>
      </c>
      <c r="E215" s="1">
        <v>20.0</v>
      </c>
      <c r="F215" s="1">
        <v>2.0</v>
      </c>
      <c r="G215" s="1">
        <v>9.0</v>
      </c>
      <c r="H215" s="1" t="s">
        <v>59</v>
      </c>
      <c r="I215" s="2">
        <v>45724.0</v>
      </c>
      <c r="J215" s="1">
        <v>750000.0</v>
      </c>
      <c r="K215" s="2">
        <v>45717.0</v>
      </c>
    </row>
    <row r="216">
      <c r="A216" s="1" t="s">
        <v>60</v>
      </c>
      <c r="B216" s="1" t="s">
        <v>61</v>
      </c>
      <c r="C216" s="1" t="s">
        <v>17</v>
      </c>
      <c r="D216" s="1">
        <v>12.0</v>
      </c>
      <c r="E216" s="1">
        <v>20.0</v>
      </c>
      <c r="F216" s="1">
        <v>2.0</v>
      </c>
      <c r="G216" s="1">
        <v>16.0</v>
      </c>
      <c r="H216" s="1" t="s">
        <v>27</v>
      </c>
      <c r="I216" s="2">
        <v>45724.0</v>
      </c>
      <c r="J216" s="1">
        <v>3200000.0</v>
      </c>
      <c r="K216" s="2">
        <v>45717.0</v>
      </c>
    </row>
    <row r="217">
      <c r="A217" s="1" t="s">
        <v>48</v>
      </c>
      <c r="B217" s="1" t="s">
        <v>49</v>
      </c>
      <c r="C217" s="1" t="s">
        <v>36</v>
      </c>
      <c r="D217" s="1">
        <v>72.0</v>
      </c>
      <c r="E217" s="1">
        <v>120.0</v>
      </c>
      <c r="F217" s="1">
        <v>18.0</v>
      </c>
      <c r="G217" s="1">
        <v>7.0</v>
      </c>
      <c r="H217" s="1" t="s">
        <v>50</v>
      </c>
      <c r="I217" s="2">
        <v>45815.0</v>
      </c>
      <c r="J217" s="1">
        <v>55000.0</v>
      </c>
      <c r="K217" s="2">
        <v>45809.0</v>
      </c>
    </row>
    <row r="218">
      <c r="A218" s="1" t="s">
        <v>40</v>
      </c>
      <c r="B218" s="1" t="s">
        <v>41</v>
      </c>
      <c r="C218" s="1" t="s">
        <v>42</v>
      </c>
      <c r="D218" s="1">
        <v>33.0</v>
      </c>
      <c r="E218" s="1">
        <v>15.0</v>
      </c>
      <c r="F218" s="1">
        <v>2.0</v>
      </c>
      <c r="G218" s="1">
        <v>10.0</v>
      </c>
      <c r="H218" s="1" t="s">
        <v>43</v>
      </c>
      <c r="I218" s="2">
        <v>46032.0</v>
      </c>
      <c r="J218" s="1">
        <v>1200000.0</v>
      </c>
      <c r="K218" s="2">
        <v>46023.0</v>
      </c>
    </row>
    <row r="219">
      <c r="A219" s="1" t="s">
        <v>53</v>
      </c>
      <c r="B219" s="1" t="s">
        <v>54</v>
      </c>
      <c r="C219" s="1" t="s">
        <v>13</v>
      </c>
      <c r="D219" s="1">
        <v>246.0</v>
      </c>
      <c r="E219" s="1">
        <v>60.0</v>
      </c>
      <c r="F219" s="1">
        <v>3.0</v>
      </c>
      <c r="G219" s="1">
        <v>7.0</v>
      </c>
      <c r="H219" s="1" t="s">
        <v>14</v>
      </c>
      <c r="I219" s="2">
        <v>46049.0</v>
      </c>
      <c r="J219" s="1">
        <v>165000.0</v>
      </c>
      <c r="K219" s="2">
        <v>46023.0</v>
      </c>
    </row>
    <row r="220">
      <c r="A220" s="1" t="s">
        <v>34</v>
      </c>
      <c r="B220" s="1" t="s">
        <v>35</v>
      </c>
      <c r="C220" s="1" t="s">
        <v>36</v>
      </c>
      <c r="D220" s="1">
        <v>64.0</v>
      </c>
      <c r="E220" s="1">
        <v>80.0</v>
      </c>
      <c r="F220" s="1">
        <v>13.0</v>
      </c>
      <c r="G220" s="1">
        <v>5.0</v>
      </c>
      <c r="H220" s="1" t="s">
        <v>37</v>
      </c>
      <c r="I220" s="2">
        <v>45970.0</v>
      </c>
      <c r="J220" s="1">
        <v>65000.0</v>
      </c>
      <c r="K220" s="2">
        <v>45962.0</v>
      </c>
    </row>
    <row r="221">
      <c r="A221" s="1" t="s">
        <v>57</v>
      </c>
      <c r="B221" s="1" t="s">
        <v>58</v>
      </c>
      <c r="C221" s="1" t="s">
        <v>42</v>
      </c>
      <c r="D221" s="1">
        <v>37.0</v>
      </c>
      <c r="E221" s="1">
        <v>25.0</v>
      </c>
      <c r="F221" s="1">
        <v>1.0</v>
      </c>
      <c r="G221" s="1">
        <v>9.0</v>
      </c>
      <c r="H221" s="1" t="s">
        <v>59</v>
      </c>
      <c r="I221" s="2">
        <v>45775.0</v>
      </c>
      <c r="J221" s="1">
        <v>450000.0</v>
      </c>
      <c r="K221" s="2">
        <v>45748.0</v>
      </c>
    </row>
    <row r="222">
      <c r="A222" s="1" t="s">
        <v>21</v>
      </c>
      <c r="B222" s="1" t="s">
        <v>22</v>
      </c>
      <c r="C222" s="1" t="s">
        <v>23</v>
      </c>
      <c r="D222" s="1">
        <v>0.0</v>
      </c>
      <c r="E222" s="1">
        <v>50.0</v>
      </c>
      <c r="F222" s="1">
        <v>13.0</v>
      </c>
      <c r="G222" s="1">
        <v>3.0</v>
      </c>
      <c r="H222" s="1" t="s">
        <v>24</v>
      </c>
      <c r="I222" s="2">
        <v>45747.0</v>
      </c>
      <c r="J222" s="1">
        <v>350000.0</v>
      </c>
      <c r="K222" s="2">
        <v>45717.0</v>
      </c>
    </row>
    <row r="223">
      <c r="A223" s="1" t="s">
        <v>53</v>
      </c>
      <c r="B223" s="1" t="s">
        <v>54</v>
      </c>
      <c r="C223" s="1" t="s">
        <v>13</v>
      </c>
      <c r="D223" s="1">
        <v>230.0</v>
      </c>
      <c r="E223" s="1">
        <v>60.0</v>
      </c>
      <c r="F223" s="1">
        <v>2.0</v>
      </c>
      <c r="G223" s="1">
        <v>8.0</v>
      </c>
      <c r="H223" s="1" t="s">
        <v>14</v>
      </c>
      <c r="I223" s="2">
        <v>45817.0</v>
      </c>
      <c r="J223" s="1">
        <v>165000.0</v>
      </c>
      <c r="K223" s="2">
        <v>45809.0</v>
      </c>
    </row>
    <row r="224">
      <c r="A224" s="1" t="s">
        <v>57</v>
      </c>
      <c r="B224" s="1" t="s">
        <v>58</v>
      </c>
      <c r="C224" s="1" t="s">
        <v>42</v>
      </c>
      <c r="D224" s="1">
        <v>52.0</v>
      </c>
      <c r="E224" s="1">
        <v>25.0</v>
      </c>
      <c r="F224" s="1">
        <v>4.0</v>
      </c>
      <c r="G224" s="1">
        <v>9.0</v>
      </c>
      <c r="H224" s="1" t="s">
        <v>59</v>
      </c>
      <c r="I224" s="2">
        <v>45671.0</v>
      </c>
      <c r="J224" s="1">
        <v>450000.0</v>
      </c>
      <c r="K224" s="2">
        <v>45658.0</v>
      </c>
    </row>
    <row r="225">
      <c r="A225" s="1" t="s">
        <v>64</v>
      </c>
      <c r="B225" s="1" t="s">
        <v>65</v>
      </c>
      <c r="C225" s="1" t="s">
        <v>42</v>
      </c>
      <c r="D225" s="1">
        <v>47.0</v>
      </c>
      <c r="E225" s="1">
        <v>20.0</v>
      </c>
      <c r="F225" s="1">
        <v>4.0</v>
      </c>
      <c r="G225" s="1">
        <v>9.0</v>
      </c>
      <c r="H225" s="1" t="s">
        <v>59</v>
      </c>
      <c r="I225" s="2">
        <v>45909.0</v>
      </c>
      <c r="J225" s="1">
        <v>750000.0</v>
      </c>
      <c r="K225" s="2">
        <v>45901.0</v>
      </c>
    </row>
    <row r="226">
      <c r="A226" s="1" t="s">
        <v>31</v>
      </c>
      <c r="B226" s="1" t="s">
        <v>32</v>
      </c>
      <c r="C226" s="1" t="s">
        <v>13</v>
      </c>
      <c r="D226" s="1">
        <v>153.0</v>
      </c>
      <c r="E226" s="1">
        <v>40.0</v>
      </c>
      <c r="F226" s="1">
        <v>4.0</v>
      </c>
      <c r="G226" s="1">
        <v>5.0</v>
      </c>
      <c r="H226" s="1" t="s">
        <v>33</v>
      </c>
      <c r="I226" s="2">
        <v>46097.0</v>
      </c>
      <c r="J226" s="1">
        <v>550000.0</v>
      </c>
      <c r="K226" s="2">
        <v>46082.0</v>
      </c>
    </row>
    <row r="227">
      <c r="A227" s="1" t="s">
        <v>15</v>
      </c>
      <c r="B227" s="1" t="s">
        <v>16</v>
      </c>
      <c r="C227" s="1" t="s">
        <v>17</v>
      </c>
      <c r="D227" s="1">
        <v>19.0</v>
      </c>
      <c r="E227" s="1">
        <v>15.0</v>
      </c>
      <c r="F227" s="1">
        <v>3.0</v>
      </c>
      <c r="G227" s="1">
        <v>5.0</v>
      </c>
      <c r="H227" s="1" t="s">
        <v>18</v>
      </c>
      <c r="I227" s="2">
        <v>45903.0</v>
      </c>
      <c r="J227" s="1">
        <v>8500000.0</v>
      </c>
      <c r="K227" s="2">
        <v>45901.0</v>
      </c>
    </row>
    <row r="228">
      <c r="A228" s="1" t="s">
        <v>21</v>
      </c>
      <c r="B228" s="1" t="s">
        <v>22</v>
      </c>
      <c r="C228" s="1" t="s">
        <v>23</v>
      </c>
      <c r="D228" s="1">
        <v>0.0</v>
      </c>
      <c r="E228" s="1">
        <v>50.0</v>
      </c>
      <c r="F228" s="1">
        <v>12.0</v>
      </c>
      <c r="G228" s="1">
        <v>5.0</v>
      </c>
      <c r="H228" s="1" t="s">
        <v>24</v>
      </c>
      <c r="I228" s="2">
        <v>45971.0</v>
      </c>
      <c r="J228" s="1">
        <v>350000.0</v>
      </c>
      <c r="K228" s="2">
        <v>45962.0</v>
      </c>
    </row>
    <row r="229">
      <c r="A229" s="1" t="s">
        <v>51</v>
      </c>
      <c r="B229" s="1" t="s">
        <v>52</v>
      </c>
      <c r="C229" s="1" t="s">
        <v>36</v>
      </c>
      <c r="D229" s="1">
        <v>37.0</v>
      </c>
      <c r="E229" s="1">
        <v>60.0</v>
      </c>
      <c r="F229" s="1">
        <v>8.0</v>
      </c>
      <c r="G229" s="1">
        <v>5.0</v>
      </c>
      <c r="H229" s="1" t="s">
        <v>50</v>
      </c>
      <c r="I229" s="2">
        <v>45795.0</v>
      </c>
      <c r="J229" s="1">
        <v>175000.0</v>
      </c>
      <c r="K229" s="2">
        <v>45778.0</v>
      </c>
    </row>
    <row r="230">
      <c r="A230" s="1" t="s">
        <v>21</v>
      </c>
      <c r="B230" s="1" t="s">
        <v>22</v>
      </c>
      <c r="C230" s="1" t="s">
        <v>23</v>
      </c>
      <c r="D230" s="1">
        <v>49.0</v>
      </c>
      <c r="E230" s="1">
        <v>50.0</v>
      </c>
      <c r="F230" s="1">
        <v>5.0</v>
      </c>
      <c r="H230" s="1" t="s">
        <v>24</v>
      </c>
      <c r="I230" s="2">
        <v>45784.0</v>
      </c>
      <c r="J230" s="1">
        <v>350000.0</v>
      </c>
      <c r="K230" s="2">
        <v>45778.0</v>
      </c>
    </row>
    <row r="231">
      <c r="A231" s="1" t="s">
        <v>60</v>
      </c>
      <c r="B231" s="1" t="s">
        <v>61</v>
      </c>
      <c r="C231" s="1" t="s">
        <v>17</v>
      </c>
      <c r="D231" s="1">
        <v>22.0</v>
      </c>
      <c r="E231" s="1">
        <v>20.0</v>
      </c>
      <c r="F231" s="1">
        <v>4.0</v>
      </c>
      <c r="G231" s="1">
        <v>8.0</v>
      </c>
      <c r="H231" s="1" t="s">
        <v>27</v>
      </c>
      <c r="I231" s="2">
        <v>46103.0</v>
      </c>
      <c r="J231" s="1">
        <v>3200000.0</v>
      </c>
      <c r="K231" s="2">
        <v>46082.0</v>
      </c>
    </row>
    <row r="232">
      <c r="A232" s="1" t="s">
        <v>55</v>
      </c>
      <c r="B232" s="1" t="s">
        <v>56</v>
      </c>
      <c r="C232" s="1" t="s">
        <v>36</v>
      </c>
      <c r="D232" s="1">
        <v>58.0</v>
      </c>
      <c r="E232" s="1">
        <v>100.0</v>
      </c>
      <c r="F232" s="1">
        <v>14.0</v>
      </c>
      <c r="G232" s="1">
        <v>3.0</v>
      </c>
      <c r="H232" s="1" t="s">
        <v>37</v>
      </c>
      <c r="I232" s="2">
        <v>45951.0</v>
      </c>
      <c r="J232" s="1">
        <v>85000.0</v>
      </c>
      <c r="K232" s="2">
        <v>45931.0</v>
      </c>
    </row>
    <row r="233">
      <c r="A233" s="1" t="s">
        <v>40</v>
      </c>
      <c r="B233" s="1" t="s">
        <v>41</v>
      </c>
      <c r="C233" s="1" t="s">
        <v>42</v>
      </c>
      <c r="D233" s="1">
        <v>14.0</v>
      </c>
      <c r="E233" s="1">
        <v>15.0</v>
      </c>
      <c r="F233" s="1">
        <v>2.0</v>
      </c>
      <c r="G233" s="1">
        <v>5.0</v>
      </c>
      <c r="H233" s="1" t="s">
        <v>43</v>
      </c>
      <c r="I233" s="2">
        <v>45858.0</v>
      </c>
      <c r="J233" s="1">
        <v>1200000.0</v>
      </c>
      <c r="K233" s="2">
        <v>45839.0</v>
      </c>
    </row>
    <row r="234">
      <c r="A234" s="1" t="s">
        <v>60</v>
      </c>
      <c r="B234" s="1" t="s">
        <v>61</v>
      </c>
      <c r="C234" s="1" t="s">
        <v>17</v>
      </c>
      <c r="D234" s="1">
        <v>0.0</v>
      </c>
      <c r="E234" s="1">
        <v>20.0</v>
      </c>
      <c r="F234" s="1">
        <v>4.0</v>
      </c>
      <c r="G234" s="1">
        <v>17.0</v>
      </c>
      <c r="H234" s="1" t="s">
        <v>27</v>
      </c>
      <c r="I234" s="2">
        <v>45964.0</v>
      </c>
      <c r="J234" s="1">
        <v>3200000.0</v>
      </c>
      <c r="K234" s="2">
        <v>45962.0</v>
      </c>
    </row>
    <row r="235">
      <c r="A235" s="1" t="s">
        <v>64</v>
      </c>
      <c r="B235" s="1" t="s">
        <v>65</v>
      </c>
      <c r="C235" s="1" t="s">
        <v>42</v>
      </c>
      <c r="D235" s="1">
        <v>26.0</v>
      </c>
      <c r="E235" s="1">
        <v>20.0</v>
      </c>
      <c r="F235" s="1">
        <v>2.0</v>
      </c>
      <c r="G235" s="1">
        <v>10.0</v>
      </c>
      <c r="H235" s="1" t="s">
        <v>59</v>
      </c>
      <c r="I235" s="2">
        <v>45762.0</v>
      </c>
      <c r="J235" s="1">
        <v>750000.0</v>
      </c>
      <c r="K235" s="2">
        <v>45748.0</v>
      </c>
    </row>
    <row r="236">
      <c r="A236" s="1" t="s">
        <v>48</v>
      </c>
      <c r="B236" s="1" t="s">
        <v>49</v>
      </c>
      <c r="C236" s="1" t="s">
        <v>36</v>
      </c>
      <c r="D236" s="1">
        <v>12.0</v>
      </c>
      <c r="E236" s="1">
        <v>120.0</v>
      </c>
      <c r="F236" s="1">
        <v>21.0</v>
      </c>
      <c r="G236" s="1">
        <v>5.0</v>
      </c>
      <c r="H236" s="1" t="s">
        <v>50</v>
      </c>
      <c r="I236" s="2">
        <v>45706.0</v>
      </c>
      <c r="J236" s="1">
        <v>55000.0</v>
      </c>
      <c r="K236" s="2">
        <v>45689.0</v>
      </c>
    </row>
    <row r="237">
      <c r="A237" s="1" t="s">
        <v>53</v>
      </c>
      <c r="B237" s="1" t="s">
        <v>54</v>
      </c>
      <c r="C237" s="1" t="s">
        <v>13</v>
      </c>
      <c r="D237" s="1">
        <v>292.0</v>
      </c>
      <c r="E237" s="1">
        <v>60.0</v>
      </c>
      <c r="F237" s="1">
        <v>3.0</v>
      </c>
      <c r="G237" s="1">
        <v>8.0</v>
      </c>
      <c r="H237" s="1" t="s">
        <v>14</v>
      </c>
      <c r="I237" s="2">
        <v>45869.0</v>
      </c>
      <c r="J237" s="1">
        <v>165000.0</v>
      </c>
      <c r="K237" s="2">
        <v>45839.0</v>
      </c>
    </row>
    <row r="238">
      <c r="A238" s="1" t="s">
        <v>40</v>
      </c>
      <c r="B238" s="1" t="s">
        <v>41</v>
      </c>
      <c r="C238" s="1" t="s">
        <v>42</v>
      </c>
      <c r="D238" s="1">
        <v>18.0</v>
      </c>
      <c r="E238" s="1">
        <v>15.0</v>
      </c>
      <c r="F238" s="1">
        <v>3.0</v>
      </c>
      <c r="G238" s="1">
        <v>5.0</v>
      </c>
      <c r="H238" s="1" t="s">
        <v>43</v>
      </c>
      <c r="I238" s="2">
        <v>45774.0</v>
      </c>
      <c r="J238" s="1">
        <v>1200000.0</v>
      </c>
      <c r="K238" s="2">
        <v>45748.0</v>
      </c>
    </row>
    <row r="239">
      <c r="A239" s="1" t="s">
        <v>25</v>
      </c>
      <c r="B239" s="1" t="s">
        <v>26</v>
      </c>
      <c r="C239" s="1" t="s">
        <v>17</v>
      </c>
      <c r="D239" s="1">
        <v>29.0</v>
      </c>
      <c r="E239" s="1">
        <v>25.0</v>
      </c>
      <c r="F239" s="1">
        <v>4.0</v>
      </c>
      <c r="G239" s="1">
        <v>11.0</v>
      </c>
      <c r="H239" s="1" t="s">
        <v>27</v>
      </c>
      <c r="I239" s="2">
        <v>45917.0</v>
      </c>
      <c r="J239" s="1">
        <v>4500000.0</v>
      </c>
      <c r="K239" s="2">
        <v>45901.0</v>
      </c>
    </row>
    <row r="240">
      <c r="A240" s="1" t="s">
        <v>48</v>
      </c>
      <c r="B240" s="1" t="s">
        <v>49</v>
      </c>
      <c r="C240" s="1" t="s">
        <v>36</v>
      </c>
      <c r="D240" s="1">
        <v>68.0</v>
      </c>
      <c r="E240" s="1">
        <v>120.0</v>
      </c>
      <c r="F240" s="1">
        <v>16.0</v>
      </c>
      <c r="G240" s="1">
        <v>6.0</v>
      </c>
      <c r="H240" s="1" t="s">
        <v>50</v>
      </c>
      <c r="I240" s="2">
        <v>45672.0</v>
      </c>
      <c r="J240" s="1">
        <v>55000.0</v>
      </c>
      <c r="K240" s="2">
        <v>45658.0</v>
      </c>
    </row>
    <row r="241">
      <c r="A241" s="1" t="s">
        <v>46</v>
      </c>
      <c r="B241" s="1" t="s">
        <v>47</v>
      </c>
      <c r="C241" s="1" t="s">
        <v>23</v>
      </c>
      <c r="D241" s="1">
        <v>35.0</v>
      </c>
      <c r="E241" s="1">
        <v>40.0</v>
      </c>
      <c r="F241" s="1">
        <v>4.0</v>
      </c>
      <c r="G241" s="1">
        <v>5.0</v>
      </c>
      <c r="H241" s="1" t="s">
        <v>30</v>
      </c>
      <c r="I241" s="2">
        <v>46161.0</v>
      </c>
      <c r="J241" s="1">
        <v>550000.0</v>
      </c>
      <c r="K241" s="2">
        <v>45809.0</v>
      </c>
    </row>
    <row r="242">
      <c r="A242" s="1" t="s">
        <v>38</v>
      </c>
      <c r="B242" s="1" t="s">
        <v>39</v>
      </c>
      <c r="C242" s="1" t="s">
        <v>23</v>
      </c>
      <c r="D242" s="1">
        <v>15.0</v>
      </c>
      <c r="E242" s="1">
        <v>45.0</v>
      </c>
      <c r="F242" s="1">
        <v>7.0</v>
      </c>
      <c r="G242" s="1">
        <v>4.0</v>
      </c>
      <c r="H242" s="1" t="s">
        <v>24</v>
      </c>
      <c r="I242" s="2">
        <v>45856.0</v>
      </c>
      <c r="J242" s="1">
        <v>450000.0</v>
      </c>
      <c r="K242" s="2">
        <v>45839.0</v>
      </c>
    </row>
    <row r="243">
      <c r="A243" s="1" t="s">
        <v>11</v>
      </c>
      <c r="B243" s="1" t="s">
        <v>12</v>
      </c>
      <c r="C243" s="1" t="s">
        <v>13</v>
      </c>
      <c r="D243" s="1">
        <v>172.0</v>
      </c>
      <c r="E243" s="1">
        <v>50.0</v>
      </c>
      <c r="F243" s="1">
        <v>2.0</v>
      </c>
      <c r="G243" s="1">
        <v>6.0</v>
      </c>
      <c r="H243" s="1" t="s">
        <v>14</v>
      </c>
      <c r="I243" s="2">
        <v>46018.0</v>
      </c>
      <c r="J243" s="1">
        <v>125000.0</v>
      </c>
      <c r="K243" s="2">
        <v>45992.0</v>
      </c>
    </row>
    <row r="244">
      <c r="A244" s="1" t="s">
        <v>62</v>
      </c>
      <c r="B244" s="1" t="s">
        <v>63</v>
      </c>
      <c r="C244" s="1" t="s">
        <v>13</v>
      </c>
      <c r="D244" s="1">
        <v>392.0</v>
      </c>
      <c r="E244" s="1">
        <v>80.0</v>
      </c>
      <c r="F244" s="1">
        <v>3.0</v>
      </c>
      <c r="G244" s="1">
        <v>6.0</v>
      </c>
      <c r="H244" s="1" t="s">
        <v>33</v>
      </c>
      <c r="I244" s="2">
        <v>46030.0</v>
      </c>
      <c r="J244" s="1">
        <v>85000.0</v>
      </c>
      <c r="K244" s="2">
        <v>46023.0</v>
      </c>
    </row>
    <row r="245">
      <c r="A245" s="1" t="s">
        <v>53</v>
      </c>
      <c r="B245" s="1" t="s">
        <v>54</v>
      </c>
      <c r="C245" s="1" t="s">
        <v>13</v>
      </c>
      <c r="D245" s="1">
        <v>205.0</v>
      </c>
      <c r="E245" s="1">
        <v>60.0</v>
      </c>
      <c r="F245" s="1">
        <v>4.0</v>
      </c>
      <c r="G245" s="1">
        <v>7.0</v>
      </c>
      <c r="H245" s="1" t="s">
        <v>14</v>
      </c>
      <c r="I245" s="2">
        <v>45739.0</v>
      </c>
      <c r="J245" s="1">
        <v>165000.0</v>
      </c>
      <c r="K245" s="2">
        <v>45717.0</v>
      </c>
    </row>
    <row r="246">
      <c r="A246" s="1" t="s">
        <v>60</v>
      </c>
      <c r="B246" s="1" t="s">
        <v>61</v>
      </c>
      <c r="C246" s="1" t="s">
        <v>17</v>
      </c>
      <c r="D246" s="1">
        <v>7.0</v>
      </c>
      <c r="E246" s="1">
        <v>20.0</v>
      </c>
      <c r="F246" s="1">
        <v>2.0</v>
      </c>
      <c r="G246" s="1">
        <v>7.0</v>
      </c>
      <c r="H246" s="1" t="s">
        <v>27</v>
      </c>
      <c r="I246" s="2">
        <v>45933.0</v>
      </c>
      <c r="J246" s="1">
        <v>3200000.0</v>
      </c>
      <c r="K246" s="2">
        <v>45931.0</v>
      </c>
    </row>
    <row r="247">
      <c r="A247" s="1" t="s">
        <v>55</v>
      </c>
      <c r="B247" s="1" t="s">
        <v>56</v>
      </c>
      <c r="C247" s="1" t="s">
        <v>36</v>
      </c>
      <c r="D247" s="1">
        <v>60.0</v>
      </c>
      <c r="E247" s="1">
        <v>100.0</v>
      </c>
      <c r="F247" s="1">
        <v>22.0</v>
      </c>
      <c r="G247" s="1">
        <v>5.0</v>
      </c>
      <c r="H247" s="1" t="s">
        <v>37</v>
      </c>
      <c r="I247" s="2">
        <v>46109.0</v>
      </c>
      <c r="J247" s="1">
        <v>85000.0</v>
      </c>
      <c r="K247" s="2">
        <v>46082.0</v>
      </c>
    </row>
    <row r="248">
      <c r="A248" s="1" t="s">
        <v>11</v>
      </c>
      <c r="B248" s="1" t="s">
        <v>12</v>
      </c>
      <c r="C248" s="1" t="s">
        <v>13</v>
      </c>
      <c r="D248" s="1">
        <v>230.0</v>
      </c>
      <c r="E248" s="1">
        <v>50.0</v>
      </c>
      <c r="F248" s="1">
        <v>1.0</v>
      </c>
      <c r="G248" s="1">
        <v>4.0</v>
      </c>
      <c r="H248" s="1" t="s">
        <v>14</v>
      </c>
      <c r="I248" s="2">
        <v>45939.0</v>
      </c>
      <c r="J248" s="1">
        <v>125000.0</v>
      </c>
      <c r="K248" s="2">
        <v>45931.0</v>
      </c>
    </row>
    <row r="249">
      <c r="A249" s="1" t="s">
        <v>34</v>
      </c>
      <c r="B249" s="1" t="s">
        <v>35</v>
      </c>
      <c r="C249" s="1" t="s">
        <v>36</v>
      </c>
      <c r="D249" s="1">
        <v>0.0</v>
      </c>
      <c r="E249" s="1">
        <v>80.0</v>
      </c>
      <c r="F249" s="1">
        <v>17.0</v>
      </c>
      <c r="G249" s="1">
        <v>5.0</v>
      </c>
      <c r="H249" s="1" t="s">
        <v>37</v>
      </c>
      <c r="I249" s="2">
        <v>46012.0</v>
      </c>
      <c r="J249" s="1">
        <v>65000.0</v>
      </c>
      <c r="K249" s="2">
        <v>45992.0</v>
      </c>
    </row>
    <row r="250">
      <c r="A250" s="1" t="s">
        <v>62</v>
      </c>
      <c r="B250" s="1" t="s">
        <v>63</v>
      </c>
      <c r="C250" s="1" t="s">
        <v>13</v>
      </c>
      <c r="D250" s="1">
        <v>302.0</v>
      </c>
      <c r="E250" s="1">
        <v>80.0</v>
      </c>
      <c r="F250" s="1">
        <v>3.0</v>
      </c>
      <c r="G250" s="1">
        <v>5.0</v>
      </c>
      <c r="H250" s="1" t="s">
        <v>33</v>
      </c>
      <c r="I250" s="2">
        <v>45797.0</v>
      </c>
      <c r="J250" s="1">
        <v>85000.0</v>
      </c>
      <c r="K250" s="2">
        <v>45778.0</v>
      </c>
    </row>
    <row r="251">
      <c r="A251" s="1" t="s">
        <v>15</v>
      </c>
      <c r="B251" s="1" t="s">
        <v>16</v>
      </c>
      <c r="C251" s="1" t="s">
        <v>17</v>
      </c>
      <c r="D251" s="1">
        <v>9.0</v>
      </c>
      <c r="E251" s="1">
        <v>15.0</v>
      </c>
      <c r="F251" s="1">
        <v>1.0</v>
      </c>
      <c r="G251" s="1">
        <v>6.0</v>
      </c>
      <c r="H251" s="1" t="s">
        <v>18</v>
      </c>
      <c r="I251" s="2">
        <v>46109.0</v>
      </c>
      <c r="J251" s="1">
        <v>8500000.0</v>
      </c>
      <c r="K251" s="2">
        <v>46082.0</v>
      </c>
    </row>
    <row r="252">
      <c r="A252" s="1" t="s">
        <v>19</v>
      </c>
      <c r="B252" s="1" t="s">
        <v>20</v>
      </c>
      <c r="C252" s="1" t="s">
        <v>17</v>
      </c>
      <c r="D252" s="1">
        <v>26.0</v>
      </c>
      <c r="E252" s="1">
        <v>30.0</v>
      </c>
      <c r="F252" s="1">
        <v>2.0</v>
      </c>
      <c r="G252" s="1">
        <v>9.0</v>
      </c>
      <c r="H252" s="1" t="s">
        <v>18</v>
      </c>
      <c r="I252" s="2">
        <v>45731.0</v>
      </c>
      <c r="J252" s="1">
        <v>1200000.0</v>
      </c>
      <c r="K252" s="2">
        <v>45717.0</v>
      </c>
    </row>
    <row r="253">
      <c r="A253" s="1" t="s">
        <v>28</v>
      </c>
      <c r="B253" s="1" t="s">
        <v>29</v>
      </c>
      <c r="C253" s="1" t="s">
        <v>23</v>
      </c>
      <c r="D253" s="1">
        <v>20.0</v>
      </c>
      <c r="E253" s="1">
        <v>35.0</v>
      </c>
      <c r="F253" s="1">
        <v>5.0</v>
      </c>
      <c r="G253" s="1">
        <v>8.0</v>
      </c>
      <c r="H253" s="1" t="s">
        <v>30</v>
      </c>
      <c r="I253" s="2">
        <v>45784.0</v>
      </c>
      <c r="J253" s="1">
        <v>1250000.0</v>
      </c>
      <c r="K253" s="2">
        <v>45778.0</v>
      </c>
    </row>
    <row r="254">
      <c r="A254" s="1" t="s">
        <v>51</v>
      </c>
      <c r="B254" s="1" t="s">
        <v>52</v>
      </c>
      <c r="C254" s="1" t="s">
        <v>36</v>
      </c>
      <c r="D254" s="1">
        <v>15.0</v>
      </c>
      <c r="E254" s="1">
        <v>60.0</v>
      </c>
      <c r="F254" s="1">
        <v>7.0</v>
      </c>
      <c r="G254" s="1">
        <v>5.0</v>
      </c>
      <c r="H254" s="1" t="s">
        <v>50</v>
      </c>
      <c r="I254" s="2">
        <v>45827.0</v>
      </c>
      <c r="J254" s="1">
        <v>175000.0</v>
      </c>
      <c r="K254" s="2">
        <v>45809.0</v>
      </c>
    </row>
    <row r="255">
      <c r="A255" s="1" t="s">
        <v>11</v>
      </c>
      <c r="B255" s="1" t="s">
        <v>12</v>
      </c>
      <c r="C255" s="1" t="s">
        <v>13</v>
      </c>
      <c r="D255" s="1">
        <v>-15.0</v>
      </c>
      <c r="E255" s="1">
        <v>50.0</v>
      </c>
      <c r="F255" s="1">
        <v>3.0</v>
      </c>
      <c r="G255" s="1">
        <v>6.0</v>
      </c>
      <c r="H255" s="1" t="s">
        <v>14</v>
      </c>
      <c r="I255" s="2">
        <v>45734.0</v>
      </c>
      <c r="J255" s="1">
        <v>125000.0</v>
      </c>
      <c r="K255" s="2">
        <v>45717.0</v>
      </c>
    </row>
    <row r="256">
      <c r="A256" s="1" t="s">
        <v>51</v>
      </c>
      <c r="B256" s="1" t="s">
        <v>52</v>
      </c>
      <c r="C256" s="1" t="s">
        <v>36</v>
      </c>
      <c r="D256" s="1">
        <v>0.0</v>
      </c>
      <c r="E256" s="1">
        <v>60.0</v>
      </c>
      <c r="F256" s="1">
        <v>11.0</v>
      </c>
      <c r="G256" s="1">
        <v>5.0</v>
      </c>
      <c r="H256" s="1" t="s">
        <v>50</v>
      </c>
      <c r="I256" s="2">
        <v>46083.0</v>
      </c>
      <c r="J256" s="1">
        <v>175000.0</v>
      </c>
      <c r="K256" s="2">
        <v>46082.0</v>
      </c>
    </row>
    <row r="257">
      <c r="A257" s="1" t="s">
        <v>62</v>
      </c>
      <c r="B257" s="1" t="s">
        <v>63</v>
      </c>
      <c r="C257" s="1" t="s">
        <v>13</v>
      </c>
      <c r="D257" s="1">
        <v>386.0</v>
      </c>
      <c r="E257" s="1">
        <v>80.0</v>
      </c>
      <c r="F257" s="1">
        <v>3.0</v>
      </c>
      <c r="G257" s="1">
        <v>6.0</v>
      </c>
      <c r="H257" s="1" t="s">
        <v>33</v>
      </c>
      <c r="I257" s="2">
        <v>45852.0</v>
      </c>
      <c r="J257" s="1">
        <v>85000.0</v>
      </c>
      <c r="K257" s="2">
        <v>45839.0</v>
      </c>
    </row>
    <row r="258">
      <c r="A258" s="1" t="s">
        <v>40</v>
      </c>
      <c r="B258" s="1" t="s">
        <v>41</v>
      </c>
      <c r="C258" s="1" t="s">
        <v>42</v>
      </c>
      <c r="D258" s="1">
        <v>9.0</v>
      </c>
      <c r="E258" s="1">
        <v>15.0</v>
      </c>
      <c r="F258" s="1">
        <v>1.0</v>
      </c>
      <c r="G258" s="1">
        <v>8.0</v>
      </c>
      <c r="H258" s="1" t="s">
        <v>43</v>
      </c>
      <c r="I258" s="2">
        <v>46014.0</v>
      </c>
      <c r="J258" s="1">
        <v>1200000.0</v>
      </c>
      <c r="K258" s="2">
        <v>45992.0</v>
      </c>
    </row>
    <row r="259">
      <c r="A259" s="1" t="s">
        <v>60</v>
      </c>
      <c r="B259" s="1" t="s">
        <v>61</v>
      </c>
      <c r="C259" s="1" t="s">
        <v>17</v>
      </c>
      <c r="D259" s="1">
        <v>27.0</v>
      </c>
      <c r="E259" s="1">
        <v>20.0</v>
      </c>
      <c r="F259" s="1">
        <v>2.0</v>
      </c>
      <c r="G259" s="1">
        <v>13.0</v>
      </c>
      <c r="H259" s="1" t="s">
        <v>27</v>
      </c>
      <c r="I259" s="2">
        <v>46057.0</v>
      </c>
      <c r="J259" s="1">
        <v>3200000.0</v>
      </c>
      <c r="K259" s="2">
        <v>46054.0</v>
      </c>
    </row>
    <row r="260">
      <c r="A260" s="1" t="s">
        <v>53</v>
      </c>
      <c r="B260" s="1" t="s">
        <v>54</v>
      </c>
      <c r="C260" s="1" t="s">
        <v>13</v>
      </c>
      <c r="D260" s="1">
        <v>292.0</v>
      </c>
      <c r="E260" s="1">
        <v>60.0</v>
      </c>
      <c r="F260" s="1">
        <v>3.0</v>
      </c>
      <c r="G260" s="1">
        <v>6.0</v>
      </c>
      <c r="H260" s="1" t="s">
        <v>14</v>
      </c>
      <c r="I260" s="2">
        <v>45888.0</v>
      </c>
      <c r="J260" s="1">
        <v>165000.0</v>
      </c>
      <c r="K260" s="2">
        <v>45870.0</v>
      </c>
    </row>
    <row r="261">
      <c r="A261" s="1" t="s">
        <v>31</v>
      </c>
      <c r="B261" s="1" t="s">
        <v>32</v>
      </c>
      <c r="C261" s="1" t="s">
        <v>13</v>
      </c>
      <c r="D261" s="1">
        <v>186.0</v>
      </c>
      <c r="E261" s="1">
        <v>40.0</v>
      </c>
      <c r="F261" s="1">
        <v>2.0</v>
      </c>
      <c r="G261" s="1">
        <v>4.0</v>
      </c>
      <c r="H261" s="1" t="s">
        <v>33</v>
      </c>
      <c r="I261" s="2">
        <v>45971.0</v>
      </c>
      <c r="J261" s="1">
        <v>550000.0</v>
      </c>
      <c r="K261" s="2">
        <v>45962.0</v>
      </c>
    </row>
    <row r="262">
      <c r="A262" s="1" t="s">
        <v>34</v>
      </c>
      <c r="B262" s="1" t="s">
        <v>35</v>
      </c>
      <c r="C262" s="1" t="s">
        <v>36</v>
      </c>
      <c r="D262" s="1">
        <v>35.0</v>
      </c>
      <c r="E262" s="1">
        <v>80.0</v>
      </c>
      <c r="F262" s="1">
        <v>13.0</v>
      </c>
      <c r="G262" s="1">
        <v>4.0</v>
      </c>
      <c r="H262" s="1" t="s">
        <v>37</v>
      </c>
      <c r="I262" s="2">
        <v>45800.0</v>
      </c>
      <c r="J262" s="1">
        <v>65000.0</v>
      </c>
      <c r="K262" s="2">
        <v>45778.0</v>
      </c>
    </row>
    <row r="263">
      <c r="A263" s="1" t="s">
        <v>46</v>
      </c>
      <c r="B263" s="1" t="s">
        <v>47</v>
      </c>
      <c r="C263" s="1" t="s">
        <v>23</v>
      </c>
      <c r="D263" s="1">
        <v>14.0</v>
      </c>
      <c r="E263" s="1">
        <v>40.0</v>
      </c>
      <c r="F263" s="1">
        <v>4.0</v>
      </c>
      <c r="G263" s="1">
        <v>8.0</v>
      </c>
      <c r="H263" s="1" t="s">
        <v>30</v>
      </c>
      <c r="I263" s="2">
        <v>45687.0</v>
      </c>
      <c r="J263" s="1">
        <v>550000.0</v>
      </c>
      <c r="K263" s="2">
        <v>45658.0</v>
      </c>
    </row>
    <row r="264">
      <c r="A264" s="1" t="s">
        <v>19</v>
      </c>
      <c r="B264" s="1" t="s">
        <v>20</v>
      </c>
      <c r="C264" s="1" t="s">
        <v>17</v>
      </c>
      <c r="D264" s="1">
        <v>31.0</v>
      </c>
      <c r="E264" s="1">
        <v>30.0</v>
      </c>
      <c r="F264" s="1">
        <v>3.0</v>
      </c>
      <c r="G264" s="1">
        <v>8.0</v>
      </c>
      <c r="H264" s="1" t="s">
        <v>18</v>
      </c>
      <c r="I264" s="2">
        <v>45929.0</v>
      </c>
      <c r="J264" s="1">
        <v>1200000.0</v>
      </c>
      <c r="K264" s="2">
        <v>45901.0</v>
      </c>
    </row>
    <row r="265">
      <c r="A265" s="1" t="s">
        <v>15</v>
      </c>
      <c r="B265" s="1" t="s">
        <v>16</v>
      </c>
      <c r="C265" s="1" t="s">
        <v>17</v>
      </c>
      <c r="D265" s="1">
        <v>13.0</v>
      </c>
      <c r="E265" s="1">
        <v>15.0</v>
      </c>
      <c r="F265" s="1">
        <v>1.0</v>
      </c>
      <c r="G265" s="1">
        <v>5.0</v>
      </c>
      <c r="H265" s="1" t="s">
        <v>18</v>
      </c>
      <c r="I265" s="2">
        <v>45710.0</v>
      </c>
      <c r="J265" s="1">
        <v>8500000.0</v>
      </c>
      <c r="K265" s="2">
        <v>45689.0</v>
      </c>
    </row>
    <row r="266">
      <c r="A266" s="1" t="s">
        <v>19</v>
      </c>
      <c r="B266" s="1" t="s">
        <v>20</v>
      </c>
      <c r="C266" s="1" t="s">
        <v>17</v>
      </c>
      <c r="D266" s="1">
        <v>26.0</v>
      </c>
      <c r="E266" s="1">
        <v>30.0</v>
      </c>
      <c r="F266" s="1">
        <v>4.0</v>
      </c>
      <c r="G266" s="1">
        <v>8.0</v>
      </c>
      <c r="H266" s="1" t="s">
        <v>18</v>
      </c>
      <c r="I266" s="2">
        <v>45803.0</v>
      </c>
      <c r="J266" s="1">
        <v>1200000.0</v>
      </c>
      <c r="K266" s="2">
        <v>45778.0</v>
      </c>
    </row>
    <row r="267">
      <c r="A267" s="1" t="s">
        <v>38</v>
      </c>
      <c r="B267" s="1" t="s">
        <v>39</v>
      </c>
      <c r="C267" s="1" t="s">
        <v>23</v>
      </c>
      <c r="D267" s="1">
        <v>36.0</v>
      </c>
      <c r="E267" s="1">
        <v>45.0</v>
      </c>
      <c r="F267" s="1">
        <v>4.0</v>
      </c>
      <c r="G267" s="1">
        <v>3.0</v>
      </c>
      <c r="H267" s="1" t="s">
        <v>24</v>
      </c>
      <c r="I267" s="2">
        <v>45812.0</v>
      </c>
      <c r="J267" s="1">
        <v>450000.0</v>
      </c>
      <c r="K267" s="2">
        <v>45809.0</v>
      </c>
    </row>
    <row r="268">
      <c r="A268" s="1" t="s">
        <v>62</v>
      </c>
      <c r="B268" s="1" t="s">
        <v>63</v>
      </c>
      <c r="C268" s="1" t="s">
        <v>13</v>
      </c>
      <c r="D268" s="1">
        <v>264.0</v>
      </c>
      <c r="E268" s="1">
        <v>80.0</v>
      </c>
      <c r="F268" s="1">
        <v>3.0</v>
      </c>
      <c r="G268" s="1">
        <v>5.0</v>
      </c>
      <c r="H268" s="1" t="s">
        <v>33</v>
      </c>
      <c r="I268" s="2">
        <v>45984.0</v>
      </c>
      <c r="J268" s="1">
        <v>85000.0</v>
      </c>
      <c r="K268" s="2">
        <v>45962.0</v>
      </c>
    </row>
    <row r="269">
      <c r="A269" s="1" t="s">
        <v>60</v>
      </c>
      <c r="B269" s="1" t="s">
        <v>61</v>
      </c>
      <c r="C269" s="1" t="s">
        <v>17</v>
      </c>
      <c r="D269" s="1">
        <v>38.0</v>
      </c>
      <c r="E269" s="1">
        <v>20.0</v>
      </c>
      <c r="F269" s="1">
        <v>2.0</v>
      </c>
      <c r="G269" s="1">
        <v>11.0</v>
      </c>
      <c r="H269" s="1" t="s">
        <v>27</v>
      </c>
      <c r="I269" s="2">
        <v>45782.0</v>
      </c>
      <c r="J269" s="1">
        <v>3200000.0</v>
      </c>
      <c r="K269" s="2">
        <v>45778.0</v>
      </c>
    </row>
    <row r="270">
      <c r="A270" s="1" t="s">
        <v>34</v>
      </c>
      <c r="B270" s="1" t="s">
        <v>35</v>
      </c>
      <c r="C270" s="1" t="s">
        <v>36</v>
      </c>
      <c r="D270" s="1">
        <v>46.0</v>
      </c>
      <c r="E270" s="1">
        <v>80.0</v>
      </c>
      <c r="F270" s="1">
        <v>13.0</v>
      </c>
      <c r="G270" s="1">
        <v>5.0</v>
      </c>
      <c r="H270" s="1" t="s">
        <v>37</v>
      </c>
      <c r="I270" s="2">
        <v>45924.0</v>
      </c>
      <c r="J270" s="1">
        <v>65000.0</v>
      </c>
      <c r="K270" s="2">
        <v>45901.0</v>
      </c>
    </row>
    <row r="271">
      <c r="A271" s="1" t="s">
        <v>28</v>
      </c>
      <c r="B271" s="1" t="s">
        <v>29</v>
      </c>
      <c r="C271" s="1" t="s">
        <v>23</v>
      </c>
      <c r="D271" s="1">
        <v>27.0</v>
      </c>
      <c r="E271" s="1">
        <v>35.0</v>
      </c>
      <c r="F271" s="1">
        <v>5.0</v>
      </c>
      <c r="G271" s="1">
        <v>3.0</v>
      </c>
      <c r="H271" s="1" t="s">
        <v>30</v>
      </c>
      <c r="I271" s="2">
        <v>45701.0</v>
      </c>
      <c r="J271" s="1">
        <v>1250000.0</v>
      </c>
      <c r="K271" s="2">
        <v>45689.0</v>
      </c>
    </row>
    <row r="272">
      <c r="A272" s="1" t="s">
        <v>19</v>
      </c>
      <c r="B272" s="1" t="s">
        <v>20</v>
      </c>
      <c r="C272" s="1" t="s">
        <v>17</v>
      </c>
      <c r="D272" s="1">
        <v>44.0</v>
      </c>
      <c r="E272" s="1">
        <v>30.0</v>
      </c>
      <c r="F272" s="1">
        <v>4.0</v>
      </c>
      <c r="G272" s="1">
        <v>8.0</v>
      </c>
      <c r="H272" s="1" t="s">
        <v>18</v>
      </c>
      <c r="I272" s="2">
        <v>45885.0</v>
      </c>
      <c r="J272" s="1">
        <v>1200000.0</v>
      </c>
      <c r="K272" s="2">
        <v>45870.0</v>
      </c>
    </row>
    <row r="273">
      <c r="A273" s="1" t="s">
        <v>34</v>
      </c>
      <c r="B273" s="1" t="s">
        <v>35</v>
      </c>
      <c r="C273" s="1" t="s">
        <v>36</v>
      </c>
      <c r="D273" s="1">
        <v>34.0</v>
      </c>
      <c r="E273" s="1">
        <v>80.0</v>
      </c>
      <c r="F273" s="1">
        <v>9.0</v>
      </c>
      <c r="G273" s="1">
        <v>3.0</v>
      </c>
      <c r="H273" s="1" t="s">
        <v>37</v>
      </c>
      <c r="I273" s="2">
        <v>45950.0</v>
      </c>
      <c r="J273" s="1">
        <v>65000.0</v>
      </c>
      <c r="K273" s="2">
        <v>45931.0</v>
      </c>
    </row>
    <row r="274">
      <c r="A274" s="1" t="s">
        <v>55</v>
      </c>
      <c r="B274" s="1" t="s">
        <v>56</v>
      </c>
      <c r="C274" s="1" t="s">
        <v>36</v>
      </c>
      <c r="D274" s="1">
        <v>145.0</v>
      </c>
      <c r="E274" s="1">
        <v>100.0</v>
      </c>
      <c r="F274" s="1">
        <v>17.0</v>
      </c>
      <c r="G274" s="1">
        <v>4.0</v>
      </c>
      <c r="H274" s="1" t="s">
        <v>37</v>
      </c>
      <c r="I274" s="2">
        <v>45711.0</v>
      </c>
      <c r="J274" s="1">
        <v>85000.0</v>
      </c>
      <c r="K274" s="2">
        <v>45689.0</v>
      </c>
    </row>
    <row r="275">
      <c r="A275" s="1" t="s">
        <v>15</v>
      </c>
      <c r="B275" s="1" t="s">
        <v>16</v>
      </c>
      <c r="C275" s="1" t="s">
        <v>17</v>
      </c>
      <c r="D275" s="1">
        <v>15.0</v>
      </c>
      <c r="E275" s="1">
        <v>15.0</v>
      </c>
      <c r="F275" s="1">
        <v>1.0</v>
      </c>
      <c r="G275" s="1">
        <v>5.0</v>
      </c>
      <c r="H275" s="1" t="s">
        <v>18</v>
      </c>
      <c r="I275" s="2">
        <v>46055.0</v>
      </c>
      <c r="J275" s="1">
        <v>8500000.0</v>
      </c>
      <c r="K275" s="2">
        <v>46054.0</v>
      </c>
    </row>
    <row r="276">
      <c r="A276" s="1" t="s">
        <v>38</v>
      </c>
      <c r="B276" s="1" t="s">
        <v>39</v>
      </c>
      <c r="C276" s="1" t="s">
        <v>23</v>
      </c>
      <c r="D276" s="1">
        <v>12.0</v>
      </c>
      <c r="E276" s="1">
        <v>45.0</v>
      </c>
      <c r="F276" s="1">
        <v>8.0</v>
      </c>
      <c r="G276" s="1">
        <v>6.0</v>
      </c>
      <c r="H276" s="1" t="s">
        <v>24</v>
      </c>
      <c r="I276" s="2">
        <v>46054.0</v>
      </c>
      <c r="J276" s="1">
        <v>450000.0</v>
      </c>
      <c r="K276" s="2">
        <v>46054.0</v>
      </c>
    </row>
    <row r="277">
      <c r="A277" s="1" t="s">
        <v>51</v>
      </c>
      <c r="B277" s="1" t="s">
        <v>52</v>
      </c>
      <c r="C277" s="1" t="s">
        <v>36</v>
      </c>
      <c r="D277" s="1">
        <v>19.0</v>
      </c>
      <c r="E277" s="1">
        <v>60.0</v>
      </c>
      <c r="F277" s="1">
        <v>6.0</v>
      </c>
      <c r="G277" s="1">
        <v>6.0</v>
      </c>
      <c r="H277" s="1" t="s">
        <v>50</v>
      </c>
      <c r="I277" s="2">
        <v>45775.0</v>
      </c>
      <c r="J277" s="1">
        <v>175000.0</v>
      </c>
      <c r="K277" s="2">
        <v>45748.0</v>
      </c>
    </row>
    <row r="278">
      <c r="A278" s="1" t="s">
        <v>44</v>
      </c>
      <c r="B278" s="1" t="s">
        <v>45</v>
      </c>
      <c r="C278" s="1" t="s">
        <v>42</v>
      </c>
      <c r="D278" s="1">
        <v>22.0</v>
      </c>
      <c r="E278" s="1">
        <v>30.0</v>
      </c>
      <c r="F278" s="1">
        <v>6.0</v>
      </c>
      <c r="H278" s="1" t="s">
        <v>43</v>
      </c>
      <c r="I278" s="2">
        <v>45702.0</v>
      </c>
      <c r="J278" s="1">
        <v>350000.0</v>
      </c>
      <c r="K278" s="2">
        <v>45689.0</v>
      </c>
    </row>
    <row r="279">
      <c r="A279" s="1" t="s">
        <v>44</v>
      </c>
      <c r="B279" s="1" t="s">
        <v>45</v>
      </c>
      <c r="C279" s="1" t="s">
        <v>42</v>
      </c>
      <c r="D279" s="1">
        <v>59.0</v>
      </c>
      <c r="E279" s="1">
        <v>30.0</v>
      </c>
      <c r="F279" s="1">
        <v>3.0</v>
      </c>
      <c r="G279" s="1">
        <v>6.0</v>
      </c>
      <c r="H279" s="1" t="s">
        <v>43</v>
      </c>
      <c r="I279" s="2">
        <v>45880.0</v>
      </c>
      <c r="J279" s="1">
        <v>350000.0</v>
      </c>
      <c r="K279" s="2">
        <v>45870.0</v>
      </c>
    </row>
    <row r="280">
      <c r="A280" s="1" t="s">
        <v>64</v>
      </c>
      <c r="B280" s="1" t="s">
        <v>65</v>
      </c>
      <c r="C280" s="1" t="s">
        <v>42</v>
      </c>
      <c r="D280" s="1">
        <v>41.0</v>
      </c>
      <c r="E280" s="1">
        <v>20.0</v>
      </c>
      <c r="F280" s="1">
        <v>3.0</v>
      </c>
      <c r="G280" s="1">
        <v>9.0</v>
      </c>
      <c r="H280" s="1" t="s">
        <v>59</v>
      </c>
      <c r="I280" s="2">
        <v>46092.0</v>
      </c>
      <c r="J280" s="1">
        <v>750000.0</v>
      </c>
      <c r="K280" s="2">
        <v>46082.0</v>
      </c>
    </row>
    <row r="281">
      <c r="A281" s="1" t="s">
        <v>48</v>
      </c>
      <c r="B281" s="1" t="s">
        <v>49</v>
      </c>
      <c r="C281" s="1" t="s">
        <v>36</v>
      </c>
      <c r="D281" s="1">
        <v>121.0</v>
      </c>
      <c r="E281" s="1">
        <v>120.0</v>
      </c>
      <c r="F281" s="1">
        <v>27.0</v>
      </c>
      <c r="H281" s="1" t="s">
        <v>50</v>
      </c>
      <c r="I281" s="2">
        <v>46095.0</v>
      </c>
      <c r="J281" s="1">
        <v>55000.0</v>
      </c>
      <c r="K281" s="2">
        <v>46082.0</v>
      </c>
    </row>
    <row r="282">
      <c r="A282" s="1" t="s">
        <v>55</v>
      </c>
      <c r="B282" s="1" t="s">
        <v>56</v>
      </c>
      <c r="C282" s="1" t="s">
        <v>36</v>
      </c>
      <c r="D282" s="1">
        <v>125.0</v>
      </c>
      <c r="E282" s="1">
        <v>100.0</v>
      </c>
      <c r="F282" s="1">
        <v>14.0</v>
      </c>
      <c r="G282" s="1">
        <v>4.0</v>
      </c>
      <c r="H282" s="1" t="s">
        <v>37</v>
      </c>
      <c r="I282" s="2">
        <v>45775.0</v>
      </c>
      <c r="J282" s="1">
        <v>85000.0</v>
      </c>
      <c r="K282" s="2">
        <v>45748.0</v>
      </c>
    </row>
    <row r="283">
      <c r="A283" s="1" t="s">
        <v>19</v>
      </c>
      <c r="B283" s="1" t="s">
        <v>20</v>
      </c>
      <c r="C283" s="1" t="s">
        <v>17</v>
      </c>
      <c r="D283" s="1">
        <v>42.0</v>
      </c>
      <c r="E283" s="1">
        <v>30.0</v>
      </c>
      <c r="F283" s="1">
        <v>4.0</v>
      </c>
      <c r="G283" s="1">
        <v>7.0</v>
      </c>
      <c r="H283" s="1" t="s">
        <v>18</v>
      </c>
      <c r="I283" s="2">
        <v>45960.0</v>
      </c>
      <c r="J283" s="1">
        <v>1200000.0</v>
      </c>
      <c r="K283" s="2">
        <v>45931.0</v>
      </c>
    </row>
    <row r="284">
      <c r="A284" s="1" t="s">
        <v>19</v>
      </c>
      <c r="B284" s="1" t="s">
        <v>20</v>
      </c>
      <c r="C284" s="1" t="s">
        <v>17</v>
      </c>
      <c r="D284" s="1">
        <v>21.0</v>
      </c>
      <c r="E284" s="1">
        <v>30.0</v>
      </c>
      <c r="F284" s="1">
        <v>4.0</v>
      </c>
      <c r="G284" s="1">
        <v>9.0</v>
      </c>
      <c r="H284" s="1" t="s">
        <v>18</v>
      </c>
      <c r="I284" s="2">
        <v>46197.0</v>
      </c>
      <c r="J284" s="1">
        <v>1200000.0</v>
      </c>
      <c r="K284" s="2">
        <v>45809.0</v>
      </c>
    </row>
    <row r="285">
      <c r="A285" s="1" t="s">
        <v>44</v>
      </c>
      <c r="B285" s="1" t="s">
        <v>45</v>
      </c>
      <c r="C285" s="1" t="s">
        <v>42</v>
      </c>
      <c r="D285" s="1">
        <v>41.0</v>
      </c>
      <c r="E285" s="1">
        <v>30.0</v>
      </c>
      <c r="F285" s="1">
        <v>6.0</v>
      </c>
      <c r="G285" s="1">
        <v>10.0</v>
      </c>
      <c r="H285" s="1" t="s">
        <v>43</v>
      </c>
      <c r="I285" s="2">
        <v>45945.0</v>
      </c>
      <c r="J285" s="1">
        <v>350000.0</v>
      </c>
      <c r="K285" s="2">
        <v>45931.0</v>
      </c>
    </row>
    <row r="286">
      <c r="A286" s="1" t="s">
        <v>31</v>
      </c>
      <c r="B286" s="1" t="s">
        <v>32</v>
      </c>
      <c r="C286" s="1" t="s">
        <v>13</v>
      </c>
      <c r="D286" s="1">
        <v>172.0</v>
      </c>
      <c r="E286" s="1">
        <v>40.0</v>
      </c>
      <c r="F286" s="1">
        <v>2.0</v>
      </c>
      <c r="G286" s="1">
        <v>6.0</v>
      </c>
      <c r="H286" s="1" t="s">
        <v>33</v>
      </c>
      <c r="I286" s="2">
        <v>45955.0</v>
      </c>
      <c r="J286" s="1">
        <v>550000.0</v>
      </c>
      <c r="K286" s="2">
        <v>45931.0</v>
      </c>
    </row>
    <row r="287">
      <c r="A287" s="1" t="s">
        <v>46</v>
      </c>
      <c r="B287" s="1" t="s">
        <v>47</v>
      </c>
      <c r="C287" s="1" t="s">
        <v>23</v>
      </c>
      <c r="D287" s="1">
        <v>36.0</v>
      </c>
      <c r="E287" s="1">
        <v>40.0</v>
      </c>
      <c r="F287" s="1">
        <v>6.0</v>
      </c>
      <c r="G287" s="1">
        <v>4.0</v>
      </c>
      <c r="H287" s="1" t="s">
        <v>30</v>
      </c>
      <c r="I287" s="2">
        <v>46044.0</v>
      </c>
      <c r="J287" s="1">
        <v>550000.0</v>
      </c>
      <c r="K287" s="2">
        <v>46023.0</v>
      </c>
    </row>
    <row r="288">
      <c r="A288" s="1" t="s">
        <v>31</v>
      </c>
      <c r="B288" s="1" t="s">
        <v>32</v>
      </c>
      <c r="C288" s="1" t="s">
        <v>13</v>
      </c>
      <c r="D288" s="1">
        <v>160.0</v>
      </c>
      <c r="E288" s="1">
        <v>40.0</v>
      </c>
      <c r="F288" s="1">
        <v>3.0</v>
      </c>
      <c r="G288" s="1">
        <v>6.0</v>
      </c>
      <c r="H288" s="1" t="s">
        <v>33</v>
      </c>
      <c r="I288" s="2">
        <v>45887.0</v>
      </c>
      <c r="J288" s="1">
        <v>550000.0</v>
      </c>
      <c r="K288" s="2">
        <v>45870.0</v>
      </c>
    </row>
    <row r="289">
      <c r="A289" s="1" t="s">
        <v>44</v>
      </c>
      <c r="B289" s="1" t="s">
        <v>45</v>
      </c>
      <c r="C289" s="1" t="s">
        <v>42</v>
      </c>
      <c r="D289" s="1">
        <v>45.0</v>
      </c>
      <c r="E289" s="1">
        <v>30.0</v>
      </c>
      <c r="F289" s="1">
        <v>5.0</v>
      </c>
      <c r="G289" s="1">
        <v>5.0</v>
      </c>
      <c r="H289" s="1" t="s">
        <v>43</v>
      </c>
      <c r="I289" s="2">
        <v>45801.0</v>
      </c>
      <c r="J289" s="1">
        <v>350000.0</v>
      </c>
      <c r="K289" s="2">
        <v>45778.0</v>
      </c>
    </row>
    <row r="290">
      <c r="A290" s="1" t="s">
        <v>19</v>
      </c>
      <c r="B290" s="1" t="s">
        <v>20</v>
      </c>
      <c r="C290" s="1" t="s">
        <v>17</v>
      </c>
      <c r="D290" s="1">
        <v>52.0</v>
      </c>
      <c r="E290" s="1">
        <v>30.0</v>
      </c>
      <c r="F290" s="1">
        <v>5.0</v>
      </c>
      <c r="G290" s="1">
        <v>5.0</v>
      </c>
      <c r="H290" s="1" t="s">
        <v>18</v>
      </c>
      <c r="I290" s="2">
        <v>46321.0</v>
      </c>
      <c r="J290" s="1">
        <v>1200000.0</v>
      </c>
      <c r="K290" s="2">
        <v>46054.0</v>
      </c>
    </row>
    <row r="291">
      <c r="A291" s="1" t="s">
        <v>19</v>
      </c>
      <c r="B291" s="1" t="s">
        <v>20</v>
      </c>
      <c r="C291" s="1" t="s">
        <v>17</v>
      </c>
      <c r="D291" s="1">
        <v>51.0</v>
      </c>
      <c r="E291" s="1">
        <v>30.0</v>
      </c>
      <c r="F291" s="1">
        <v>4.0</v>
      </c>
      <c r="G291" s="1">
        <v>6.0</v>
      </c>
      <c r="H291" s="1" t="s">
        <v>18</v>
      </c>
      <c r="I291" s="2">
        <v>45775.0</v>
      </c>
      <c r="J291" s="1">
        <v>1200000.0</v>
      </c>
      <c r="K291" s="2">
        <v>45748.0</v>
      </c>
    </row>
    <row r="292">
      <c r="A292" s="1" t="s">
        <v>11</v>
      </c>
      <c r="B292" s="1" t="s">
        <v>12</v>
      </c>
      <c r="C292" s="1" t="s">
        <v>13</v>
      </c>
      <c r="D292" s="1">
        <v>290.0</v>
      </c>
      <c r="E292" s="1">
        <v>50.0</v>
      </c>
      <c r="F292" s="1">
        <v>3.0</v>
      </c>
      <c r="G292" s="1">
        <v>6.0</v>
      </c>
      <c r="H292" s="1" t="s">
        <v>14</v>
      </c>
      <c r="I292" s="2">
        <v>45991.0</v>
      </c>
      <c r="J292" s="1">
        <v>125000.0</v>
      </c>
      <c r="K292" s="2">
        <v>45962.0</v>
      </c>
    </row>
    <row r="293">
      <c r="A293" s="1" t="s">
        <v>55</v>
      </c>
      <c r="B293" s="1" t="s">
        <v>56</v>
      </c>
      <c r="C293" s="1" t="s">
        <v>36</v>
      </c>
      <c r="D293" s="1">
        <v>57.0</v>
      </c>
      <c r="E293" s="1">
        <v>100.0</v>
      </c>
      <c r="F293" s="1">
        <v>15.0</v>
      </c>
      <c r="G293" s="1">
        <v>4.0</v>
      </c>
      <c r="H293" s="1" t="s">
        <v>37</v>
      </c>
      <c r="I293" s="2">
        <v>46034.0</v>
      </c>
      <c r="J293" s="1">
        <v>85000.0</v>
      </c>
      <c r="K293" s="2">
        <v>46023.0</v>
      </c>
    </row>
    <row r="294">
      <c r="A294" s="1" t="s">
        <v>25</v>
      </c>
      <c r="B294" s="1" t="s">
        <v>26</v>
      </c>
      <c r="C294" s="1" t="s">
        <v>17</v>
      </c>
      <c r="D294" s="1">
        <v>11.0</v>
      </c>
      <c r="E294" s="1">
        <v>25.0</v>
      </c>
      <c r="F294" s="1">
        <v>7.0</v>
      </c>
      <c r="G294" s="1">
        <v>14.0</v>
      </c>
      <c r="H294" s="1" t="s">
        <v>27</v>
      </c>
      <c r="I294" s="2">
        <v>45862.0</v>
      </c>
      <c r="J294" s="1">
        <v>4500000.0</v>
      </c>
      <c r="K294" s="2">
        <v>45839.0</v>
      </c>
    </row>
    <row r="295">
      <c r="A295" s="1" t="s">
        <v>40</v>
      </c>
      <c r="B295" s="1" t="s">
        <v>41</v>
      </c>
      <c r="C295" s="1" t="s">
        <v>42</v>
      </c>
      <c r="D295" s="1">
        <v>21.0</v>
      </c>
      <c r="E295" s="1">
        <v>15.0</v>
      </c>
      <c r="F295" s="1">
        <v>1.0</v>
      </c>
      <c r="G295" s="1">
        <v>9.0</v>
      </c>
      <c r="H295" s="1" t="s">
        <v>43</v>
      </c>
      <c r="I295" s="2">
        <v>45968.0</v>
      </c>
      <c r="J295" s="1">
        <v>1200000.0</v>
      </c>
      <c r="K295" s="2">
        <v>45962.0</v>
      </c>
    </row>
    <row r="296">
      <c r="A296" s="1" t="s">
        <v>51</v>
      </c>
      <c r="B296" s="1" t="s">
        <v>52</v>
      </c>
      <c r="C296" s="1" t="s">
        <v>36</v>
      </c>
      <c r="D296" s="1">
        <v>44.0</v>
      </c>
      <c r="E296" s="1">
        <v>60.0</v>
      </c>
      <c r="F296" s="1">
        <v>6.0</v>
      </c>
      <c r="G296" s="1">
        <v>6.0</v>
      </c>
      <c r="H296" s="1" t="s">
        <v>50</v>
      </c>
      <c r="I296" s="2">
        <v>45839.0</v>
      </c>
      <c r="J296" s="1">
        <v>175000.0</v>
      </c>
      <c r="K296" s="2">
        <v>45839.0</v>
      </c>
    </row>
    <row r="297">
      <c r="A297" s="1" t="s">
        <v>31</v>
      </c>
      <c r="B297" s="1" t="s">
        <v>32</v>
      </c>
      <c r="C297" s="1" t="s">
        <v>13</v>
      </c>
      <c r="D297" s="1">
        <v>127.0</v>
      </c>
      <c r="E297" s="1">
        <v>40.0</v>
      </c>
      <c r="F297" s="1">
        <v>3.0</v>
      </c>
      <c r="G297" s="1">
        <v>4.0</v>
      </c>
      <c r="H297" s="1" t="s">
        <v>33</v>
      </c>
      <c r="I297" s="2">
        <v>46001.0</v>
      </c>
      <c r="J297" s="1">
        <v>550000.0</v>
      </c>
      <c r="K297" s="2">
        <v>45992.0</v>
      </c>
    </row>
    <row r="298">
      <c r="A298" s="1" t="s">
        <v>48</v>
      </c>
      <c r="B298" s="1" t="s">
        <v>49</v>
      </c>
      <c r="C298" s="1" t="s">
        <v>36</v>
      </c>
      <c r="D298" s="1">
        <v>170.0</v>
      </c>
      <c r="E298" s="1">
        <v>120.0</v>
      </c>
      <c r="F298" s="1">
        <v>17.0</v>
      </c>
      <c r="G298" s="1">
        <v>3.0</v>
      </c>
      <c r="H298" s="1" t="s">
        <v>50</v>
      </c>
      <c r="I298" s="2">
        <v>45905.0</v>
      </c>
      <c r="J298" s="1">
        <v>55000.0</v>
      </c>
      <c r="K298" s="2">
        <v>45901.0</v>
      </c>
    </row>
    <row r="299">
      <c r="A299" s="1" t="s">
        <v>34</v>
      </c>
      <c r="B299" s="1" t="s">
        <v>35</v>
      </c>
      <c r="C299" s="1" t="s">
        <v>36</v>
      </c>
      <c r="D299" s="1">
        <v>0.0</v>
      </c>
      <c r="E299" s="1">
        <v>80.0</v>
      </c>
      <c r="F299" s="1">
        <v>18.0</v>
      </c>
      <c r="G299" s="1">
        <v>4.0</v>
      </c>
      <c r="H299" s="1" t="s">
        <v>37</v>
      </c>
      <c r="I299" s="2">
        <v>45745.0</v>
      </c>
      <c r="J299" s="1">
        <v>65000.0</v>
      </c>
      <c r="K299" s="2">
        <v>45717.0</v>
      </c>
    </row>
    <row r="300">
      <c r="A300" s="1" t="s">
        <v>57</v>
      </c>
      <c r="B300" s="1" t="s">
        <v>58</v>
      </c>
      <c r="C300" s="1" t="s">
        <v>42</v>
      </c>
      <c r="D300" s="1">
        <v>44.0</v>
      </c>
      <c r="E300" s="1">
        <v>25.0</v>
      </c>
      <c r="F300" s="1">
        <v>4.0</v>
      </c>
      <c r="G300" s="1">
        <v>8.0</v>
      </c>
      <c r="H300" s="1" t="s">
        <v>59</v>
      </c>
      <c r="I300" s="2">
        <v>46108.0</v>
      </c>
      <c r="J300" s="1">
        <v>450000.0</v>
      </c>
      <c r="K300" s="2">
        <v>46082.0</v>
      </c>
    </row>
    <row r="301">
      <c r="A301" s="1" t="s">
        <v>64</v>
      </c>
      <c r="B301" s="1" t="s">
        <v>65</v>
      </c>
      <c r="C301" s="1" t="s">
        <v>42</v>
      </c>
      <c r="D301" s="1">
        <v>27.0</v>
      </c>
      <c r="E301" s="1">
        <v>20.0</v>
      </c>
      <c r="F301" s="1">
        <v>3.0</v>
      </c>
      <c r="G301" s="1">
        <v>8.0</v>
      </c>
      <c r="H301" s="1" t="s">
        <v>59</v>
      </c>
      <c r="I301" s="2">
        <v>45976.0</v>
      </c>
      <c r="J301" s="1">
        <v>750000.0</v>
      </c>
      <c r="K301" s="2">
        <v>45962.0</v>
      </c>
    </row>
    <row r="302">
      <c r="A302" s="1" t="s">
        <v>40</v>
      </c>
      <c r="B302" s="1" t="s">
        <v>41</v>
      </c>
      <c r="C302" s="1" t="s">
        <v>42</v>
      </c>
      <c r="D302" s="1">
        <v>22.0</v>
      </c>
      <c r="E302" s="1">
        <v>15.0</v>
      </c>
      <c r="F302" s="1">
        <v>2.0</v>
      </c>
      <c r="G302" s="1">
        <v>5.0</v>
      </c>
      <c r="H302" s="1" t="s">
        <v>43</v>
      </c>
      <c r="I302" s="2">
        <v>45709.0</v>
      </c>
      <c r="J302" s="1">
        <v>1200000.0</v>
      </c>
      <c r="K302" s="2">
        <v>45689.0</v>
      </c>
    </row>
    <row r="303">
      <c r="A303" s="1" t="s">
        <v>28</v>
      </c>
      <c r="B303" s="1" t="s">
        <v>29</v>
      </c>
      <c r="C303" s="1" t="s">
        <v>23</v>
      </c>
      <c r="D303" s="1">
        <v>18.0</v>
      </c>
      <c r="E303" s="1">
        <v>35.0</v>
      </c>
      <c r="F303" s="1">
        <v>5.0</v>
      </c>
      <c r="G303" s="1">
        <v>4.0</v>
      </c>
      <c r="H303" s="1" t="s">
        <v>30</v>
      </c>
      <c r="I303" s="2">
        <v>45949.0</v>
      </c>
      <c r="J303" s="1">
        <v>1250000.0</v>
      </c>
      <c r="K303" s="2">
        <v>45931.0</v>
      </c>
    </row>
    <row r="304">
      <c r="A304" s="1" t="s">
        <v>38</v>
      </c>
      <c r="B304" s="1" t="s">
        <v>39</v>
      </c>
      <c r="C304" s="1" t="s">
        <v>23</v>
      </c>
      <c r="D304" s="1">
        <v>17.0</v>
      </c>
      <c r="E304" s="1">
        <v>45.0</v>
      </c>
      <c r="F304" s="1">
        <v>8.0</v>
      </c>
      <c r="G304" s="1">
        <v>4.0</v>
      </c>
      <c r="H304" s="1" t="s">
        <v>24</v>
      </c>
      <c r="I304" s="2">
        <v>46050.0</v>
      </c>
      <c r="J304" s="1">
        <v>450000.0</v>
      </c>
      <c r="K304" s="2">
        <v>46023.0</v>
      </c>
    </row>
    <row r="305">
      <c r="A305" s="1" t="s">
        <v>53</v>
      </c>
      <c r="B305" s="1" t="s">
        <v>54</v>
      </c>
      <c r="C305" s="1" t="s">
        <v>13</v>
      </c>
      <c r="D305" s="1">
        <v>273.0</v>
      </c>
      <c r="E305" s="1">
        <v>60.0</v>
      </c>
      <c r="F305" s="1">
        <v>1.0</v>
      </c>
      <c r="G305" s="1">
        <v>4.0</v>
      </c>
      <c r="H305" s="1" t="s">
        <v>14</v>
      </c>
      <c r="I305" s="2">
        <v>45806.0</v>
      </c>
      <c r="J305" s="1">
        <v>165000.0</v>
      </c>
      <c r="K305" s="2">
        <v>45778.0</v>
      </c>
    </row>
    <row r="306">
      <c r="A306" s="1" t="s">
        <v>64</v>
      </c>
      <c r="B306" s="1" t="s">
        <v>65</v>
      </c>
      <c r="C306" s="1" t="s">
        <v>42</v>
      </c>
      <c r="D306" s="1">
        <v>40.0</v>
      </c>
      <c r="E306" s="1">
        <v>20.0</v>
      </c>
      <c r="F306" s="1">
        <v>1.0</v>
      </c>
      <c r="G306" s="1">
        <v>7.0</v>
      </c>
      <c r="H306" s="1" t="s">
        <v>59</v>
      </c>
      <c r="I306" s="2">
        <v>45693.0</v>
      </c>
      <c r="J306" s="1">
        <v>750000.0</v>
      </c>
      <c r="K306" s="2">
        <v>45689.0</v>
      </c>
    </row>
    <row r="307">
      <c r="A307" s="1" t="s">
        <v>38</v>
      </c>
      <c r="B307" s="1" t="s">
        <v>39</v>
      </c>
      <c r="C307" s="1" t="s">
        <v>23</v>
      </c>
      <c r="D307" s="1">
        <v>17.0</v>
      </c>
      <c r="E307" s="1">
        <v>45.0</v>
      </c>
      <c r="F307" s="1">
        <v>8.0</v>
      </c>
      <c r="G307" s="1">
        <v>4.0</v>
      </c>
      <c r="H307" s="1" t="s">
        <v>24</v>
      </c>
      <c r="I307" s="2">
        <v>46050.0</v>
      </c>
      <c r="J307" s="1">
        <v>450000.0</v>
      </c>
      <c r="K307" s="2">
        <v>46023.0</v>
      </c>
    </row>
    <row r="308">
      <c r="A308" s="1" t="s">
        <v>25</v>
      </c>
      <c r="B308" s="1" t="s">
        <v>26</v>
      </c>
      <c r="C308" s="1" t="s">
        <v>17</v>
      </c>
      <c r="D308" s="1">
        <v>5.0</v>
      </c>
      <c r="E308" s="1">
        <v>25.0</v>
      </c>
      <c r="F308" s="1">
        <v>7.0</v>
      </c>
      <c r="G308" s="1">
        <v>19.0</v>
      </c>
      <c r="H308" s="1" t="s">
        <v>27</v>
      </c>
      <c r="I308" s="2">
        <v>45837.0</v>
      </c>
      <c r="J308" s="1">
        <v>4500000.0</v>
      </c>
      <c r="K308" s="2">
        <v>45809.0</v>
      </c>
    </row>
    <row r="309">
      <c r="A309" s="1" t="s">
        <v>31</v>
      </c>
      <c r="B309" s="1" t="s">
        <v>32</v>
      </c>
      <c r="C309" s="1" t="s">
        <v>13</v>
      </c>
      <c r="D309" s="1">
        <v>129.0</v>
      </c>
      <c r="E309" s="1">
        <v>40.0</v>
      </c>
      <c r="F309" s="1">
        <v>4.0</v>
      </c>
      <c r="G309" s="1">
        <v>6.0</v>
      </c>
      <c r="H309" s="1" t="s">
        <v>33</v>
      </c>
      <c r="I309" s="2">
        <v>45916.0</v>
      </c>
      <c r="J309" s="1">
        <v>550000.0</v>
      </c>
      <c r="K309" s="2">
        <v>45901.0</v>
      </c>
    </row>
    <row r="310">
      <c r="A310" s="1" t="s">
        <v>21</v>
      </c>
      <c r="B310" s="1" t="s">
        <v>22</v>
      </c>
      <c r="C310" s="1" t="s">
        <v>23</v>
      </c>
      <c r="D310" s="1">
        <v>0.0</v>
      </c>
      <c r="E310" s="1">
        <v>50.0</v>
      </c>
      <c r="F310" s="1">
        <v>14.0</v>
      </c>
      <c r="G310" s="1">
        <v>7.0</v>
      </c>
      <c r="H310" s="1" t="s">
        <v>24</v>
      </c>
      <c r="I310" s="2">
        <v>46014.0</v>
      </c>
      <c r="J310" s="1">
        <v>350000.0</v>
      </c>
      <c r="K310" s="2">
        <v>45992.0</v>
      </c>
    </row>
    <row r="311">
      <c r="A311" s="1" t="s">
        <v>46</v>
      </c>
      <c r="B311" s="1" t="s">
        <v>47</v>
      </c>
      <c r="C311" s="1" t="s">
        <v>23</v>
      </c>
      <c r="D311" s="1">
        <v>9.0</v>
      </c>
      <c r="E311" s="1">
        <v>40.0</v>
      </c>
      <c r="F311" s="1">
        <v>5.0</v>
      </c>
      <c r="G311" s="1">
        <v>8.0</v>
      </c>
      <c r="H311" s="1" t="s">
        <v>30</v>
      </c>
      <c r="I311" s="2">
        <v>45698.0</v>
      </c>
      <c r="J311" s="1">
        <v>550000.0</v>
      </c>
      <c r="K311" s="2">
        <v>45689.0</v>
      </c>
    </row>
    <row r="312">
      <c r="A312" s="1" t="s">
        <v>51</v>
      </c>
      <c r="B312" s="1" t="s">
        <v>52</v>
      </c>
      <c r="C312" s="1" t="s">
        <v>36</v>
      </c>
      <c r="D312" s="1">
        <v>20.0</v>
      </c>
      <c r="E312" s="1">
        <v>60.0</v>
      </c>
      <c r="F312" s="1">
        <v>9.0</v>
      </c>
      <c r="G312" s="1">
        <v>5.0</v>
      </c>
      <c r="H312" s="1" t="s">
        <v>50</v>
      </c>
      <c r="I312" s="2">
        <v>45687.0</v>
      </c>
      <c r="J312" s="1">
        <v>175000.0</v>
      </c>
      <c r="K312" s="2">
        <v>45658.0</v>
      </c>
    </row>
    <row r="313">
      <c r="A313" s="1" t="s">
        <v>28</v>
      </c>
      <c r="B313" s="1" t="s">
        <v>29</v>
      </c>
      <c r="C313" s="1" t="s">
        <v>23</v>
      </c>
      <c r="D313" s="1">
        <v>16.0</v>
      </c>
      <c r="E313" s="1">
        <v>35.0</v>
      </c>
      <c r="F313" s="1">
        <v>7.0</v>
      </c>
      <c r="G313" s="1">
        <v>5.0</v>
      </c>
      <c r="H313" s="1" t="s">
        <v>30</v>
      </c>
      <c r="I313" s="2">
        <v>46024.0</v>
      </c>
      <c r="J313" s="1">
        <v>1250000.0</v>
      </c>
      <c r="K313" s="2">
        <v>46023.0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</row>
    <row r="3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</row>
    <row r="4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</row>
    <row r="5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</row>
    <row r="6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</row>
    <row r="7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</row>
    <row r="8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</row>
    <row r="9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</row>
    <row r="10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</row>
    <row r="1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</row>
    <row r="12" hidden="1">
      <c r="A12" s="1" t="s">
        <v>38</v>
      </c>
      <c r="B12" s="1" t="s">
        <v>39</v>
      </c>
      <c r="C12" s="1" t="s">
        <v>23</v>
      </c>
      <c r="D12" s="1">
        <v>-28.0</v>
      </c>
      <c r="E12" s="1">
        <v>45.0</v>
      </c>
      <c r="F12" s="1">
        <v>7.0</v>
      </c>
      <c r="G12" s="1">
        <v>5.0</v>
      </c>
      <c r="H12" s="1" t="s">
        <v>24</v>
      </c>
      <c r="I12" s="2">
        <v>45664.0</v>
      </c>
      <c r="J12" s="1">
        <v>450000.0</v>
      </c>
      <c r="K12" s="2">
        <v>45658.0</v>
      </c>
    </row>
    <row r="13" hidden="1">
      <c r="A13" s="1" t="s">
        <v>40</v>
      </c>
      <c r="B13" s="1" t="s">
        <v>41</v>
      </c>
      <c r="C13" s="1" t="s">
        <v>42</v>
      </c>
      <c r="D13" s="1">
        <v>-18.0</v>
      </c>
      <c r="E13" s="1">
        <v>15.0</v>
      </c>
      <c r="F13" s="1">
        <v>4.0</v>
      </c>
      <c r="G13" s="1">
        <v>6.0</v>
      </c>
      <c r="H13" s="1" t="s">
        <v>43</v>
      </c>
      <c r="I13" s="2">
        <v>46099.0</v>
      </c>
      <c r="J13" s="1">
        <v>1200000.0</v>
      </c>
      <c r="K13" s="2">
        <v>46082.0</v>
      </c>
    </row>
    <row r="14">
      <c r="A14" s="1" t="s">
        <v>44</v>
      </c>
      <c r="B14" s="1" t="s">
        <v>45</v>
      </c>
      <c r="C14" s="1" t="s">
        <v>42</v>
      </c>
      <c r="D14" s="1">
        <v>54.0</v>
      </c>
      <c r="E14" s="1">
        <v>30.0</v>
      </c>
      <c r="F14" s="1">
        <v>6.0</v>
      </c>
      <c r="G14" s="1">
        <v>8.0</v>
      </c>
      <c r="H14" s="1" t="s">
        <v>43</v>
      </c>
      <c r="I14" s="2">
        <v>45983.0</v>
      </c>
      <c r="J14" s="1">
        <v>350000.0</v>
      </c>
      <c r="K14" s="2">
        <v>45962.0</v>
      </c>
    </row>
    <row r="15">
      <c r="A15" s="1" t="s">
        <v>46</v>
      </c>
      <c r="B15" s="1" t="s">
        <v>47</v>
      </c>
      <c r="C15" s="1" t="s">
        <v>23</v>
      </c>
      <c r="D15" s="1">
        <v>0.0</v>
      </c>
      <c r="E15" s="1">
        <v>40.0</v>
      </c>
      <c r="F15" s="1">
        <v>7.0</v>
      </c>
      <c r="G15" s="1">
        <v>4.0</v>
      </c>
      <c r="H15" s="1" t="s">
        <v>30</v>
      </c>
      <c r="I15" s="2">
        <v>45761.0</v>
      </c>
      <c r="J15" s="1">
        <v>550000.0</v>
      </c>
      <c r="K15" s="2">
        <v>45748.0</v>
      </c>
    </row>
    <row r="16">
      <c r="A16" s="1" t="s">
        <v>44</v>
      </c>
      <c r="B16" s="1" t="s">
        <v>45</v>
      </c>
      <c r="C16" s="1" t="s">
        <v>42</v>
      </c>
      <c r="D16" s="1">
        <v>41.0</v>
      </c>
      <c r="E16" s="1">
        <v>30.0</v>
      </c>
      <c r="F16" s="1">
        <v>4.0</v>
      </c>
      <c r="G16" s="1">
        <v>10.0</v>
      </c>
      <c r="H16" s="1" t="s">
        <v>43</v>
      </c>
      <c r="I16" s="2">
        <v>45930.0</v>
      </c>
      <c r="J16" s="1">
        <v>350000.0</v>
      </c>
      <c r="K16" s="2">
        <v>45901.0</v>
      </c>
    </row>
    <row r="17">
      <c r="A17" s="1" t="s">
        <v>48</v>
      </c>
      <c r="B17" s="1" t="s">
        <v>49</v>
      </c>
      <c r="C17" s="1" t="s">
        <v>36</v>
      </c>
      <c r="D17" s="1">
        <v>33.0</v>
      </c>
      <c r="E17" s="1">
        <v>120.0</v>
      </c>
      <c r="F17" s="1">
        <v>18.0</v>
      </c>
      <c r="G17" s="1">
        <v>7.0</v>
      </c>
      <c r="H17" s="1" t="s">
        <v>50</v>
      </c>
      <c r="I17" s="2">
        <v>45878.0</v>
      </c>
      <c r="J17" s="1">
        <v>55000.0</v>
      </c>
      <c r="K17" s="2">
        <v>45870.0</v>
      </c>
    </row>
    <row r="18">
      <c r="A18" s="1" t="s">
        <v>15</v>
      </c>
      <c r="B18" s="1" t="s">
        <v>16</v>
      </c>
      <c r="C18" s="1" t="s">
        <v>17</v>
      </c>
      <c r="D18" s="1">
        <v>26.0</v>
      </c>
      <c r="E18" s="1">
        <v>15.0</v>
      </c>
      <c r="F18" s="1">
        <v>3.0</v>
      </c>
      <c r="G18" s="1">
        <v>8.0</v>
      </c>
      <c r="H18" s="1" t="s">
        <v>18</v>
      </c>
      <c r="I18" s="2">
        <v>45816.0</v>
      </c>
      <c r="J18" s="1">
        <v>8500000.0</v>
      </c>
      <c r="K18" s="2">
        <v>45809.0</v>
      </c>
    </row>
    <row r="19">
      <c r="A19" s="1" t="s">
        <v>11</v>
      </c>
      <c r="B19" s="1" t="s">
        <v>12</v>
      </c>
      <c r="C19" s="1" t="s">
        <v>13</v>
      </c>
      <c r="D19" s="1">
        <v>139.0</v>
      </c>
      <c r="E19" s="1">
        <v>50.0</v>
      </c>
      <c r="F19" s="1">
        <v>1.0</v>
      </c>
      <c r="G19" s="1">
        <v>7.0</v>
      </c>
      <c r="H19" s="1" t="s">
        <v>14</v>
      </c>
      <c r="I19" s="2">
        <v>46317.0</v>
      </c>
      <c r="J19" s="1">
        <v>125000.0</v>
      </c>
      <c r="K19" s="2">
        <v>45839.0</v>
      </c>
    </row>
    <row r="20">
      <c r="A20" s="1" t="s">
        <v>44</v>
      </c>
      <c r="B20" s="1" t="s">
        <v>45</v>
      </c>
      <c r="C20" s="1" t="s">
        <v>42</v>
      </c>
      <c r="D20" s="1">
        <v>49.0</v>
      </c>
      <c r="E20" s="1">
        <v>30.0</v>
      </c>
      <c r="F20" s="1">
        <v>6.0</v>
      </c>
      <c r="G20" s="1">
        <v>9.0</v>
      </c>
      <c r="H20" s="1" t="s">
        <v>43</v>
      </c>
      <c r="I20" s="2">
        <v>45669.0</v>
      </c>
      <c r="J20" s="1">
        <v>350000.0</v>
      </c>
      <c r="K20" s="2">
        <v>45658.0</v>
      </c>
    </row>
    <row r="21">
      <c r="A21" s="1" t="s">
        <v>48</v>
      </c>
      <c r="B21" s="1" t="s">
        <v>49</v>
      </c>
      <c r="C21" s="1" t="s">
        <v>36</v>
      </c>
      <c r="D21" s="1">
        <v>0.0</v>
      </c>
      <c r="E21" s="1">
        <v>120.0</v>
      </c>
      <c r="F21" s="1">
        <v>27.0</v>
      </c>
      <c r="G21" s="1">
        <v>7.0</v>
      </c>
      <c r="H21" s="1" t="s">
        <v>50</v>
      </c>
      <c r="I21" s="2">
        <v>46010.0</v>
      </c>
      <c r="J21" s="1">
        <v>55000.0</v>
      </c>
      <c r="K21" s="2">
        <v>45992.0</v>
      </c>
    </row>
    <row r="22">
      <c r="A22" s="1" t="s">
        <v>21</v>
      </c>
      <c r="B22" s="1" t="s">
        <v>22</v>
      </c>
      <c r="C22" s="1" t="s">
        <v>23</v>
      </c>
      <c r="D22" s="1">
        <v>14.0</v>
      </c>
      <c r="E22" s="1">
        <v>50.0</v>
      </c>
      <c r="F22" s="1">
        <v>11.0</v>
      </c>
      <c r="G22" s="1">
        <v>4.0</v>
      </c>
      <c r="H22" s="1" t="s">
        <v>24</v>
      </c>
      <c r="I22" s="2">
        <v>46062.0</v>
      </c>
      <c r="J22" s="1">
        <v>350000.0</v>
      </c>
      <c r="K22" s="2">
        <v>46054.0</v>
      </c>
    </row>
    <row r="23">
      <c r="A23" s="1" t="s">
        <v>51</v>
      </c>
      <c r="B23" s="1" t="s">
        <v>52</v>
      </c>
      <c r="C23" s="1" t="s">
        <v>36</v>
      </c>
      <c r="D23" s="1">
        <v>0.0</v>
      </c>
      <c r="E23" s="1">
        <v>60.0</v>
      </c>
      <c r="F23" s="1">
        <v>13.0</v>
      </c>
      <c r="G23" s="1">
        <v>4.0</v>
      </c>
      <c r="H23" s="1" t="s">
        <v>50</v>
      </c>
      <c r="I23" s="2">
        <v>46004.0</v>
      </c>
      <c r="J23" s="1">
        <v>175000.0</v>
      </c>
      <c r="K23" s="2">
        <v>45992.0</v>
      </c>
    </row>
    <row r="24">
      <c r="A24" s="1" t="s">
        <v>53</v>
      </c>
      <c r="B24" s="1" t="s">
        <v>54</v>
      </c>
      <c r="C24" s="1" t="s">
        <v>13</v>
      </c>
      <c r="D24" s="1">
        <v>191.0</v>
      </c>
      <c r="E24" s="1">
        <v>60.0</v>
      </c>
      <c r="F24" s="1">
        <v>3.0</v>
      </c>
      <c r="G24" s="1">
        <v>8.0</v>
      </c>
      <c r="H24" s="1" t="s">
        <v>14</v>
      </c>
      <c r="I24" s="2">
        <v>45944.0</v>
      </c>
      <c r="J24" s="1">
        <v>165000.0</v>
      </c>
      <c r="K24" s="2">
        <v>45931.0</v>
      </c>
    </row>
    <row r="25">
      <c r="A25" s="1" t="s">
        <v>55</v>
      </c>
      <c r="B25" s="1" t="s">
        <v>56</v>
      </c>
      <c r="C25" s="1" t="s">
        <v>36</v>
      </c>
      <c r="D25" s="1">
        <v>0.0</v>
      </c>
      <c r="E25" s="1">
        <v>100.0</v>
      </c>
      <c r="F25" s="1">
        <v>24.0</v>
      </c>
      <c r="G25" s="1">
        <v>4.0</v>
      </c>
      <c r="H25" s="1" t="s">
        <v>37</v>
      </c>
      <c r="I25" s="2">
        <v>45747.0</v>
      </c>
      <c r="J25" s="1">
        <v>85000.0</v>
      </c>
      <c r="K25" s="2">
        <v>45717.0</v>
      </c>
    </row>
    <row r="26">
      <c r="A26" s="1" t="s">
        <v>38</v>
      </c>
      <c r="B26" s="1" t="s">
        <v>39</v>
      </c>
      <c r="C26" s="1" t="s">
        <v>23</v>
      </c>
      <c r="D26" s="1">
        <v>23.0</v>
      </c>
      <c r="E26" s="1">
        <v>45.0</v>
      </c>
      <c r="F26" s="1">
        <v>6.0</v>
      </c>
      <c r="G26" s="1">
        <v>6.0</v>
      </c>
      <c r="H26" s="1" t="s">
        <v>24</v>
      </c>
      <c r="I26" s="2">
        <v>45697.0</v>
      </c>
      <c r="J26" s="1">
        <v>450000.0</v>
      </c>
      <c r="K26" s="2">
        <v>45689.0</v>
      </c>
    </row>
    <row r="27">
      <c r="A27" s="1" t="s">
        <v>57</v>
      </c>
      <c r="B27" s="1" t="s">
        <v>58</v>
      </c>
      <c r="C27" s="1" t="s">
        <v>42</v>
      </c>
      <c r="D27" s="1">
        <v>50.0</v>
      </c>
      <c r="E27" s="1">
        <v>25.0</v>
      </c>
      <c r="F27" s="1">
        <v>3.0</v>
      </c>
      <c r="G27" s="1">
        <v>7.0</v>
      </c>
      <c r="H27" s="1" t="s">
        <v>59</v>
      </c>
      <c r="I27" s="2">
        <v>45920.0</v>
      </c>
      <c r="J27" s="1">
        <v>450000.0</v>
      </c>
      <c r="K27" s="2">
        <v>45901.0</v>
      </c>
    </row>
    <row r="28">
      <c r="A28" s="1" t="s">
        <v>57</v>
      </c>
      <c r="B28" s="1" t="s">
        <v>58</v>
      </c>
      <c r="C28" s="1" t="s">
        <v>42</v>
      </c>
      <c r="D28" s="1">
        <v>42.0</v>
      </c>
      <c r="E28" s="1">
        <v>25.0</v>
      </c>
      <c r="F28" s="1">
        <v>3.0</v>
      </c>
      <c r="G28" s="1">
        <v>8.0</v>
      </c>
      <c r="H28" s="1" t="s">
        <v>59</v>
      </c>
      <c r="I28" s="2">
        <v>46078.0</v>
      </c>
      <c r="J28" s="1">
        <v>450000.0</v>
      </c>
      <c r="K28" s="2">
        <v>46054.0</v>
      </c>
    </row>
    <row r="29" hidden="1">
      <c r="A29" s="1" t="s">
        <v>60</v>
      </c>
      <c r="B29" s="1" t="s">
        <v>61</v>
      </c>
      <c r="C29" s="1" t="s">
        <v>17</v>
      </c>
      <c r="D29" s="1">
        <v>-8.0</v>
      </c>
      <c r="E29" s="1">
        <v>20.0</v>
      </c>
      <c r="F29" s="1">
        <v>2.0</v>
      </c>
      <c r="G29" s="1">
        <v>9.0</v>
      </c>
      <c r="H29" s="1" t="s">
        <v>27</v>
      </c>
      <c r="I29" s="2">
        <v>45750.0</v>
      </c>
      <c r="J29" s="1">
        <v>3200000.0</v>
      </c>
      <c r="K29" s="2">
        <v>45748.0</v>
      </c>
    </row>
    <row r="30">
      <c r="A30" s="1" t="s">
        <v>51</v>
      </c>
      <c r="B30" s="1" t="s">
        <v>52</v>
      </c>
      <c r="C30" s="1" t="s">
        <v>36</v>
      </c>
      <c r="D30" s="1">
        <v>31.0</v>
      </c>
      <c r="E30" s="1">
        <v>60.0</v>
      </c>
      <c r="F30" s="1">
        <v>8.0</v>
      </c>
      <c r="G30" s="1">
        <v>7.0</v>
      </c>
      <c r="H30" s="1" t="s">
        <v>50</v>
      </c>
      <c r="I30" s="2">
        <v>45880.0</v>
      </c>
      <c r="J30" s="1">
        <v>175000.0</v>
      </c>
      <c r="K30" s="2">
        <v>45870.0</v>
      </c>
    </row>
    <row r="31">
      <c r="A31" s="1" t="s">
        <v>48</v>
      </c>
      <c r="B31" s="1" t="s">
        <v>49</v>
      </c>
      <c r="C31" s="1" t="s">
        <v>36</v>
      </c>
      <c r="D31" s="1">
        <v>38.0</v>
      </c>
      <c r="E31" s="1">
        <v>120.0</v>
      </c>
      <c r="F31" s="1">
        <v>17.0</v>
      </c>
      <c r="G31" s="1">
        <v>4.0</v>
      </c>
      <c r="H31" s="1" t="s">
        <v>50</v>
      </c>
      <c r="I31" s="2">
        <v>45864.0</v>
      </c>
      <c r="J31" s="1">
        <v>55000.0</v>
      </c>
      <c r="K31" s="2">
        <v>45839.0</v>
      </c>
    </row>
    <row r="32">
      <c r="A32" s="1" t="s">
        <v>11</v>
      </c>
      <c r="B32" s="1" t="s">
        <v>12</v>
      </c>
      <c r="C32" s="1" t="s">
        <v>13</v>
      </c>
      <c r="D32" s="1">
        <v>217.0</v>
      </c>
      <c r="E32" s="1">
        <v>50.0</v>
      </c>
      <c r="F32" s="1">
        <v>3.0</v>
      </c>
      <c r="G32" s="1">
        <v>7.0</v>
      </c>
      <c r="H32" s="1" t="s">
        <v>14</v>
      </c>
      <c r="I32" s="2">
        <v>46111.0</v>
      </c>
      <c r="J32" s="1">
        <v>125000.0</v>
      </c>
      <c r="K32" s="2">
        <v>46082.0</v>
      </c>
    </row>
    <row r="33">
      <c r="A33" s="1" t="s">
        <v>15</v>
      </c>
      <c r="B33" s="1" t="s">
        <v>16</v>
      </c>
      <c r="C33" s="1" t="s">
        <v>17</v>
      </c>
      <c r="D33" s="1">
        <v>11.0</v>
      </c>
      <c r="E33" s="1">
        <v>15.0</v>
      </c>
      <c r="F33" s="1">
        <v>1.0</v>
      </c>
      <c r="G33" s="1">
        <v>5.0</v>
      </c>
      <c r="H33" s="1" t="s">
        <v>18</v>
      </c>
      <c r="I33" s="2">
        <v>45754.0</v>
      </c>
      <c r="J33" s="1">
        <v>8500000.0</v>
      </c>
      <c r="K33" s="2">
        <v>45748.0</v>
      </c>
    </row>
    <row r="34">
      <c r="A34" s="1" t="s">
        <v>38</v>
      </c>
      <c r="B34" s="1" t="s">
        <v>39</v>
      </c>
      <c r="C34" s="1" t="s">
        <v>23</v>
      </c>
      <c r="D34" s="1">
        <v>36.0</v>
      </c>
      <c r="E34" s="1">
        <v>45.0</v>
      </c>
      <c r="F34" s="1">
        <v>7.0</v>
      </c>
      <c r="G34" s="1">
        <v>4.0</v>
      </c>
      <c r="H34" s="1" t="s">
        <v>24</v>
      </c>
      <c r="I34" s="2">
        <v>45883.0</v>
      </c>
      <c r="J34" s="1">
        <v>450000.0</v>
      </c>
      <c r="K34" s="2">
        <v>45870.0</v>
      </c>
    </row>
    <row r="35">
      <c r="A35" s="1" t="s">
        <v>48</v>
      </c>
      <c r="B35" s="1" t="s">
        <v>49</v>
      </c>
      <c r="C35" s="1" t="s">
        <v>36</v>
      </c>
      <c r="D35" s="1">
        <v>0.0</v>
      </c>
      <c r="E35" s="1">
        <v>120.0</v>
      </c>
      <c r="F35" s="1">
        <v>28.0</v>
      </c>
      <c r="G35" s="1">
        <v>6.0</v>
      </c>
      <c r="H35" s="1" t="s">
        <v>50</v>
      </c>
      <c r="I35" s="2">
        <v>45725.0</v>
      </c>
      <c r="J35" s="1">
        <v>55000.0</v>
      </c>
      <c r="K35" s="2">
        <v>45717.0</v>
      </c>
    </row>
    <row r="36" hidden="1">
      <c r="A36" s="1" t="s">
        <v>55</v>
      </c>
      <c r="B36" s="1" t="s">
        <v>56</v>
      </c>
      <c r="C36" s="1" t="s">
        <v>36</v>
      </c>
      <c r="D36" s="1">
        <v>-18.0</v>
      </c>
      <c r="E36" s="1">
        <v>100.0</v>
      </c>
      <c r="F36" s="1">
        <v>21.0</v>
      </c>
      <c r="G36" s="1">
        <v>3.0</v>
      </c>
      <c r="H36" s="1" t="s">
        <v>37</v>
      </c>
      <c r="I36" s="2">
        <v>46006.0</v>
      </c>
      <c r="J36" s="1">
        <v>85000.0</v>
      </c>
      <c r="K36" s="2">
        <v>45992.0</v>
      </c>
    </row>
    <row r="37">
      <c r="A37" s="1" t="s">
        <v>62</v>
      </c>
      <c r="B37" s="1" t="s">
        <v>63</v>
      </c>
      <c r="C37" s="1" t="s">
        <v>13</v>
      </c>
      <c r="D37" s="1">
        <v>375.0</v>
      </c>
      <c r="E37" s="1">
        <v>80.0</v>
      </c>
      <c r="F37" s="1">
        <v>5.0</v>
      </c>
      <c r="G37" s="1">
        <v>6.0</v>
      </c>
      <c r="H37" s="1" t="s">
        <v>33</v>
      </c>
      <c r="I37" s="2">
        <v>45737.0</v>
      </c>
      <c r="J37" s="1">
        <v>85000.0</v>
      </c>
      <c r="K37" s="2">
        <v>45717.0</v>
      </c>
    </row>
    <row r="38">
      <c r="A38" s="1" t="s">
        <v>19</v>
      </c>
      <c r="B38" s="1" t="s">
        <v>20</v>
      </c>
      <c r="C38" s="1" t="s">
        <v>17</v>
      </c>
      <c r="D38" s="1">
        <v>24.0</v>
      </c>
      <c r="E38" s="1">
        <v>30.0</v>
      </c>
      <c r="F38" s="1">
        <v>4.0</v>
      </c>
      <c r="G38" s="1">
        <v>5.0</v>
      </c>
      <c r="H38" s="1" t="s">
        <v>18</v>
      </c>
      <c r="I38" s="2">
        <v>45670.0</v>
      </c>
      <c r="J38" s="1">
        <v>1200000.0</v>
      </c>
      <c r="K38" s="2">
        <v>45658.0</v>
      </c>
    </row>
    <row r="39">
      <c r="A39" s="1" t="s">
        <v>25</v>
      </c>
      <c r="B39" s="1" t="s">
        <v>26</v>
      </c>
      <c r="C39" s="1" t="s">
        <v>17</v>
      </c>
      <c r="D39" s="1">
        <v>22.0</v>
      </c>
      <c r="E39" s="1">
        <v>25.0</v>
      </c>
      <c r="F39" s="1">
        <v>5.0</v>
      </c>
      <c r="G39" s="1">
        <v>14.0</v>
      </c>
      <c r="H39" s="1" t="s">
        <v>27</v>
      </c>
      <c r="I39" s="2">
        <v>45722.0</v>
      </c>
      <c r="J39" s="1">
        <v>4500000.0</v>
      </c>
      <c r="K39" s="2">
        <v>45717.0</v>
      </c>
    </row>
    <row r="40">
      <c r="A40" s="1" t="s">
        <v>44</v>
      </c>
      <c r="B40" s="1" t="s">
        <v>45</v>
      </c>
      <c r="C40" s="1" t="s">
        <v>42</v>
      </c>
      <c r="D40" s="1">
        <v>59.0</v>
      </c>
      <c r="E40" s="1">
        <v>30.0</v>
      </c>
      <c r="F40" s="1">
        <v>3.0</v>
      </c>
      <c r="G40" s="1">
        <v>6.0</v>
      </c>
      <c r="H40" s="1" t="s">
        <v>43</v>
      </c>
      <c r="I40" s="2">
        <v>45880.0</v>
      </c>
      <c r="J40" s="1">
        <v>350000.0</v>
      </c>
      <c r="K40" s="2">
        <v>45870.0</v>
      </c>
    </row>
    <row r="41">
      <c r="A41" s="1" t="s">
        <v>57</v>
      </c>
      <c r="B41" s="1" t="s">
        <v>58</v>
      </c>
      <c r="C41" s="1" t="s">
        <v>42</v>
      </c>
      <c r="D41" s="1">
        <v>22.0</v>
      </c>
      <c r="E41" s="1">
        <v>25.0</v>
      </c>
      <c r="F41" s="1">
        <v>2.0</v>
      </c>
      <c r="G41" s="1">
        <v>6.0</v>
      </c>
      <c r="H41" s="1" t="s">
        <v>59</v>
      </c>
      <c r="I41" s="2">
        <v>46000.0</v>
      </c>
      <c r="J41" s="1">
        <v>450000.0</v>
      </c>
      <c r="K41" s="2">
        <v>45992.0</v>
      </c>
    </row>
    <row r="42">
      <c r="A42" s="1" t="s">
        <v>60</v>
      </c>
      <c r="B42" s="1" t="s">
        <v>61</v>
      </c>
      <c r="C42" s="1" t="s">
        <v>17</v>
      </c>
      <c r="D42" s="1">
        <v>30.0</v>
      </c>
      <c r="E42" s="1">
        <v>20.0</v>
      </c>
      <c r="F42" s="1">
        <v>1.0</v>
      </c>
      <c r="G42" s="1">
        <v>14.0</v>
      </c>
      <c r="H42" s="1" t="s">
        <v>27</v>
      </c>
      <c r="I42" s="2">
        <v>46048.0</v>
      </c>
      <c r="J42" s="1">
        <v>3200000.0</v>
      </c>
      <c r="K42" s="2">
        <v>46023.0</v>
      </c>
    </row>
    <row r="43">
      <c r="A43" s="1" t="s">
        <v>25</v>
      </c>
      <c r="B43" s="1" t="s">
        <v>26</v>
      </c>
      <c r="C43" s="1" t="s">
        <v>17</v>
      </c>
      <c r="D43" s="1">
        <v>2.0</v>
      </c>
      <c r="E43" s="1">
        <v>25.0</v>
      </c>
      <c r="F43" s="1">
        <v>3.0</v>
      </c>
      <c r="G43" s="1">
        <v>20.0</v>
      </c>
      <c r="H43" s="1" t="s">
        <v>27</v>
      </c>
      <c r="I43" s="2">
        <v>45950.0</v>
      </c>
      <c r="J43" s="1">
        <v>4500000.0</v>
      </c>
      <c r="K43" s="2">
        <v>45931.0</v>
      </c>
    </row>
    <row r="44">
      <c r="A44" s="1" t="s">
        <v>31</v>
      </c>
      <c r="B44" s="1" t="s">
        <v>32</v>
      </c>
      <c r="C44" s="1" t="s">
        <v>13</v>
      </c>
      <c r="D44" s="1">
        <v>184.0</v>
      </c>
      <c r="E44" s="1">
        <v>40.0</v>
      </c>
      <c r="F44" s="1">
        <v>3.0</v>
      </c>
      <c r="G44" s="1">
        <v>6.0</v>
      </c>
      <c r="H44" s="1" t="s">
        <v>33</v>
      </c>
      <c r="I44" s="2">
        <v>45682.0</v>
      </c>
      <c r="J44" s="1">
        <v>550000.0</v>
      </c>
      <c r="K44" s="2">
        <v>45658.0</v>
      </c>
    </row>
    <row r="45">
      <c r="A45" s="1" t="s">
        <v>64</v>
      </c>
      <c r="B45" s="1" t="s">
        <v>65</v>
      </c>
      <c r="C45" s="1" t="s">
        <v>42</v>
      </c>
      <c r="D45" s="1">
        <v>19.0</v>
      </c>
      <c r="E45" s="1">
        <v>20.0</v>
      </c>
      <c r="F45" s="1">
        <v>4.0</v>
      </c>
      <c r="G45" s="1">
        <v>9.0</v>
      </c>
      <c r="H45" s="1" t="s">
        <v>59</v>
      </c>
      <c r="I45" s="2">
        <v>45782.0</v>
      </c>
      <c r="J45" s="1">
        <v>750000.0</v>
      </c>
      <c r="K45" s="2">
        <v>45778.0</v>
      </c>
    </row>
    <row r="46">
      <c r="A46" s="1" t="s">
        <v>62</v>
      </c>
      <c r="B46" s="1" t="s">
        <v>63</v>
      </c>
      <c r="C46" s="1" t="s">
        <v>13</v>
      </c>
      <c r="D46" s="1">
        <v>268.0</v>
      </c>
      <c r="E46" s="1">
        <v>80.0</v>
      </c>
      <c r="F46" s="1">
        <v>4.0</v>
      </c>
      <c r="G46" s="1">
        <v>4.0</v>
      </c>
      <c r="H46" s="1" t="s">
        <v>33</v>
      </c>
      <c r="I46" s="2">
        <v>46099.0</v>
      </c>
      <c r="J46" s="1">
        <v>85000.0</v>
      </c>
      <c r="K46" s="2">
        <v>46082.0</v>
      </c>
    </row>
    <row r="47">
      <c r="A47" s="1" t="s">
        <v>34</v>
      </c>
      <c r="B47" s="1" t="s">
        <v>35</v>
      </c>
      <c r="C47" s="1" t="s">
        <v>36</v>
      </c>
      <c r="D47" s="1">
        <v>31.0</v>
      </c>
      <c r="E47" s="1">
        <v>80.0</v>
      </c>
      <c r="F47" s="1">
        <v>13.0</v>
      </c>
      <c r="G47" s="1">
        <v>4.0</v>
      </c>
      <c r="H47" s="1" t="s">
        <v>37</v>
      </c>
      <c r="I47" s="2">
        <v>45857.0</v>
      </c>
      <c r="J47" s="1">
        <v>65000.0</v>
      </c>
      <c r="K47" s="2">
        <v>45839.0</v>
      </c>
    </row>
    <row r="48">
      <c r="A48" s="1" t="s">
        <v>55</v>
      </c>
      <c r="B48" s="1" t="s">
        <v>56</v>
      </c>
      <c r="C48" s="1" t="s">
        <v>36</v>
      </c>
      <c r="D48" s="1">
        <v>28.0</v>
      </c>
      <c r="E48" s="1">
        <v>100.0</v>
      </c>
      <c r="F48" s="1">
        <v>17.0</v>
      </c>
      <c r="G48" s="1">
        <v>3.0</v>
      </c>
      <c r="H48" s="1" t="s">
        <v>37</v>
      </c>
      <c r="I48" s="2">
        <v>46070.0</v>
      </c>
      <c r="J48" s="1">
        <v>85000.0</v>
      </c>
      <c r="K48" s="2">
        <v>46054.0</v>
      </c>
    </row>
    <row r="49">
      <c r="A49" s="1" t="s">
        <v>15</v>
      </c>
      <c r="B49" s="1" t="s">
        <v>16</v>
      </c>
      <c r="C49" s="1" t="s">
        <v>17</v>
      </c>
      <c r="D49" s="1">
        <v>22.0</v>
      </c>
      <c r="E49" s="1">
        <v>15.0</v>
      </c>
      <c r="F49" s="1">
        <v>2.0</v>
      </c>
      <c r="G49" s="1">
        <v>7.0</v>
      </c>
      <c r="H49" s="1" t="s">
        <v>18</v>
      </c>
      <c r="I49" s="2">
        <v>45878.0</v>
      </c>
      <c r="J49" s="1">
        <v>8500000.0</v>
      </c>
      <c r="K49" s="2">
        <v>45870.0</v>
      </c>
    </row>
    <row r="50">
      <c r="A50" s="1" t="s">
        <v>48</v>
      </c>
      <c r="B50" s="1" t="s">
        <v>49</v>
      </c>
      <c r="C50" s="1" t="s">
        <v>36</v>
      </c>
      <c r="D50" s="1">
        <v>27.0</v>
      </c>
      <c r="E50" s="1">
        <v>120.0</v>
      </c>
      <c r="F50" s="1">
        <v>18.0</v>
      </c>
      <c r="G50" s="1">
        <v>4.0</v>
      </c>
      <c r="H50" s="1" t="s">
        <v>50</v>
      </c>
      <c r="I50" s="2">
        <v>45782.0</v>
      </c>
      <c r="J50" s="1">
        <v>55000.0</v>
      </c>
      <c r="K50" s="2">
        <v>45778.0</v>
      </c>
    </row>
    <row r="51">
      <c r="A51" s="1" t="s">
        <v>38</v>
      </c>
      <c r="B51" s="1" t="s">
        <v>39</v>
      </c>
      <c r="C51" s="1" t="s">
        <v>23</v>
      </c>
      <c r="D51" s="1">
        <v>0.0</v>
      </c>
      <c r="E51" s="1">
        <v>45.0</v>
      </c>
      <c r="F51" s="1">
        <v>10.0</v>
      </c>
      <c r="G51" s="1">
        <v>3.0</v>
      </c>
      <c r="H51" s="1" t="s">
        <v>24</v>
      </c>
      <c r="I51" s="2">
        <v>45737.0</v>
      </c>
      <c r="J51" s="1">
        <v>450000.0</v>
      </c>
      <c r="K51" s="2">
        <v>45717.0</v>
      </c>
    </row>
    <row r="52">
      <c r="A52" s="1" t="s">
        <v>46</v>
      </c>
      <c r="B52" s="1" t="s">
        <v>47</v>
      </c>
      <c r="C52" s="1" t="s">
        <v>23</v>
      </c>
      <c r="D52" s="1">
        <v>0.0</v>
      </c>
      <c r="E52" s="1">
        <v>40.0</v>
      </c>
      <c r="F52" s="1">
        <v>8.0</v>
      </c>
      <c r="G52" s="1">
        <v>3.0</v>
      </c>
      <c r="H52" s="1" t="s">
        <v>30</v>
      </c>
      <c r="I52" s="2">
        <v>46018.0</v>
      </c>
      <c r="J52" s="1">
        <v>550000.0</v>
      </c>
      <c r="K52" s="2">
        <v>45992.0</v>
      </c>
    </row>
    <row r="53">
      <c r="A53" s="1" t="s">
        <v>55</v>
      </c>
      <c r="B53" s="1" t="s">
        <v>56</v>
      </c>
      <c r="C53" s="1" t="s">
        <v>36</v>
      </c>
      <c r="D53" s="1">
        <v>35.0</v>
      </c>
      <c r="E53" s="1">
        <v>100.0</v>
      </c>
      <c r="F53" s="1">
        <v>14.0</v>
      </c>
      <c r="G53" s="1">
        <v>3.0</v>
      </c>
      <c r="H53" s="1" t="s">
        <v>37</v>
      </c>
      <c r="I53" s="2">
        <v>45685.0</v>
      </c>
      <c r="J53" s="1">
        <v>85000.0</v>
      </c>
      <c r="K53" s="2">
        <v>45658.0</v>
      </c>
    </row>
    <row r="54">
      <c r="A54" s="1" t="s">
        <v>28</v>
      </c>
      <c r="B54" s="1" t="s">
        <v>29</v>
      </c>
      <c r="C54" s="1" t="s">
        <v>23</v>
      </c>
      <c r="D54" s="1">
        <v>0.0</v>
      </c>
      <c r="E54" s="1">
        <v>35.0</v>
      </c>
      <c r="F54" s="1">
        <v>9.0</v>
      </c>
      <c r="G54" s="1">
        <v>5.0</v>
      </c>
      <c r="H54" s="1" t="s">
        <v>30</v>
      </c>
      <c r="I54" s="2">
        <v>46095.0</v>
      </c>
      <c r="J54" s="1">
        <v>1250000.0</v>
      </c>
      <c r="K54" s="2">
        <v>46082.0</v>
      </c>
    </row>
    <row r="55">
      <c r="A55" s="1" t="s">
        <v>38</v>
      </c>
      <c r="B55" s="1" t="s">
        <v>39</v>
      </c>
      <c r="C55" s="1" t="s">
        <v>23</v>
      </c>
      <c r="D55" s="1">
        <v>40.0</v>
      </c>
      <c r="E55" s="1">
        <v>45.0</v>
      </c>
      <c r="F55" s="1">
        <v>5.0</v>
      </c>
      <c r="G55" s="1">
        <v>3.0</v>
      </c>
      <c r="H55" s="1" t="s">
        <v>24</v>
      </c>
      <c r="I55" s="2">
        <v>45959.0</v>
      </c>
      <c r="J55" s="1">
        <v>450000.0</v>
      </c>
      <c r="K55" s="2">
        <v>45931.0</v>
      </c>
    </row>
    <row r="56">
      <c r="A56" s="1" t="s">
        <v>64</v>
      </c>
      <c r="B56" s="1" t="s">
        <v>65</v>
      </c>
      <c r="C56" s="1" t="s">
        <v>42</v>
      </c>
      <c r="D56" s="1">
        <v>29.0</v>
      </c>
      <c r="E56" s="1">
        <v>20.0</v>
      </c>
      <c r="F56" s="1">
        <v>4.0</v>
      </c>
      <c r="G56" s="1">
        <v>10.0</v>
      </c>
      <c r="H56" s="1" t="s">
        <v>59</v>
      </c>
      <c r="I56" s="2">
        <v>45826.0</v>
      </c>
      <c r="J56" s="1">
        <v>750000.0</v>
      </c>
      <c r="K56" s="2">
        <v>45809.0</v>
      </c>
    </row>
    <row r="57">
      <c r="A57" s="1" t="s">
        <v>40</v>
      </c>
      <c r="B57" s="1" t="s">
        <v>41</v>
      </c>
      <c r="C57" s="1" t="s">
        <v>42</v>
      </c>
      <c r="D57" s="1">
        <v>30.0</v>
      </c>
      <c r="E57" s="1">
        <v>15.0</v>
      </c>
      <c r="F57" s="1">
        <v>2.0</v>
      </c>
      <c r="G57" s="1">
        <v>9.0</v>
      </c>
      <c r="H57" s="1" t="s">
        <v>43</v>
      </c>
      <c r="I57" s="2">
        <v>45892.0</v>
      </c>
      <c r="J57" s="1">
        <v>1200000.0</v>
      </c>
      <c r="K57" s="2">
        <v>45870.0</v>
      </c>
    </row>
    <row r="58">
      <c r="A58" s="1" t="s">
        <v>31</v>
      </c>
      <c r="B58" s="1" t="s">
        <v>32</v>
      </c>
      <c r="C58" s="1" t="s">
        <v>13</v>
      </c>
      <c r="D58" s="1">
        <v>91.0</v>
      </c>
      <c r="E58" s="1">
        <v>40.0</v>
      </c>
      <c r="F58" s="1">
        <v>3.0</v>
      </c>
      <c r="G58" s="1">
        <v>5.0</v>
      </c>
      <c r="H58" s="1" t="s">
        <v>33</v>
      </c>
      <c r="I58" s="2">
        <v>45724.0</v>
      </c>
      <c r="J58" s="1">
        <v>550000.0</v>
      </c>
      <c r="K58" s="2">
        <v>45717.0</v>
      </c>
    </row>
    <row r="59">
      <c r="A59" s="1" t="s">
        <v>53</v>
      </c>
      <c r="B59" s="1" t="s">
        <v>54</v>
      </c>
      <c r="C59" s="1" t="s">
        <v>13</v>
      </c>
      <c r="D59" s="1">
        <v>299.0</v>
      </c>
      <c r="E59" s="1">
        <v>60.0</v>
      </c>
      <c r="F59" s="1">
        <v>1.0</v>
      </c>
      <c r="G59" s="1">
        <v>7.0</v>
      </c>
      <c r="H59" s="1" t="s">
        <v>14</v>
      </c>
      <c r="I59" s="2">
        <v>45756.0</v>
      </c>
      <c r="J59" s="1">
        <v>165000.0</v>
      </c>
      <c r="K59" s="2">
        <v>45748.0</v>
      </c>
    </row>
    <row r="60">
      <c r="A60" s="1" t="s">
        <v>62</v>
      </c>
      <c r="B60" s="1" t="s">
        <v>63</v>
      </c>
      <c r="C60" s="1" t="s">
        <v>13</v>
      </c>
      <c r="D60" s="1">
        <v>392.0</v>
      </c>
      <c r="E60" s="1">
        <v>80.0</v>
      </c>
      <c r="F60" s="1">
        <v>5.0</v>
      </c>
      <c r="G60" s="1">
        <v>4.0</v>
      </c>
      <c r="H60" s="1" t="s">
        <v>33</v>
      </c>
      <c r="I60" s="2">
        <v>45701.0</v>
      </c>
      <c r="J60" s="1">
        <v>85000.0</v>
      </c>
      <c r="K60" s="2">
        <v>45689.0</v>
      </c>
    </row>
    <row r="61">
      <c r="A61" s="1" t="s">
        <v>53</v>
      </c>
      <c r="B61" s="1" t="s">
        <v>54</v>
      </c>
      <c r="C61" s="1" t="s">
        <v>13</v>
      </c>
      <c r="D61" s="1">
        <v>198.0</v>
      </c>
      <c r="E61" s="1">
        <v>60.0</v>
      </c>
      <c r="F61" s="1">
        <v>3.0</v>
      </c>
      <c r="G61" s="1">
        <v>8.0</v>
      </c>
      <c r="H61" s="1" t="s">
        <v>14</v>
      </c>
      <c r="I61" s="2">
        <v>45712.0</v>
      </c>
      <c r="J61" s="1">
        <v>165000.0</v>
      </c>
      <c r="K61" s="2">
        <v>45689.0</v>
      </c>
    </row>
    <row r="62">
      <c r="A62" s="1" t="s">
        <v>11</v>
      </c>
      <c r="B62" s="1" t="s">
        <v>12</v>
      </c>
      <c r="C62" s="1" t="s">
        <v>13</v>
      </c>
      <c r="D62" s="1">
        <v>238.0</v>
      </c>
      <c r="E62" s="1">
        <v>50.0</v>
      </c>
      <c r="F62" s="1">
        <v>2.0</v>
      </c>
      <c r="G62" s="1">
        <v>7.0</v>
      </c>
      <c r="H62" s="1" t="s">
        <v>14</v>
      </c>
      <c r="I62" s="2">
        <v>45671.0</v>
      </c>
      <c r="J62" s="1">
        <v>125000.0</v>
      </c>
      <c r="K62" s="2">
        <v>45658.0</v>
      </c>
    </row>
    <row r="63">
      <c r="A63" s="1" t="s">
        <v>46</v>
      </c>
      <c r="B63" s="1" t="s">
        <v>47</v>
      </c>
      <c r="C63" s="1" t="s">
        <v>23</v>
      </c>
      <c r="D63" s="1">
        <v>44.0</v>
      </c>
      <c r="E63" s="1">
        <v>40.0</v>
      </c>
      <c r="F63" s="1">
        <v>5.0</v>
      </c>
      <c r="G63" s="1">
        <v>6.0</v>
      </c>
      <c r="H63" s="1" t="s">
        <v>30</v>
      </c>
      <c r="I63" s="2">
        <v>45799.0</v>
      </c>
      <c r="J63" s="1">
        <v>550000.0</v>
      </c>
      <c r="K63" s="2">
        <v>45778.0</v>
      </c>
    </row>
    <row r="64">
      <c r="A64" s="1" t="s">
        <v>46</v>
      </c>
      <c r="B64" s="1" t="s">
        <v>47</v>
      </c>
      <c r="C64" s="1" t="s">
        <v>23</v>
      </c>
      <c r="D64" s="1">
        <v>28.0</v>
      </c>
      <c r="E64" s="1">
        <v>40.0</v>
      </c>
      <c r="F64" s="1">
        <v>3.0</v>
      </c>
      <c r="G64" s="1">
        <v>6.0</v>
      </c>
      <c r="H64" s="1" t="s">
        <v>30</v>
      </c>
      <c r="I64" s="2">
        <v>45956.0</v>
      </c>
      <c r="J64" s="1">
        <v>550000.0</v>
      </c>
      <c r="K64" s="2">
        <v>45931.0</v>
      </c>
    </row>
    <row r="65">
      <c r="A65" s="1" t="s">
        <v>46</v>
      </c>
      <c r="B65" s="1" t="s">
        <v>47</v>
      </c>
      <c r="C65" s="1" t="s">
        <v>23</v>
      </c>
      <c r="D65" s="1">
        <v>29.0</v>
      </c>
      <c r="E65" s="1">
        <v>40.0</v>
      </c>
      <c r="F65" s="1">
        <v>4.0</v>
      </c>
      <c r="G65" s="1">
        <v>9.0</v>
      </c>
      <c r="H65" s="1" t="s">
        <v>30</v>
      </c>
      <c r="I65" s="2">
        <v>45839.0</v>
      </c>
      <c r="J65" s="1">
        <v>550000.0</v>
      </c>
      <c r="K65" s="2">
        <v>45839.0</v>
      </c>
    </row>
    <row r="66">
      <c r="A66" s="1" t="s">
        <v>62</v>
      </c>
      <c r="B66" s="1" t="s">
        <v>63</v>
      </c>
      <c r="C66" s="1" t="s">
        <v>13</v>
      </c>
      <c r="D66" s="1">
        <v>468.0</v>
      </c>
      <c r="E66" s="1">
        <v>80.0</v>
      </c>
      <c r="F66" s="1">
        <v>5.0</v>
      </c>
      <c r="G66" s="1">
        <v>6.0</v>
      </c>
      <c r="H66" s="1" t="s">
        <v>33</v>
      </c>
      <c r="I66" s="2">
        <v>46079.0</v>
      </c>
      <c r="J66" s="1">
        <v>85000.0</v>
      </c>
      <c r="K66" s="2">
        <v>46054.0</v>
      </c>
    </row>
    <row r="67">
      <c r="A67" s="1" t="s">
        <v>57</v>
      </c>
      <c r="B67" s="1" t="s">
        <v>58</v>
      </c>
      <c r="C67" s="1" t="s">
        <v>42</v>
      </c>
      <c r="D67" s="1">
        <v>16.0</v>
      </c>
      <c r="E67" s="1">
        <v>25.0</v>
      </c>
      <c r="F67" s="1">
        <v>3.0</v>
      </c>
      <c r="G67" s="1">
        <v>6.0</v>
      </c>
      <c r="H67" s="1" t="s">
        <v>59</v>
      </c>
      <c r="I67" s="2">
        <v>45982.0</v>
      </c>
      <c r="J67" s="1">
        <v>450000.0</v>
      </c>
      <c r="K67" s="2">
        <v>45962.0</v>
      </c>
    </row>
    <row r="68">
      <c r="A68" s="1" t="s">
        <v>62</v>
      </c>
      <c r="B68" s="1" t="s">
        <v>63</v>
      </c>
      <c r="C68" s="1" t="s">
        <v>13</v>
      </c>
      <c r="D68" s="1">
        <v>320.0</v>
      </c>
      <c r="E68" s="1">
        <v>80.0</v>
      </c>
      <c r="F68" s="1">
        <v>5.0</v>
      </c>
      <c r="G68" s="1">
        <v>4.0</v>
      </c>
      <c r="H68" s="1" t="s">
        <v>33</v>
      </c>
      <c r="I68" s="2">
        <v>45909.0</v>
      </c>
      <c r="J68" s="1">
        <v>85000.0</v>
      </c>
      <c r="K68" s="2">
        <v>45901.0</v>
      </c>
    </row>
    <row r="69">
      <c r="A69" s="1" t="s">
        <v>38</v>
      </c>
      <c r="B69" s="1" t="s">
        <v>39</v>
      </c>
      <c r="C69" s="1" t="s">
        <v>23</v>
      </c>
      <c r="D69" s="1">
        <v>0.0</v>
      </c>
      <c r="E69" s="1">
        <v>45.0</v>
      </c>
      <c r="F69" s="1">
        <v>10.0</v>
      </c>
      <c r="G69" s="1">
        <v>4.0</v>
      </c>
      <c r="H69" s="1" t="s">
        <v>24</v>
      </c>
      <c r="I69" s="2">
        <v>45768.0</v>
      </c>
      <c r="J69" s="1">
        <v>450000.0</v>
      </c>
      <c r="K69" s="2">
        <v>45748.0</v>
      </c>
    </row>
    <row r="70">
      <c r="A70" s="1" t="s">
        <v>55</v>
      </c>
      <c r="B70" s="1" t="s">
        <v>56</v>
      </c>
      <c r="C70" s="1" t="s">
        <v>36</v>
      </c>
      <c r="D70" s="1">
        <v>29.0</v>
      </c>
      <c r="E70" s="1">
        <v>100.0</v>
      </c>
      <c r="F70" s="1">
        <v>16.0</v>
      </c>
      <c r="G70" s="1">
        <v>5.0</v>
      </c>
      <c r="H70" s="1" t="s">
        <v>37</v>
      </c>
      <c r="I70" s="2">
        <v>45813.0</v>
      </c>
      <c r="J70" s="1">
        <v>85000.0</v>
      </c>
      <c r="K70" s="2">
        <v>45809.0</v>
      </c>
    </row>
    <row r="71">
      <c r="A71" s="1" t="s">
        <v>19</v>
      </c>
      <c r="B71" s="1" t="s">
        <v>20</v>
      </c>
      <c r="C71" s="1" t="s">
        <v>17</v>
      </c>
      <c r="D71" s="1">
        <v>34.0</v>
      </c>
      <c r="E71" s="1">
        <v>30.0</v>
      </c>
      <c r="F71" s="1">
        <v>4.0</v>
      </c>
      <c r="G71" s="1">
        <v>5.0</v>
      </c>
      <c r="H71" s="1" t="s">
        <v>18</v>
      </c>
      <c r="I71" s="2">
        <v>46083.0</v>
      </c>
      <c r="J71" s="1">
        <v>1200000.0</v>
      </c>
      <c r="K71" s="2">
        <v>46082.0</v>
      </c>
    </row>
    <row r="72">
      <c r="A72" s="1" t="s">
        <v>55</v>
      </c>
      <c r="B72" s="1" t="s">
        <v>56</v>
      </c>
      <c r="C72" s="1" t="s">
        <v>36</v>
      </c>
      <c r="D72" s="1">
        <v>60.0</v>
      </c>
      <c r="E72" s="1">
        <v>100.0</v>
      </c>
      <c r="F72" s="1">
        <v>12.0</v>
      </c>
      <c r="G72" s="1">
        <v>4.0</v>
      </c>
      <c r="H72" s="1" t="s">
        <v>37</v>
      </c>
      <c r="I72" s="2">
        <v>45928.0</v>
      </c>
      <c r="J72" s="1">
        <v>85000.0</v>
      </c>
      <c r="K72" s="2">
        <v>45901.0</v>
      </c>
    </row>
    <row r="73">
      <c r="A73" s="1" t="s">
        <v>15</v>
      </c>
      <c r="B73" s="1" t="s">
        <v>16</v>
      </c>
      <c r="C73" s="1" t="s">
        <v>17</v>
      </c>
      <c r="D73" s="1">
        <v>1.0</v>
      </c>
      <c r="E73" s="1">
        <v>15.0</v>
      </c>
      <c r="F73" s="1">
        <v>2.0</v>
      </c>
      <c r="G73" s="1">
        <v>6.0</v>
      </c>
      <c r="H73" s="1" t="s">
        <v>18</v>
      </c>
      <c r="I73" s="2">
        <v>45861.0</v>
      </c>
      <c r="J73" s="1">
        <v>8500000.0</v>
      </c>
      <c r="K73" s="2">
        <v>45839.0</v>
      </c>
    </row>
    <row r="74">
      <c r="A74" s="1" t="s">
        <v>31</v>
      </c>
      <c r="B74" s="1" t="s">
        <v>32</v>
      </c>
      <c r="C74" s="1" t="s">
        <v>13</v>
      </c>
      <c r="D74" s="1">
        <v>177.0</v>
      </c>
      <c r="E74" s="1">
        <v>40.0</v>
      </c>
      <c r="F74" s="1">
        <v>2.0</v>
      </c>
      <c r="G74" s="1">
        <v>4.0</v>
      </c>
      <c r="H74" s="1" t="s">
        <v>33</v>
      </c>
      <c r="I74" s="2">
        <v>45757.0</v>
      </c>
      <c r="J74" s="1">
        <v>550000.0</v>
      </c>
      <c r="K74" s="2">
        <v>45748.0</v>
      </c>
    </row>
    <row r="75">
      <c r="A75" s="1" t="s">
        <v>60</v>
      </c>
      <c r="B75" s="1" t="s">
        <v>61</v>
      </c>
      <c r="C75" s="1" t="s">
        <v>17</v>
      </c>
      <c r="D75" s="1">
        <v>28.0</v>
      </c>
      <c r="E75" s="1">
        <v>20.0</v>
      </c>
      <c r="F75" s="1">
        <v>1.0</v>
      </c>
      <c r="G75" s="1">
        <v>11.0</v>
      </c>
      <c r="H75" s="1" t="s">
        <v>27</v>
      </c>
      <c r="I75" s="2">
        <v>45669.0</v>
      </c>
      <c r="J75" s="1">
        <v>3200000.0</v>
      </c>
      <c r="K75" s="2">
        <v>45658.0</v>
      </c>
    </row>
    <row r="76">
      <c r="A76" s="1" t="s">
        <v>25</v>
      </c>
      <c r="B76" s="1" t="s">
        <v>26</v>
      </c>
      <c r="C76" s="1" t="s">
        <v>17</v>
      </c>
      <c r="D76" s="1">
        <v>42.0</v>
      </c>
      <c r="E76" s="1">
        <v>25.0</v>
      </c>
      <c r="F76" s="1">
        <v>4.0</v>
      </c>
      <c r="G76" s="1">
        <v>19.0</v>
      </c>
      <c r="H76" s="1" t="s">
        <v>27</v>
      </c>
      <c r="I76" s="2">
        <v>45881.0</v>
      </c>
      <c r="J76" s="1">
        <v>4500000.0</v>
      </c>
      <c r="K76" s="2">
        <v>45870.0</v>
      </c>
    </row>
    <row r="77" hidden="1">
      <c r="A77" s="1" t="s">
        <v>51</v>
      </c>
      <c r="B77" s="1" t="s">
        <v>52</v>
      </c>
      <c r="C77" s="1" t="s">
        <v>36</v>
      </c>
      <c r="D77" s="1">
        <v>18.0</v>
      </c>
      <c r="E77" s="1">
        <v>60.0</v>
      </c>
      <c r="F77" s="1">
        <v>8.0</v>
      </c>
      <c r="G77" s="1">
        <v>5.0</v>
      </c>
      <c r="H77" s="1" t="s">
        <v>50</v>
      </c>
      <c r="I77" s="2">
        <v>45712.0</v>
      </c>
      <c r="K77" s="2">
        <v>45689.0</v>
      </c>
    </row>
    <row r="78">
      <c r="A78" s="1" t="s">
        <v>19</v>
      </c>
      <c r="B78" s="1" t="s">
        <v>20</v>
      </c>
      <c r="C78" s="1" t="s">
        <v>17</v>
      </c>
      <c r="D78" s="1">
        <v>17.0</v>
      </c>
      <c r="E78" s="1">
        <v>30.0</v>
      </c>
      <c r="F78" s="1">
        <v>6.0</v>
      </c>
      <c r="G78" s="1">
        <v>8.0</v>
      </c>
      <c r="H78" s="1" t="s">
        <v>18</v>
      </c>
      <c r="I78" s="2">
        <v>45996.0</v>
      </c>
      <c r="J78" s="1">
        <v>1200000.0</v>
      </c>
      <c r="K78" s="2">
        <v>45992.0</v>
      </c>
    </row>
    <row r="79">
      <c r="A79" s="1" t="s">
        <v>11</v>
      </c>
      <c r="B79" s="1" t="s">
        <v>12</v>
      </c>
      <c r="C79" s="1" t="s">
        <v>13</v>
      </c>
      <c r="D79" s="1">
        <v>238.0</v>
      </c>
      <c r="E79" s="1">
        <v>50.0</v>
      </c>
      <c r="F79" s="1">
        <v>2.0</v>
      </c>
      <c r="G79" s="1">
        <v>7.0</v>
      </c>
      <c r="H79" s="1" t="s">
        <v>14</v>
      </c>
      <c r="I79" s="2">
        <v>45671.0</v>
      </c>
      <c r="J79" s="1">
        <v>125000.0</v>
      </c>
      <c r="K79" s="2">
        <v>45658.0</v>
      </c>
    </row>
    <row r="80">
      <c r="A80" s="1" t="s">
        <v>46</v>
      </c>
      <c r="B80" s="1" t="s">
        <v>47</v>
      </c>
      <c r="C80" s="1" t="s">
        <v>23</v>
      </c>
      <c r="D80" s="1">
        <v>0.0</v>
      </c>
      <c r="E80" s="1">
        <v>40.0</v>
      </c>
      <c r="F80" s="1">
        <v>10.0</v>
      </c>
      <c r="G80" s="1">
        <v>7.0</v>
      </c>
      <c r="H80" s="1" t="s">
        <v>30</v>
      </c>
      <c r="I80" s="2">
        <v>46109.0</v>
      </c>
      <c r="J80" s="1">
        <v>550000.0</v>
      </c>
      <c r="K80" s="2">
        <v>46082.0</v>
      </c>
    </row>
    <row r="81" hidden="1">
      <c r="A81" s="1" t="s">
        <v>34</v>
      </c>
      <c r="B81" s="1" t="s">
        <v>35</v>
      </c>
      <c r="C81" s="1" t="s">
        <v>36</v>
      </c>
      <c r="E81" s="1">
        <v>80.0</v>
      </c>
      <c r="F81" s="1">
        <v>11.0</v>
      </c>
      <c r="G81" s="1">
        <v>4.0</v>
      </c>
      <c r="H81" s="1" t="s">
        <v>37</v>
      </c>
      <c r="I81" s="2">
        <v>45766.0</v>
      </c>
      <c r="J81" s="1">
        <v>65000.0</v>
      </c>
      <c r="K81" s="2">
        <v>45748.0</v>
      </c>
    </row>
    <row r="82">
      <c r="A82" s="1" t="s">
        <v>55</v>
      </c>
      <c r="B82" s="1" t="s">
        <v>56</v>
      </c>
      <c r="C82" s="1" t="s">
        <v>36</v>
      </c>
      <c r="D82" s="1">
        <v>26.0</v>
      </c>
      <c r="E82" s="1">
        <v>100.0</v>
      </c>
      <c r="F82" s="1">
        <v>16.0</v>
      </c>
      <c r="G82" s="1">
        <v>4.0</v>
      </c>
      <c r="H82" s="1" t="s">
        <v>37</v>
      </c>
      <c r="I82" s="2">
        <v>45778.0</v>
      </c>
      <c r="J82" s="1">
        <v>85000.0</v>
      </c>
      <c r="K82" s="2">
        <v>45778.0</v>
      </c>
    </row>
    <row r="83">
      <c r="A83" s="1" t="s">
        <v>62</v>
      </c>
      <c r="B83" s="1" t="s">
        <v>63</v>
      </c>
      <c r="C83" s="1" t="s">
        <v>13</v>
      </c>
      <c r="D83" s="1">
        <v>301.0</v>
      </c>
      <c r="E83" s="1">
        <v>80.0</v>
      </c>
      <c r="F83" s="1">
        <v>3.0</v>
      </c>
      <c r="G83" s="1">
        <v>4.0</v>
      </c>
      <c r="H83" s="1" t="s">
        <v>33</v>
      </c>
      <c r="I83" s="2">
        <v>45936.0</v>
      </c>
      <c r="J83" s="1">
        <v>85000.0</v>
      </c>
      <c r="K83" s="2">
        <v>45931.0</v>
      </c>
    </row>
    <row r="84">
      <c r="A84" s="1" t="s">
        <v>57</v>
      </c>
      <c r="B84" s="1" t="s">
        <v>58</v>
      </c>
      <c r="C84" s="1" t="s">
        <v>42</v>
      </c>
      <c r="D84" s="1">
        <v>19.0</v>
      </c>
      <c r="E84" s="1">
        <v>25.0</v>
      </c>
      <c r="F84" s="1">
        <v>4.0</v>
      </c>
      <c r="G84" s="1">
        <v>10.0</v>
      </c>
      <c r="H84" s="1" t="s">
        <v>59</v>
      </c>
      <c r="I84" s="2">
        <v>45729.0</v>
      </c>
      <c r="J84" s="1">
        <v>450000.0</v>
      </c>
      <c r="K84" s="2">
        <v>45717.0</v>
      </c>
    </row>
    <row r="85">
      <c r="A85" s="1" t="s">
        <v>44</v>
      </c>
      <c r="B85" s="1" t="s">
        <v>45</v>
      </c>
      <c r="C85" s="1" t="s">
        <v>42</v>
      </c>
      <c r="D85" s="1">
        <v>51.0</v>
      </c>
      <c r="E85" s="1">
        <v>30.0</v>
      </c>
      <c r="F85" s="1">
        <v>6.0</v>
      </c>
      <c r="G85" s="1">
        <v>9.0</v>
      </c>
      <c r="H85" s="1" t="s">
        <v>43</v>
      </c>
      <c r="I85" s="2">
        <v>45752.0</v>
      </c>
      <c r="J85" s="1">
        <v>350000.0</v>
      </c>
      <c r="K85" s="2">
        <v>45748.0</v>
      </c>
    </row>
    <row r="86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</row>
    <row r="87">
      <c r="A87" s="1" t="s">
        <v>53</v>
      </c>
      <c r="B87" s="1" t="s">
        <v>54</v>
      </c>
      <c r="C87" s="1" t="s">
        <v>13</v>
      </c>
      <c r="D87" s="1">
        <v>223.0</v>
      </c>
      <c r="E87" s="1">
        <v>60.0</v>
      </c>
      <c r="F87" s="1">
        <v>4.0</v>
      </c>
      <c r="G87" s="1">
        <v>8.0</v>
      </c>
      <c r="H87" s="1" t="s">
        <v>14</v>
      </c>
      <c r="I87" s="2">
        <v>46108.0</v>
      </c>
      <c r="J87" s="1">
        <v>165000.0</v>
      </c>
      <c r="K87" s="2">
        <v>46082.0</v>
      </c>
    </row>
    <row r="88">
      <c r="A88" s="1" t="s">
        <v>21</v>
      </c>
      <c r="B88" s="1" t="s">
        <v>22</v>
      </c>
      <c r="C88" s="1" t="s">
        <v>23</v>
      </c>
      <c r="D88" s="1">
        <v>34.0</v>
      </c>
      <c r="E88" s="1">
        <v>50.0</v>
      </c>
      <c r="F88" s="1">
        <v>6.0</v>
      </c>
      <c r="G88" s="1">
        <v>6.0</v>
      </c>
      <c r="H88" s="1" t="s">
        <v>24</v>
      </c>
      <c r="I88" s="2">
        <v>45849.0</v>
      </c>
      <c r="J88" s="1">
        <v>350000.0</v>
      </c>
      <c r="K88" s="2">
        <v>45839.0</v>
      </c>
    </row>
    <row r="89">
      <c r="A89" s="1" t="s">
        <v>46</v>
      </c>
      <c r="B89" s="1" t="s">
        <v>47</v>
      </c>
      <c r="C89" s="1" t="s">
        <v>23</v>
      </c>
      <c r="D89" s="1">
        <v>10.0</v>
      </c>
      <c r="E89" s="1">
        <v>40.0</v>
      </c>
      <c r="F89" s="1">
        <v>4.0</v>
      </c>
      <c r="G89" s="1">
        <v>3.0</v>
      </c>
      <c r="H89" s="1" t="s">
        <v>30</v>
      </c>
      <c r="I89" s="2">
        <v>46055.0</v>
      </c>
      <c r="J89" s="1">
        <v>550000.0</v>
      </c>
      <c r="K89" s="2">
        <v>46054.0</v>
      </c>
    </row>
    <row r="90">
      <c r="A90" s="1" t="s">
        <v>62</v>
      </c>
      <c r="B90" s="1" t="s">
        <v>63</v>
      </c>
      <c r="C90" s="1" t="s">
        <v>13</v>
      </c>
      <c r="D90" s="1">
        <v>436.0</v>
      </c>
      <c r="E90" s="1">
        <v>80.0</v>
      </c>
      <c r="F90" s="1">
        <v>4.0</v>
      </c>
      <c r="G90" s="1">
        <v>4.0</v>
      </c>
      <c r="H90" s="1" t="s">
        <v>33</v>
      </c>
      <c r="I90" s="2">
        <v>45755.0</v>
      </c>
      <c r="J90" s="1">
        <v>85000.0</v>
      </c>
      <c r="K90" s="2">
        <v>45748.0</v>
      </c>
    </row>
    <row r="91">
      <c r="A91" s="1" t="s">
        <v>25</v>
      </c>
      <c r="B91" s="1" t="s">
        <v>26</v>
      </c>
      <c r="C91" s="1" t="s">
        <v>17</v>
      </c>
      <c r="D91" s="1">
        <v>0.0</v>
      </c>
      <c r="E91" s="1">
        <v>25.0</v>
      </c>
      <c r="F91" s="1">
        <v>8.0</v>
      </c>
      <c r="G91" s="1">
        <v>10.0</v>
      </c>
      <c r="H91" s="1" t="s">
        <v>27</v>
      </c>
      <c r="I91" s="2">
        <v>46013.0</v>
      </c>
      <c r="J91" s="1">
        <v>4500000.0</v>
      </c>
      <c r="K91" s="2">
        <v>45992.0</v>
      </c>
    </row>
    <row r="92">
      <c r="A92" s="1" t="s">
        <v>25</v>
      </c>
      <c r="B92" s="1" t="s">
        <v>26</v>
      </c>
      <c r="C92" s="1" t="s">
        <v>17</v>
      </c>
      <c r="D92" s="1">
        <v>20.0</v>
      </c>
      <c r="E92" s="1">
        <v>25.0</v>
      </c>
      <c r="F92" s="1">
        <v>4.0</v>
      </c>
      <c r="G92" s="1">
        <v>19.0</v>
      </c>
      <c r="H92" s="1" t="s">
        <v>27</v>
      </c>
      <c r="I92" s="2">
        <v>45786.0</v>
      </c>
      <c r="J92" s="1">
        <v>4500000.0</v>
      </c>
      <c r="K92" s="2">
        <v>45778.0</v>
      </c>
    </row>
    <row r="93">
      <c r="A93" s="1" t="s">
        <v>57</v>
      </c>
      <c r="B93" s="1" t="s">
        <v>58</v>
      </c>
      <c r="C93" s="1" t="s">
        <v>42</v>
      </c>
      <c r="D93" s="1">
        <v>42.0</v>
      </c>
      <c r="E93" s="1">
        <v>25.0</v>
      </c>
      <c r="F93" s="1">
        <v>4.0</v>
      </c>
      <c r="G93" s="1">
        <v>8.0</v>
      </c>
      <c r="H93" s="1" t="s">
        <v>59</v>
      </c>
      <c r="I93" s="2">
        <v>46029.0</v>
      </c>
      <c r="J93" s="1">
        <v>450000.0</v>
      </c>
      <c r="K93" s="2">
        <v>46023.0</v>
      </c>
    </row>
    <row r="94">
      <c r="A94" s="1" t="s">
        <v>28</v>
      </c>
      <c r="B94" s="1" t="s">
        <v>29</v>
      </c>
      <c r="C94" s="1" t="s">
        <v>23</v>
      </c>
      <c r="D94" s="1">
        <v>0.0</v>
      </c>
      <c r="E94" s="1">
        <v>35.0</v>
      </c>
      <c r="F94" s="1">
        <v>12.0</v>
      </c>
      <c r="G94" s="1">
        <v>9.0</v>
      </c>
      <c r="H94" s="1" t="s">
        <v>30</v>
      </c>
      <c r="I94" s="2">
        <v>45746.0</v>
      </c>
      <c r="J94" s="1">
        <v>1250000.0</v>
      </c>
      <c r="K94" s="2">
        <v>45717.0</v>
      </c>
    </row>
    <row r="95">
      <c r="A95" s="1" t="s">
        <v>38</v>
      </c>
      <c r="B95" s="1" t="s">
        <v>39</v>
      </c>
      <c r="C95" s="1" t="s">
        <v>23</v>
      </c>
      <c r="D95" s="1">
        <v>34.0</v>
      </c>
      <c r="E95" s="1">
        <v>45.0</v>
      </c>
      <c r="F95" s="1">
        <v>5.0</v>
      </c>
      <c r="G95" s="1">
        <v>4.0</v>
      </c>
      <c r="H95" s="1" t="s">
        <v>24</v>
      </c>
      <c r="I95" s="2">
        <v>45801.0</v>
      </c>
      <c r="J95" s="1">
        <v>450000.0</v>
      </c>
      <c r="K95" s="2">
        <v>45778.0</v>
      </c>
    </row>
    <row r="96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10.0</v>
      </c>
      <c r="G96" s="1">
        <v>7.0</v>
      </c>
      <c r="H96" s="1" t="s">
        <v>30</v>
      </c>
      <c r="I96" s="2">
        <v>46008.0</v>
      </c>
      <c r="J96" s="1">
        <v>1250000.0</v>
      </c>
      <c r="K96" s="2">
        <v>45992.0</v>
      </c>
    </row>
    <row r="97">
      <c r="A97" s="1" t="s">
        <v>31</v>
      </c>
      <c r="B97" s="1" t="s">
        <v>32</v>
      </c>
      <c r="C97" s="1" t="s">
        <v>13</v>
      </c>
      <c r="D97" s="1">
        <v>169.0</v>
      </c>
      <c r="E97" s="1">
        <v>40.0</v>
      </c>
      <c r="F97" s="1">
        <v>3.0</v>
      </c>
      <c r="G97" s="1">
        <v>4.0</v>
      </c>
      <c r="H97" s="1" t="s">
        <v>33</v>
      </c>
      <c r="I97" s="2">
        <v>46074.0</v>
      </c>
      <c r="J97" s="1">
        <v>550000.0</v>
      </c>
      <c r="K97" s="2">
        <v>46054.0</v>
      </c>
    </row>
    <row r="98">
      <c r="A98" s="1" t="s">
        <v>21</v>
      </c>
      <c r="B98" s="1" t="s">
        <v>22</v>
      </c>
      <c r="C98" s="1" t="s">
        <v>23</v>
      </c>
      <c r="D98" s="1">
        <v>15.0</v>
      </c>
      <c r="E98" s="1">
        <v>50.0</v>
      </c>
      <c r="F98" s="1">
        <v>7.0</v>
      </c>
      <c r="G98" s="1">
        <v>7.0</v>
      </c>
      <c r="H98" s="1" t="s">
        <v>24</v>
      </c>
      <c r="I98" s="2">
        <v>46032.0</v>
      </c>
      <c r="J98" s="1">
        <v>350000.0</v>
      </c>
      <c r="K98" s="2">
        <v>46023.0</v>
      </c>
    </row>
    <row r="99">
      <c r="A99" s="1" t="s">
        <v>48</v>
      </c>
      <c r="B99" s="1" t="s">
        <v>49</v>
      </c>
      <c r="C99" s="1" t="s">
        <v>36</v>
      </c>
      <c r="D99" s="1">
        <v>48.0</v>
      </c>
      <c r="E99" s="1">
        <v>120.0</v>
      </c>
      <c r="F99" s="1">
        <v>18.0</v>
      </c>
      <c r="G99" s="1">
        <v>6.0</v>
      </c>
      <c r="H99" s="1" t="s">
        <v>50</v>
      </c>
      <c r="I99" s="2">
        <v>46074.0</v>
      </c>
      <c r="J99" s="1">
        <v>55000.0</v>
      </c>
      <c r="K99" s="2">
        <v>46054.0</v>
      </c>
    </row>
    <row r="100">
      <c r="A100" s="1" t="s">
        <v>25</v>
      </c>
      <c r="B100" s="1" t="s">
        <v>26</v>
      </c>
      <c r="C100" s="1" t="s">
        <v>17</v>
      </c>
      <c r="D100" s="1">
        <v>0.0</v>
      </c>
      <c r="E100" s="1">
        <v>25.0</v>
      </c>
      <c r="F100" s="1">
        <v>3.0</v>
      </c>
      <c r="G100" s="1">
        <v>18.0</v>
      </c>
      <c r="H100" s="1" t="s">
        <v>27</v>
      </c>
      <c r="I100" s="2">
        <v>45663.0</v>
      </c>
      <c r="J100" s="1">
        <v>4500000.0</v>
      </c>
      <c r="K100" s="2">
        <v>45658.0</v>
      </c>
    </row>
    <row r="101">
      <c r="A101" s="1" t="s">
        <v>15</v>
      </c>
      <c r="B101" s="1" t="s">
        <v>16</v>
      </c>
      <c r="C101" s="1" t="s">
        <v>17</v>
      </c>
      <c r="D101" s="1">
        <v>0.0</v>
      </c>
      <c r="E101" s="1">
        <v>15.0</v>
      </c>
      <c r="F101" s="1">
        <v>3.0</v>
      </c>
      <c r="G101" s="1">
        <v>8.0</v>
      </c>
      <c r="H101" s="1" t="s">
        <v>18</v>
      </c>
      <c r="I101" s="2">
        <v>45979.0</v>
      </c>
      <c r="J101" s="1">
        <v>8500000.0</v>
      </c>
      <c r="K101" s="2">
        <v>45962.0</v>
      </c>
    </row>
    <row r="102">
      <c r="A102" s="1" t="s">
        <v>44</v>
      </c>
      <c r="B102" s="1" t="s">
        <v>45</v>
      </c>
      <c r="C102" s="1" t="s">
        <v>42</v>
      </c>
      <c r="D102" s="1">
        <v>53.0</v>
      </c>
      <c r="E102" s="1">
        <v>30.0</v>
      </c>
      <c r="F102" s="1">
        <v>5.0</v>
      </c>
      <c r="G102" s="1">
        <v>4.0</v>
      </c>
      <c r="H102" s="1" t="s">
        <v>43</v>
      </c>
      <c r="I102" s="2">
        <v>45730.0</v>
      </c>
      <c r="J102" s="1">
        <v>350000.0</v>
      </c>
      <c r="K102" s="2">
        <v>45717.0</v>
      </c>
    </row>
    <row r="103">
      <c r="A103" s="1" t="s">
        <v>40</v>
      </c>
      <c r="B103" s="1" t="s">
        <v>41</v>
      </c>
      <c r="C103" s="1" t="s">
        <v>42</v>
      </c>
      <c r="D103" s="1">
        <v>12.0</v>
      </c>
      <c r="E103" s="1">
        <v>15.0</v>
      </c>
      <c r="F103" s="1">
        <v>4.0</v>
      </c>
      <c r="G103" s="1">
        <v>10.0</v>
      </c>
      <c r="H103" s="1" t="s">
        <v>43</v>
      </c>
      <c r="I103" s="2">
        <v>45717.0</v>
      </c>
      <c r="J103" s="1">
        <v>1200000.0</v>
      </c>
      <c r="K103" s="2">
        <v>45717.0</v>
      </c>
    </row>
    <row r="104">
      <c r="A104" s="1" t="s">
        <v>28</v>
      </c>
      <c r="B104" s="1" t="s">
        <v>29</v>
      </c>
      <c r="C104" s="1" t="s">
        <v>23</v>
      </c>
      <c r="D104" s="1">
        <v>31.0</v>
      </c>
      <c r="E104" s="1">
        <v>35.0</v>
      </c>
      <c r="F104" s="1">
        <v>3.0</v>
      </c>
      <c r="G104" s="1">
        <v>6.0</v>
      </c>
      <c r="H104" s="1" t="s">
        <v>30</v>
      </c>
      <c r="I104" s="2">
        <v>45891.0</v>
      </c>
      <c r="J104" s="1">
        <v>1250000.0</v>
      </c>
      <c r="K104" s="2">
        <v>45870.0</v>
      </c>
    </row>
    <row r="105">
      <c r="A105" s="1" t="s">
        <v>21</v>
      </c>
      <c r="B105" s="1" t="s">
        <v>22</v>
      </c>
      <c r="C105" s="1" t="s">
        <v>23</v>
      </c>
      <c r="D105" s="1">
        <v>21.0</v>
      </c>
      <c r="E105" s="1">
        <v>50.0</v>
      </c>
      <c r="F105" s="1">
        <v>7.0</v>
      </c>
      <c r="G105" s="1">
        <v>3.0</v>
      </c>
      <c r="H105" s="1" t="s">
        <v>24</v>
      </c>
      <c r="I105" s="2">
        <v>45918.0</v>
      </c>
      <c r="J105" s="1">
        <v>350000.0</v>
      </c>
      <c r="K105" s="2">
        <v>45901.0</v>
      </c>
    </row>
    <row r="106">
      <c r="A106" s="1" t="s">
        <v>11</v>
      </c>
      <c r="B106" s="1" t="s">
        <v>12</v>
      </c>
      <c r="C106" s="1" t="s">
        <v>13</v>
      </c>
      <c r="D106" s="1">
        <v>250.0</v>
      </c>
      <c r="E106" s="1">
        <v>50.0</v>
      </c>
      <c r="F106" s="1">
        <v>1.0</v>
      </c>
      <c r="G106" s="1">
        <v>7.0</v>
      </c>
      <c r="H106" s="1" t="s">
        <v>14</v>
      </c>
      <c r="I106" s="2">
        <v>46050.0</v>
      </c>
      <c r="J106" s="1">
        <v>125000.0</v>
      </c>
      <c r="K106" s="2">
        <v>46023.0</v>
      </c>
    </row>
    <row r="107" hidden="1">
      <c r="A107" s="1" t="s">
        <v>60</v>
      </c>
      <c r="B107" s="1" t="s">
        <v>61</v>
      </c>
      <c r="C107" s="1" t="s">
        <v>17</v>
      </c>
      <c r="D107" s="1">
        <v>-19.0</v>
      </c>
      <c r="E107" s="1">
        <v>20.0</v>
      </c>
      <c r="F107" s="1">
        <v>2.0</v>
      </c>
      <c r="G107" s="1">
        <v>18.0</v>
      </c>
      <c r="H107" s="1" t="s">
        <v>27</v>
      </c>
      <c r="I107" s="2">
        <v>45884.0</v>
      </c>
      <c r="J107" s="1">
        <v>3200000.0</v>
      </c>
      <c r="K107" s="2">
        <v>45870.0</v>
      </c>
    </row>
    <row r="108">
      <c r="A108" s="1" t="s">
        <v>25</v>
      </c>
      <c r="B108" s="1" t="s">
        <v>26</v>
      </c>
      <c r="C108" s="1" t="s">
        <v>17</v>
      </c>
      <c r="D108" s="1">
        <v>32.0</v>
      </c>
      <c r="E108" s="1">
        <v>25.0</v>
      </c>
      <c r="F108" s="1">
        <v>4.0</v>
      </c>
      <c r="G108" s="1">
        <v>9.0</v>
      </c>
      <c r="H108" s="1" t="s">
        <v>27</v>
      </c>
      <c r="I108" s="2">
        <v>45708.0</v>
      </c>
      <c r="J108" s="1">
        <v>4500000.0</v>
      </c>
      <c r="K108" s="2">
        <v>45689.0</v>
      </c>
    </row>
    <row r="109" hidden="1">
      <c r="A109" s="1" t="s">
        <v>19</v>
      </c>
      <c r="B109" s="1" t="s">
        <v>20</v>
      </c>
      <c r="C109" s="1" t="s">
        <v>17</v>
      </c>
      <c r="D109" s="1">
        <v>-12.0</v>
      </c>
      <c r="E109" s="1">
        <v>30.0</v>
      </c>
      <c r="F109" s="1">
        <v>6.0</v>
      </c>
      <c r="G109" s="1">
        <v>7.0</v>
      </c>
      <c r="H109" s="1" t="s">
        <v>18</v>
      </c>
      <c r="I109" s="2">
        <v>45975.0</v>
      </c>
      <c r="J109" s="1">
        <v>1200000.0</v>
      </c>
      <c r="K109" s="2">
        <v>45962.0</v>
      </c>
    </row>
    <row r="110">
      <c r="A110" s="1" t="s">
        <v>40</v>
      </c>
      <c r="B110" s="1" t="s">
        <v>41</v>
      </c>
      <c r="C110" s="1" t="s">
        <v>42</v>
      </c>
      <c r="D110" s="1">
        <v>3.0</v>
      </c>
      <c r="E110" s="1">
        <v>15.0</v>
      </c>
      <c r="F110" s="1">
        <v>3.0</v>
      </c>
      <c r="G110" s="1">
        <v>8.0</v>
      </c>
      <c r="H110" s="1" t="s">
        <v>43</v>
      </c>
      <c r="I110" s="2">
        <v>45815.0</v>
      </c>
      <c r="J110" s="1">
        <v>1200000.0</v>
      </c>
      <c r="K110" s="2">
        <v>45809.0</v>
      </c>
    </row>
    <row r="111">
      <c r="A111" s="1" t="s">
        <v>51</v>
      </c>
      <c r="B111" s="1" t="s">
        <v>52</v>
      </c>
      <c r="C111" s="1" t="s">
        <v>36</v>
      </c>
      <c r="D111" s="1">
        <v>0.0</v>
      </c>
      <c r="E111" s="1">
        <v>60.0</v>
      </c>
      <c r="F111" s="1">
        <v>13.0</v>
      </c>
      <c r="G111" s="1">
        <v>4.0</v>
      </c>
      <c r="H111" s="1" t="s">
        <v>50</v>
      </c>
      <c r="I111" s="2">
        <v>46004.0</v>
      </c>
      <c r="J111" s="1">
        <v>175000.0</v>
      </c>
      <c r="K111" s="2">
        <v>45992.0</v>
      </c>
    </row>
    <row r="112">
      <c r="A112" s="1" t="s">
        <v>21</v>
      </c>
      <c r="B112" s="1" t="s">
        <v>22</v>
      </c>
      <c r="C112" s="1" t="s">
        <v>23</v>
      </c>
      <c r="D112" s="1">
        <v>26.0</v>
      </c>
      <c r="E112" s="1">
        <v>50.0</v>
      </c>
      <c r="F112" s="1">
        <v>8.0</v>
      </c>
      <c r="G112" s="1">
        <v>3.0</v>
      </c>
      <c r="H112" s="1" t="s">
        <v>24</v>
      </c>
      <c r="I112" s="2">
        <v>45884.0</v>
      </c>
      <c r="J112" s="1">
        <v>350000.0</v>
      </c>
      <c r="K112" s="2">
        <v>45870.0</v>
      </c>
    </row>
    <row r="113">
      <c r="A113" s="1" t="s">
        <v>46</v>
      </c>
      <c r="B113" s="1" t="s">
        <v>47</v>
      </c>
      <c r="C113" s="1" t="s">
        <v>23</v>
      </c>
      <c r="D113" s="1">
        <v>32.0</v>
      </c>
      <c r="E113" s="1">
        <v>40.0</v>
      </c>
      <c r="F113" s="1">
        <v>5.0</v>
      </c>
      <c r="G113" s="1">
        <v>5.0</v>
      </c>
      <c r="H113" s="1" t="s">
        <v>30</v>
      </c>
      <c r="I113" s="2">
        <v>45915.0</v>
      </c>
      <c r="J113" s="1">
        <v>550000.0</v>
      </c>
      <c r="K113" s="2">
        <v>45901.0</v>
      </c>
    </row>
    <row r="114">
      <c r="A114" s="1" t="s">
        <v>21</v>
      </c>
      <c r="B114" s="1" t="s">
        <v>22</v>
      </c>
      <c r="C114" s="1" t="s">
        <v>23</v>
      </c>
      <c r="D114" s="1">
        <v>28.0</v>
      </c>
      <c r="E114" s="1">
        <v>50.0</v>
      </c>
      <c r="F114" s="1">
        <v>7.0</v>
      </c>
      <c r="G114" s="1">
        <v>7.0</v>
      </c>
      <c r="H114" s="1" t="s">
        <v>24</v>
      </c>
      <c r="I114" s="2">
        <v>45939.0</v>
      </c>
      <c r="J114" s="1">
        <v>350000.0</v>
      </c>
      <c r="K114" s="2">
        <v>45931.0</v>
      </c>
    </row>
    <row r="115">
      <c r="A115" s="1" t="s">
        <v>60</v>
      </c>
      <c r="B115" s="1" t="s">
        <v>61</v>
      </c>
      <c r="C115" s="1" t="s">
        <v>17</v>
      </c>
      <c r="D115" s="1">
        <v>0.0</v>
      </c>
      <c r="E115" s="1">
        <v>20.0</v>
      </c>
      <c r="F115" s="1">
        <v>1.0</v>
      </c>
      <c r="G115" s="1">
        <v>23.0</v>
      </c>
      <c r="H115" s="1" t="s">
        <v>27</v>
      </c>
      <c r="I115" s="2">
        <v>45689.0</v>
      </c>
      <c r="J115" s="1">
        <v>3200000.0</v>
      </c>
      <c r="K115" s="2">
        <v>45689.0</v>
      </c>
    </row>
    <row r="116">
      <c r="A116" s="1" t="s">
        <v>31</v>
      </c>
      <c r="B116" s="1" t="s">
        <v>32</v>
      </c>
      <c r="C116" s="1" t="s">
        <v>13</v>
      </c>
      <c r="D116" s="1">
        <v>221.0</v>
      </c>
      <c r="E116" s="1">
        <v>40.0</v>
      </c>
      <c r="F116" s="1">
        <v>2.0</v>
      </c>
      <c r="G116" s="1">
        <v>5.0</v>
      </c>
      <c r="H116" s="1" t="s">
        <v>33</v>
      </c>
      <c r="I116" s="2">
        <v>45791.0</v>
      </c>
      <c r="J116" s="1">
        <v>550000.0</v>
      </c>
      <c r="K116" s="2">
        <v>45778.0</v>
      </c>
    </row>
    <row r="117">
      <c r="A117" s="1" t="s">
        <v>40</v>
      </c>
      <c r="B117" s="1" t="s">
        <v>41</v>
      </c>
      <c r="C117" s="1" t="s">
        <v>42</v>
      </c>
      <c r="D117" s="1">
        <v>22.0</v>
      </c>
      <c r="E117" s="1">
        <v>15.0</v>
      </c>
      <c r="F117" s="1">
        <v>3.0</v>
      </c>
      <c r="G117" s="1">
        <v>4.0</v>
      </c>
      <c r="H117" s="1" t="s">
        <v>43</v>
      </c>
      <c r="I117" s="2">
        <v>45919.0</v>
      </c>
      <c r="J117" s="1">
        <v>1200000.0</v>
      </c>
      <c r="K117" s="2">
        <v>45901.0</v>
      </c>
    </row>
    <row r="118">
      <c r="A118" s="1" t="s">
        <v>11</v>
      </c>
      <c r="B118" s="1" t="s">
        <v>12</v>
      </c>
      <c r="C118" s="1" t="s">
        <v>13</v>
      </c>
      <c r="D118" s="1">
        <v>185.0</v>
      </c>
      <c r="E118" s="1">
        <v>50.0</v>
      </c>
      <c r="F118" s="1">
        <v>2.0</v>
      </c>
      <c r="G118" s="1">
        <v>8.0</v>
      </c>
      <c r="H118" s="1" t="s">
        <v>14</v>
      </c>
      <c r="I118" s="2">
        <v>46078.0</v>
      </c>
      <c r="J118" s="1">
        <v>125000.0</v>
      </c>
      <c r="K118" s="2">
        <v>46054.0</v>
      </c>
    </row>
    <row r="119">
      <c r="A119" s="1" t="s">
        <v>64</v>
      </c>
      <c r="B119" s="1" t="s">
        <v>65</v>
      </c>
      <c r="C119" s="1" t="s">
        <v>42</v>
      </c>
      <c r="D119" s="1">
        <v>32.0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45865.0</v>
      </c>
      <c r="J119" s="1">
        <v>750000.0</v>
      </c>
      <c r="K119" s="2">
        <v>45839.0</v>
      </c>
    </row>
    <row r="120">
      <c r="A120" s="1" t="s">
        <v>25</v>
      </c>
      <c r="B120" s="1" t="s">
        <v>26</v>
      </c>
      <c r="C120" s="1" t="s">
        <v>17</v>
      </c>
      <c r="D120" s="1">
        <v>32.0</v>
      </c>
      <c r="E120" s="1">
        <v>25.0</v>
      </c>
      <c r="F120" s="1">
        <v>3.0</v>
      </c>
      <c r="G120" s="1">
        <v>8.0</v>
      </c>
      <c r="H120" s="1" t="s">
        <v>27</v>
      </c>
      <c r="I120" s="2">
        <v>45755.0</v>
      </c>
      <c r="J120" s="1">
        <v>4500000.0</v>
      </c>
      <c r="K120" s="2">
        <v>45748.0</v>
      </c>
    </row>
    <row r="121">
      <c r="A121" s="1" t="s">
        <v>48</v>
      </c>
      <c r="B121" s="1" t="s">
        <v>49</v>
      </c>
      <c r="C121" s="1" t="s">
        <v>36</v>
      </c>
      <c r="D121" s="1">
        <v>154.0</v>
      </c>
      <c r="E121" s="1">
        <v>120.0</v>
      </c>
      <c r="F121" s="1">
        <v>19.0</v>
      </c>
      <c r="G121" s="1">
        <v>6.0</v>
      </c>
      <c r="H121" s="1" t="s">
        <v>50</v>
      </c>
      <c r="I121" s="2">
        <v>45978.0</v>
      </c>
      <c r="J121" s="1">
        <v>55000.0</v>
      </c>
      <c r="K121" s="2">
        <v>45962.0</v>
      </c>
    </row>
    <row r="122">
      <c r="A122" s="1" t="s">
        <v>28</v>
      </c>
      <c r="B122" s="1" t="s">
        <v>29</v>
      </c>
      <c r="C122" s="1" t="s">
        <v>23</v>
      </c>
      <c r="D122" s="1">
        <v>18.0</v>
      </c>
      <c r="E122" s="1">
        <v>35.0</v>
      </c>
      <c r="F122" s="1">
        <v>7.0</v>
      </c>
      <c r="G122" s="1">
        <v>5.0</v>
      </c>
      <c r="H122" s="1" t="s">
        <v>30</v>
      </c>
      <c r="I122" s="2">
        <v>45859.0</v>
      </c>
      <c r="J122" s="1">
        <v>1250000.0</v>
      </c>
      <c r="K122" s="2">
        <v>45839.0</v>
      </c>
    </row>
    <row r="123" hidden="1">
      <c r="A123" s="1" t="s">
        <v>57</v>
      </c>
      <c r="B123" s="1" t="s">
        <v>58</v>
      </c>
      <c r="C123" s="1" t="s">
        <v>42</v>
      </c>
      <c r="D123" s="1">
        <v>14.0</v>
      </c>
      <c r="E123" s="1">
        <v>25.0</v>
      </c>
      <c r="F123" s="1">
        <v>5.0</v>
      </c>
      <c r="G123" s="1">
        <v>9.0</v>
      </c>
      <c r="H123" s="1" t="s">
        <v>59</v>
      </c>
      <c r="I123" s="2">
        <v>45816.0</v>
      </c>
      <c r="K123" s="2">
        <v>45809.0</v>
      </c>
    </row>
    <row r="124">
      <c r="A124" s="1" t="s">
        <v>44</v>
      </c>
      <c r="B124" s="1" t="s">
        <v>45</v>
      </c>
      <c r="C124" s="1" t="s">
        <v>42</v>
      </c>
      <c r="D124" s="1">
        <v>34.0</v>
      </c>
      <c r="E124" s="1">
        <v>30.0</v>
      </c>
      <c r="F124" s="1">
        <v>5.0</v>
      </c>
      <c r="G124" s="1">
        <v>5.0</v>
      </c>
      <c r="H124" s="1" t="s">
        <v>43</v>
      </c>
      <c r="I124" s="2">
        <v>46007.0</v>
      </c>
      <c r="J124" s="1">
        <v>350000.0</v>
      </c>
      <c r="K124" s="2">
        <v>45992.0</v>
      </c>
    </row>
    <row r="125">
      <c r="A125" s="1" t="s">
        <v>38</v>
      </c>
      <c r="B125" s="1" t="s">
        <v>39</v>
      </c>
      <c r="C125" s="1" t="s">
        <v>23</v>
      </c>
      <c r="D125" s="1">
        <v>0.0</v>
      </c>
      <c r="E125" s="1">
        <v>45.0</v>
      </c>
      <c r="F125" s="1">
        <v>13.0</v>
      </c>
      <c r="G125" s="1">
        <v>7.0</v>
      </c>
      <c r="H125" s="1" t="s">
        <v>24</v>
      </c>
      <c r="I125" s="2">
        <v>46015.0</v>
      </c>
      <c r="J125" s="1">
        <v>450000.0</v>
      </c>
      <c r="K125" s="2">
        <v>45992.0</v>
      </c>
    </row>
    <row r="126">
      <c r="A126" s="1" t="s">
        <v>34</v>
      </c>
      <c r="B126" s="1" t="s">
        <v>35</v>
      </c>
      <c r="C126" s="1" t="s">
        <v>36</v>
      </c>
      <c r="D126" s="1">
        <v>17.0</v>
      </c>
      <c r="E126" s="1">
        <v>80.0</v>
      </c>
      <c r="F126" s="1">
        <v>11.0</v>
      </c>
      <c r="G126" s="1">
        <v>5.0</v>
      </c>
      <c r="H126" s="1" t="s">
        <v>37</v>
      </c>
      <c r="I126" s="2">
        <v>45882.0</v>
      </c>
      <c r="J126" s="1">
        <v>65000.0</v>
      </c>
      <c r="K126" s="2">
        <v>45870.0</v>
      </c>
    </row>
    <row r="127">
      <c r="A127" s="1" t="s">
        <v>51</v>
      </c>
      <c r="B127" s="1" t="s">
        <v>52</v>
      </c>
      <c r="C127" s="1" t="s">
        <v>36</v>
      </c>
      <c r="D127" s="1">
        <v>0.0</v>
      </c>
      <c r="E127" s="1">
        <v>60.0</v>
      </c>
      <c r="F127" s="1">
        <v>14.0</v>
      </c>
      <c r="G127" s="1">
        <v>4.0</v>
      </c>
      <c r="H127" s="1" t="s">
        <v>50</v>
      </c>
      <c r="I127" s="2">
        <v>45741.0</v>
      </c>
      <c r="J127" s="1">
        <v>175000.0</v>
      </c>
      <c r="K127" s="2">
        <v>45717.0</v>
      </c>
    </row>
    <row r="128">
      <c r="A128" s="1" t="s">
        <v>40</v>
      </c>
      <c r="B128" s="1" t="s">
        <v>41</v>
      </c>
      <c r="C128" s="1" t="s">
        <v>42</v>
      </c>
      <c r="D128" s="1">
        <v>13.0</v>
      </c>
      <c r="E128" s="1">
        <v>15.0</v>
      </c>
      <c r="F128" s="1">
        <v>2.0</v>
      </c>
      <c r="G128" s="1">
        <v>7.0</v>
      </c>
      <c r="H128" s="1" t="s">
        <v>43</v>
      </c>
      <c r="I128" s="2">
        <v>45799.0</v>
      </c>
      <c r="J128" s="1">
        <v>1200000.0</v>
      </c>
      <c r="K128" s="2">
        <v>45778.0</v>
      </c>
    </row>
    <row r="129">
      <c r="A129" s="1" t="s">
        <v>34</v>
      </c>
      <c r="B129" s="1" t="s">
        <v>35</v>
      </c>
      <c r="C129" s="1" t="s">
        <v>36</v>
      </c>
      <c r="D129" s="1">
        <v>9.0</v>
      </c>
      <c r="E129" s="1">
        <v>80.0</v>
      </c>
      <c r="F129" s="1">
        <v>11.0</v>
      </c>
      <c r="G129" s="1">
        <v>4.0</v>
      </c>
      <c r="H129" s="1" t="s">
        <v>37</v>
      </c>
      <c r="I129" s="2">
        <v>46077.0</v>
      </c>
      <c r="J129" s="1">
        <v>65000.0</v>
      </c>
      <c r="K129" s="2">
        <v>46054.0</v>
      </c>
    </row>
    <row r="130">
      <c r="A130" s="1" t="s">
        <v>53</v>
      </c>
      <c r="B130" s="1" t="s">
        <v>54</v>
      </c>
      <c r="C130" s="1" t="s">
        <v>13</v>
      </c>
      <c r="D130" s="1">
        <v>202.0</v>
      </c>
      <c r="E130" s="1">
        <v>60.0</v>
      </c>
      <c r="F130" s="1">
        <v>2.0</v>
      </c>
      <c r="G130" s="1">
        <v>4.0</v>
      </c>
      <c r="H130" s="1" t="s">
        <v>14</v>
      </c>
      <c r="I130" s="2">
        <v>46019.0</v>
      </c>
      <c r="J130" s="1">
        <v>165000.0</v>
      </c>
      <c r="K130" s="2">
        <v>45992.0</v>
      </c>
    </row>
    <row r="131">
      <c r="A131" s="1" t="s">
        <v>53</v>
      </c>
      <c r="B131" s="1" t="s">
        <v>54</v>
      </c>
      <c r="C131" s="1" t="s">
        <v>13</v>
      </c>
      <c r="D131" s="1">
        <v>252.0</v>
      </c>
      <c r="E131" s="1">
        <v>60.0</v>
      </c>
      <c r="F131" s="1">
        <v>4.0</v>
      </c>
      <c r="G131" s="1">
        <v>7.0</v>
      </c>
      <c r="H131" s="1" t="s">
        <v>14</v>
      </c>
      <c r="I131" s="2">
        <v>45930.0</v>
      </c>
      <c r="J131" s="1">
        <v>165000.0</v>
      </c>
      <c r="K131" s="2">
        <v>45901.0</v>
      </c>
    </row>
    <row r="132">
      <c r="A132" s="1" t="s">
        <v>64</v>
      </c>
      <c r="B132" s="1" t="s">
        <v>65</v>
      </c>
      <c r="C132" s="1" t="s">
        <v>42</v>
      </c>
      <c r="D132" s="1">
        <v>20.0</v>
      </c>
      <c r="E132" s="1">
        <v>20.0</v>
      </c>
      <c r="F132" s="1">
        <v>2.0</v>
      </c>
      <c r="G132" s="1">
        <v>7.0</v>
      </c>
      <c r="H132" s="1" t="s">
        <v>59</v>
      </c>
      <c r="I132" s="2">
        <v>46027.0</v>
      </c>
      <c r="J132" s="1">
        <v>750000.0</v>
      </c>
      <c r="K132" s="2">
        <v>46023.0</v>
      </c>
    </row>
    <row r="133">
      <c r="A133" s="1" t="s">
        <v>31</v>
      </c>
      <c r="B133" s="1" t="s">
        <v>32</v>
      </c>
      <c r="C133" s="1" t="s">
        <v>13</v>
      </c>
      <c r="D133" s="1">
        <v>153.0</v>
      </c>
      <c r="E133" s="1">
        <v>40.0</v>
      </c>
      <c r="F133" s="1">
        <v>4.0</v>
      </c>
      <c r="G133" s="1">
        <v>5.0</v>
      </c>
      <c r="H133" s="1" t="s">
        <v>33</v>
      </c>
      <c r="I133" s="2">
        <v>46097.0</v>
      </c>
      <c r="J133" s="1">
        <v>550000.0</v>
      </c>
      <c r="K133" s="2">
        <v>46082.0</v>
      </c>
    </row>
    <row r="134">
      <c r="A134" s="1" t="s">
        <v>57</v>
      </c>
      <c r="B134" s="1" t="s">
        <v>58</v>
      </c>
      <c r="C134" s="1" t="s">
        <v>42</v>
      </c>
      <c r="D134" s="1">
        <v>41.0</v>
      </c>
      <c r="E134" s="1">
        <v>25.0</v>
      </c>
      <c r="F134" s="1">
        <v>4.0</v>
      </c>
      <c r="G134" s="1">
        <v>10.0</v>
      </c>
      <c r="H134" s="1" t="s">
        <v>59</v>
      </c>
      <c r="I134" s="2">
        <v>45801.0</v>
      </c>
      <c r="J134" s="1">
        <v>450000.0</v>
      </c>
      <c r="K134" s="2">
        <v>45778.0</v>
      </c>
    </row>
    <row r="135" hidden="1">
      <c r="A135" s="1" t="s">
        <v>62</v>
      </c>
      <c r="B135" s="1" t="s">
        <v>63</v>
      </c>
      <c r="C135" s="1" t="s">
        <v>13</v>
      </c>
      <c r="D135" s="1">
        <v>405.0</v>
      </c>
      <c r="E135" s="1">
        <v>80.0</v>
      </c>
      <c r="G135" s="1">
        <v>5.0</v>
      </c>
      <c r="H135" s="1" t="s">
        <v>33</v>
      </c>
      <c r="I135" s="2">
        <v>45663.0</v>
      </c>
      <c r="J135" s="1">
        <v>85000.0</v>
      </c>
      <c r="K135" s="2">
        <v>45658.0</v>
      </c>
    </row>
    <row r="136">
      <c r="A136" s="1" t="s">
        <v>64</v>
      </c>
      <c r="B136" s="1" t="s">
        <v>65</v>
      </c>
      <c r="C136" s="1" t="s">
        <v>42</v>
      </c>
      <c r="D136" s="1">
        <v>32.0</v>
      </c>
      <c r="E136" s="1">
        <v>20.0</v>
      </c>
      <c r="F136" s="1">
        <v>1.0</v>
      </c>
      <c r="G136" s="1">
        <v>8.0</v>
      </c>
      <c r="H136" s="1" t="s">
        <v>59</v>
      </c>
      <c r="I136" s="2">
        <v>45955.0</v>
      </c>
      <c r="J136" s="1">
        <v>750000.0</v>
      </c>
      <c r="K136" s="2">
        <v>45931.0</v>
      </c>
    </row>
    <row r="137">
      <c r="A137" s="1" t="s">
        <v>60</v>
      </c>
      <c r="B137" s="1" t="s">
        <v>61</v>
      </c>
      <c r="C137" s="1" t="s">
        <v>17</v>
      </c>
      <c r="D137" s="1">
        <v>0.0</v>
      </c>
      <c r="E137" s="1">
        <v>20.0</v>
      </c>
      <c r="F137" s="1">
        <v>3.0</v>
      </c>
      <c r="G137" s="1">
        <v>7.0</v>
      </c>
      <c r="H137" s="1" t="s">
        <v>27</v>
      </c>
      <c r="I137" s="2">
        <v>45919.0</v>
      </c>
      <c r="J137" s="1">
        <v>3200000.0</v>
      </c>
      <c r="K137" s="2">
        <v>45901.0</v>
      </c>
    </row>
    <row r="138">
      <c r="A138" s="1" t="s">
        <v>62</v>
      </c>
      <c r="B138" s="1" t="s">
        <v>63</v>
      </c>
      <c r="C138" s="1" t="s">
        <v>13</v>
      </c>
      <c r="D138" s="1">
        <v>255.0</v>
      </c>
      <c r="E138" s="1">
        <v>80.0</v>
      </c>
      <c r="F138" s="1">
        <v>4.0</v>
      </c>
      <c r="G138" s="1">
        <v>6.0</v>
      </c>
      <c r="H138" s="1" t="s">
        <v>33</v>
      </c>
      <c r="I138" s="2">
        <v>46001.0</v>
      </c>
      <c r="J138" s="1">
        <v>85000.0</v>
      </c>
      <c r="K138" s="2">
        <v>45992.0</v>
      </c>
    </row>
    <row r="139">
      <c r="A139" s="1" t="s">
        <v>31</v>
      </c>
      <c r="B139" s="1" t="s">
        <v>32</v>
      </c>
      <c r="C139" s="1" t="s">
        <v>13</v>
      </c>
      <c r="D139" s="1">
        <v>168.0</v>
      </c>
      <c r="E139" s="1">
        <v>40.0</v>
      </c>
      <c r="F139" s="1">
        <v>3.0</v>
      </c>
      <c r="G139" s="1">
        <v>5.0</v>
      </c>
      <c r="H139" s="1" t="s">
        <v>33</v>
      </c>
      <c r="I139" s="2">
        <v>45709.0</v>
      </c>
      <c r="J139" s="1">
        <v>550000.0</v>
      </c>
      <c r="K139" s="2">
        <v>45689.0</v>
      </c>
    </row>
    <row r="140">
      <c r="A140" s="1" t="s">
        <v>57</v>
      </c>
      <c r="B140" s="1" t="s">
        <v>58</v>
      </c>
      <c r="C140" s="1" t="s">
        <v>42</v>
      </c>
      <c r="D140" s="1">
        <v>58.0</v>
      </c>
      <c r="E140" s="1">
        <v>25.0</v>
      </c>
      <c r="F140" s="1">
        <v>1.0</v>
      </c>
      <c r="G140" s="1">
        <v>10.0</v>
      </c>
      <c r="H140" s="1" t="s">
        <v>59</v>
      </c>
      <c r="I140" s="2">
        <v>45952.0</v>
      </c>
      <c r="J140" s="1">
        <v>450000.0</v>
      </c>
      <c r="K140" s="2">
        <v>45931.0</v>
      </c>
    </row>
    <row r="141">
      <c r="A141" s="1" t="s">
        <v>46</v>
      </c>
      <c r="B141" s="1" t="s">
        <v>47</v>
      </c>
      <c r="C141" s="1" t="s">
        <v>23</v>
      </c>
      <c r="D141" s="1">
        <v>42.0</v>
      </c>
      <c r="E141" s="1">
        <v>40.0</v>
      </c>
      <c r="F141" s="1">
        <v>4.0</v>
      </c>
      <c r="G141" s="1">
        <v>7.0</v>
      </c>
      <c r="H141" s="1" t="s">
        <v>30</v>
      </c>
      <c r="I141" s="2">
        <v>45889.0</v>
      </c>
      <c r="J141" s="1">
        <v>550000.0</v>
      </c>
      <c r="K141" s="2">
        <v>45870.0</v>
      </c>
    </row>
    <row r="142">
      <c r="A142" s="1" t="s">
        <v>44</v>
      </c>
      <c r="B142" s="1" t="s">
        <v>45</v>
      </c>
      <c r="C142" s="1" t="s">
        <v>42</v>
      </c>
      <c r="D142" s="1">
        <v>35.0</v>
      </c>
      <c r="E142" s="1">
        <v>30.0</v>
      </c>
      <c r="F142" s="1">
        <v>5.0</v>
      </c>
      <c r="G142" s="1">
        <v>6.0</v>
      </c>
      <c r="H142" s="1" t="s">
        <v>43</v>
      </c>
      <c r="I142" s="2">
        <v>46048.0</v>
      </c>
      <c r="J142" s="1">
        <v>350000.0</v>
      </c>
      <c r="K142" s="2">
        <v>46023.0</v>
      </c>
    </row>
    <row r="143">
      <c r="A143" s="1" t="s">
        <v>46</v>
      </c>
      <c r="B143" s="1" t="s">
        <v>47</v>
      </c>
      <c r="C143" s="1" t="s">
        <v>23</v>
      </c>
      <c r="D143" s="1">
        <v>36.0</v>
      </c>
      <c r="E143" s="1">
        <v>40.0</v>
      </c>
      <c r="F143" s="1">
        <v>6.0</v>
      </c>
      <c r="G143" s="1">
        <v>4.0</v>
      </c>
      <c r="H143" s="1" t="s">
        <v>30</v>
      </c>
      <c r="I143" s="2">
        <v>46044.0</v>
      </c>
      <c r="J143" s="1">
        <v>550000.0</v>
      </c>
      <c r="K143" s="2">
        <v>46023.0</v>
      </c>
    </row>
    <row r="144">
      <c r="A144" s="1" t="s">
        <v>48</v>
      </c>
      <c r="B144" s="1" t="s">
        <v>49</v>
      </c>
      <c r="C144" s="1" t="s">
        <v>36</v>
      </c>
      <c r="D144" s="1">
        <v>87.0</v>
      </c>
      <c r="E144" s="1">
        <v>120.0</v>
      </c>
      <c r="F144" s="1">
        <v>18.0</v>
      </c>
      <c r="G144" s="1">
        <v>7.0</v>
      </c>
      <c r="H144" s="1" t="s">
        <v>50</v>
      </c>
      <c r="I144" s="2">
        <v>45748.0</v>
      </c>
      <c r="J144" s="1">
        <v>55000.0</v>
      </c>
      <c r="K144" s="2">
        <v>45748.0</v>
      </c>
    </row>
    <row r="145">
      <c r="A145" s="1" t="s">
        <v>51</v>
      </c>
      <c r="B145" s="1" t="s">
        <v>52</v>
      </c>
      <c r="C145" s="1" t="s">
        <v>36</v>
      </c>
      <c r="D145" s="1">
        <v>35.0</v>
      </c>
      <c r="E145" s="1">
        <v>60.0</v>
      </c>
      <c r="F145" s="1">
        <v>6.0</v>
      </c>
      <c r="G145" s="1">
        <v>7.0</v>
      </c>
      <c r="H145" s="1" t="s">
        <v>50</v>
      </c>
      <c r="I145" s="2">
        <v>46221.0</v>
      </c>
      <c r="J145" s="1">
        <v>175000.0</v>
      </c>
      <c r="K145" s="2">
        <v>46023.0</v>
      </c>
    </row>
    <row r="146">
      <c r="A146" s="1" t="s">
        <v>40</v>
      </c>
      <c r="B146" s="1" t="s">
        <v>41</v>
      </c>
      <c r="C146" s="1" t="s">
        <v>42</v>
      </c>
      <c r="D146" s="1">
        <v>32.0</v>
      </c>
      <c r="E146" s="1">
        <v>15.0</v>
      </c>
      <c r="F146" s="1">
        <v>1.0</v>
      </c>
      <c r="G146" s="1">
        <v>8.0</v>
      </c>
      <c r="H146" s="1" t="s">
        <v>43</v>
      </c>
      <c r="I146" s="2">
        <v>46079.0</v>
      </c>
      <c r="J146" s="1">
        <v>1200000.0</v>
      </c>
      <c r="K146" s="2">
        <v>46054.0</v>
      </c>
    </row>
    <row r="147">
      <c r="A147" s="1" t="s">
        <v>31</v>
      </c>
      <c r="B147" s="1" t="s">
        <v>32</v>
      </c>
      <c r="C147" s="1" t="s">
        <v>13</v>
      </c>
      <c r="D147" s="1">
        <v>139.0</v>
      </c>
      <c r="E147" s="1">
        <v>40.0</v>
      </c>
      <c r="F147" s="1">
        <v>2.0</v>
      </c>
      <c r="G147" s="1">
        <v>6.0</v>
      </c>
      <c r="H147" s="1" t="s">
        <v>33</v>
      </c>
      <c r="I147" s="2">
        <v>45845.0</v>
      </c>
      <c r="J147" s="1">
        <v>550000.0</v>
      </c>
      <c r="K147" s="2">
        <v>45839.0</v>
      </c>
    </row>
    <row r="148">
      <c r="A148" s="1" t="s">
        <v>31</v>
      </c>
      <c r="B148" s="1" t="s">
        <v>32</v>
      </c>
      <c r="C148" s="1" t="s">
        <v>13</v>
      </c>
      <c r="D148" s="1">
        <v>169.0</v>
      </c>
      <c r="E148" s="1">
        <v>40.0</v>
      </c>
      <c r="F148" s="1">
        <v>3.0</v>
      </c>
      <c r="G148" s="1">
        <v>4.0</v>
      </c>
      <c r="H148" s="1" t="s">
        <v>33</v>
      </c>
      <c r="I148" s="2">
        <v>46074.0</v>
      </c>
      <c r="J148" s="1">
        <v>550000.0</v>
      </c>
      <c r="K148" s="2">
        <v>46054.0</v>
      </c>
    </row>
    <row r="149">
      <c r="A149" s="1" t="s">
        <v>15</v>
      </c>
      <c r="B149" s="1" t="s">
        <v>16</v>
      </c>
      <c r="C149" s="1" t="s">
        <v>17</v>
      </c>
      <c r="D149" s="1">
        <v>25.0</v>
      </c>
      <c r="E149" s="1">
        <v>15.0</v>
      </c>
      <c r="F149" s="1">
        <v>2.0</v>
      </c>
      <c r="G149" s="1">
        <v>8.0</v>
      </c>
      <c r="H149" s="1" t="s">
        <v>18</v>
      </c>
      <c r="I149" s="2">
        <v>45718.0</v>
      </c>
      <c r="J149" s="1">
        <v>8500000.0</v>
      </c>
      <c r="K149" s="2">
        <v>45717.0</v>
      </c>
    </row>
    <row r="150">
      <c r="A150" s="1" t="s">
        <v>46</v>
      </c>
      <c r="B150" s="1" t="s">
        <v>47</v>
      </c>
      <c r="C150" s="1" t="s">
        <v>23</v>
      </c>
      <c r="D150" s="1">
        <v>0.0</v>
      </c>
      <c r="E150" s="1">
        <v>40.0</v>
      </c>
      <c r="F150" s="1">
        <v>8.0</v>
      </c>
      <c r="G150" s="1">
        <v>8.0</v>
      </c>
      <c r="H150" s="1" t="s">
        <v>30</v>
      </c>
      <c r="I150" s="2">
        <v>45964.0</v>
      </c>
      <c r="J150" s="1">
        <v>550000.0</v>
      </c>
      <c r="K150" s="2">
        <v>45962.0</v>
      </c>
    </row>
    <row r="151">
      <c r="A151" s="1" t="s">
        <v>21</v>
      </c>
      <c r="B151" s="1" t="s">
        <v>22</v>
      </c>
      <c r="C151" s="1" t="s">
        <v>23</v>
      </c>
      <c r="D151" s="1">
        <v>28.0</v>
      </c>
      <c r="E151" s="1">
        <v>50.0</v>
      </c>
      <c r="F151" s="1">
        <v>7.0</v>
      </c>
      <c r="G151" s="1">
        <v>7.0</v>
      </c>
      <c r="H151" s="1" t="s">
        <v>24</v>
      </c>
      <c r="I151" s="2">
        <v>45939.0</v>
      </c>
      <c r="J151" s="1">
        <v>350000.0</v>
      </c>
      <c r="K151" s="2">
        <v>45931.0</v>
      </c>
    </row>
    <row r="152">
      <c r="A152" s="1" t="s">
        <v>11</v>
      </c>
      <c r="B152" s="1" t="s">
        <v>12</v>
      </c>
      <c r="C152" s="1" t="s">
        <v>13</v>
      </c>
      <c r="D152" s="1">
        <v>230.0</v>
      </c>
      <c r="E152" s="1">
        <v>50.0</v>
      </c>
      <c r="F152" s="1">
        <v>1.0</v>
      </c>
      <c r="G152" s="1">
        <v>4.0</v>
      </c>
      <c r="H152" s="1" t="s">
        <v>14</v>
      </c>
      <c r="I152" s="2">
        <v>45939.0</v>
      </c>
      <c r="J152" s="1">
        <v>125000.0</v>
      </c>
      <c r="K152" s="2">
        <v>45931.0</v>
      </c>
    </row>
    <row r="153">
      <c r="A153" s="1" t="s">
        <v>64</v>
      </c>
      <c r="B153" s="1" t="s">
        <v>65</v>
      </c>
      <c r="C153" s="1" t="s">
        <v>42</v>
      </c>
      <c r="D153" s="1">
        <v>27.0</v>
      </c>
      <c r="E153" s="1">
        <v>20.0</v>
      </c>
      <c r="F153" s="1">
        <v>3.0</v>
      </c>
      <c r="G153" s="1">
        <v>9.0</v>
      </c>
      <c r="H153" s="1" t="s">
        <v>59</v>
      </c>
      <c r="I153" s="2">
        <v>45673.0</v>
      </c>
      <c r="J153" s="1">
        <v>750000.0</v>
      </c>
      <c r="K153" s="2">
        <v>45658.0</v>
      </c>
    </row>
    <row r="154">
      <c r="A154" s="1" t="s">
        <v>53</v>
      </c>
      <c r="B154" s="1" t="s">
        <v>54</v>
      </c>
      <c r="C154" s="1" t="s">
        <v>13</v>
      </c>
      <c r="D154" s="1">
        <v>305.0</v>
      </c>
      <c r="E154" s="1">
        <v>60.0</v>
      </c>
      <c r="F154" s="1">
        <v>4.0</v>
      </c>
      <c r="G154" s="1">
        <v>4.0</v>
      </c>
      <c r="H154" s="1" t="s">
        <v>14</v>
      </c>
      <c r="I154" s="2">
        <v>46068.0</v>
      </c>
      <c r="J154" s="1">
        <v>165000.0</v>
      </c>
      <c r="K154" s="2">
        <v>46054.0</v>
      </c>
    </row>
    <row r="155">
      <c r="A155" s="1" t="s">
        <v>34</v>
      </c>
      <c r="B155" s="1" t="s">
        <v>35</v>
      </c>
      <c r="C155" s="1" t="s">
        <v>36</v>
      </c>
      <c r="D155" s="1">
        <v>56.0</v>
      </c>
      <c r="E155" s="1">
        <v>80.0</v>
      </c>
      <c r="F155" s="1">
        <v>18.0</v>
      </c>
      <c r="G155" s="1">
        <v>5.0</v>
      </c>
      <c r="H155" s="1" t="s">
        <v>37</v>
      </c>
      <c r="I155" s="2">
        <v>46110.0</v>
      </c>
      <c r="J155" s="1">
        <v>65000.0</v>
      </c>
      <c r="K155" s="2">
        <v>46082.0</v>
      </c>
    </row>
    <row r="156">
      <c r="A156" s="1" t="s">
        <v>64</v>
      </c>
      <c r="B156" s="1" t="s">
        <v>65</v>
      </c>
      <c r="C156" s="1" t="s">
        <v>42</v>
      </c>
      <c r="D156" s="1">
        <v>42.0</v>
      </c>
      <c r="E156" s="1">
        <v>20.0</v>
      </c>
      <c r="F156" s="1">
        <v>1.0</v>
      </c>
      <c r="G156" s="1">
        <v>10.0</v>
      </c>
      <c r="H156" s="1" t="s">
        <v>59</v>
      </c>
      <c r="I156" s="2">
        <v>45884.0</v>
      </c>
      <c r="J156" s="1">
        <v>750000.0</v>
      </c>
      <c r="K156" s="2">
        <v>45870.0</v>
      </c>
    </row>
    <row r="157">
      <c r="A157" s="1" t="s">
        <v>21</v>
      </c>
      <c r="B157" s="1" t="s">
        <v>22</v>
      </c>
      <c r="C157" s="1" t="s">
        <v>23</v>
      </c>
      <c r="D157" s="1">
        <v>0.0</v>
      </c>
      <c r="E157" s="1">
        <v>50.0</v>
      </c>
      <c r="F157" s="1">
        <v>14.0</v>
      </c>
      <c r="G157" s="1">
        <v>5.0</v>
      </c>
      <c r="H157" s="1" t="s">
        <v>24</v>
      </c>
      <c r="I157" s="2">
        <v>46101.0</v>
      </c>
      <c r="J157" s="1">
        <v>350000.0</v>
      </c>
      <c r="K157" s="2">
        <v>46082.0</v>
      </c>
    </row>
    <row r="158">
      <c r="A158" s="1" t="s">
        <v>25</v>
      </c>
      <c r="B158" s="1" t="s">
        <v>26</v>
      </c>
      <c r="C158" s="1" t="s">
        <v>17</v>
      </c>
      <c r="D158" s="1">
        <v>23.0</v>
      </c>
      <c r="E158" s="1">
        <v>25.0</v>
      </c>
      <c r="F158" s="1">
        <v>6.0</v>
      </c>
      <c r="G158" s="1">
        <v>10.0</v>
      </c>
      <c r="H158" s="1" t="s">
        <v>27</v>
      </c>
      <c r="I158" s="2">
        <v>46109.0</v>
      </c>
      <c r="J158" s="1">
        <v>4500000.0</v>
      </c>
      <c r="K158" s="2">
        <v>46082.0</v>
      </c>
    </row>
    <row r="159">
      <c r="A159" s="1" t="s">
        <v>38</v>
      </c>
      <c r="B159" s="1" t="s">
        <v>39</v>
      </c>
      <c r="C159" s="1" t="s">
        <v>23</v>
      </c>
      <c r="D159" s="1">
        <v>17.0</v>
      </c>
      <c r="E159" s="1">
        <v>45.0</v>
      </c>
      <c r="F159" s="1">
        <v>7.0</v>
      </c>
      <c r="G159" s="1">
        <v>3.0</v>
      </c>
      <c r="H159" s="1" t="s">
        <v>24</v>
      </c>
      <c r="I159" s="2">
        <v>45910.0</v>
      </c>
      <c r="J159" s="1">
        <v>450000.0</v>
      </c>
      <c r="K159" s="2">
        <v>45901.0</v>
      </c>
    </row>
    <row r="160">
      <c r="A160" s="1" t="s">
        <v>48</v>
      </c>
      <c r="B160" s="1" t="s">
        <v>49</v>
      </c>
      <c r="C160" s="1" t="s">
        <v>36</v>
      </c>
      <c r="D160" s="1">
        <v>30.0</v>
      </c>
      <c r="E160" s="1">
        <v>120.0</v>
      </c>
      <c r="F160" s="1">
        <v>18.0</v>
      </c>
      <c r="G160" s="1">
        <v>4.0</v>
      </c>
      <c r="H160" s="1" t="s">
        <v>50</v>
      </c>
      <c r="I160" s="2">
        <v>46053.0</v>
      </c>
      <c r="J160" s="1">
        <v>55000.0</v>
      </c>
      <c r="K160" s="2">
        <v>46023.0</v>
      </c>
    </row>
    <row r="161">
      <c r="A161" s="1" t="s">
        <v>46</v>
      </c>
      <c r="B161" s="1" t="s">
        <v>47</v>
      </c>
      <c r="C161" s="1" t="s">
        <v>23</v>
      </c>
      <c r="D161" s="1">
        <v>0.0</v>
      </c>
      <c r="E161" s="1">
        <v>40.0</v>
      </c>
      <c r="F161" s="1">
        <v>9.0</v>
      </c>
      <c r="G161" s="1">
        <v>8.0</v>
      </c>
      <c r="H161" s="1" t="s">
        <v>30</v>
      </c>
      <c r="I161" s="2">
        <v>45730.0</v>
      </c>
      <c r="J161" s="1">
        <v>550000.0</v>
      </c>
      <c r="K161" s="2">
        <v>45717.0</v>
      </c>
    </row>
    <row r="162">
      <c r="A162" s="1" t="s">
        <v>55</v>
      </c>
      <c r="B162" s="1" t="s">
        <v>56</v>
      </c>
      <c r="C162" s="1" t="s">
        <v>36</v>
      </c>
      <c r="D162" s="1">
        <v>92.0</v>
      </c>
      <c r="E162" s="1">
        <v>100.0</v>
      </c>
      <c r="F162" s="1">
        <v>15.0</v>
      </c>
      <c r="G162" s="1">
        <v>5.0</v>
      </c>
      <c r="H162" s="1" t="s">
        <v>37</v>
      </c>
      <c r="I162" s="2">
        <v>45897.0</v>
      </c>
      <c r="J162" s="1">
        <v>85000.0</v>
      </c>
      <c r="K162" s="2">
        <v>45870.0</v>
      </c>
    </row>
    <row r="163">
      <c r="A163" s="1" t="s">
        <v>48</v>
      </c>
      <c r="B163" s="1" t="s">
        <v>49</v>
      </c>
      <c r="C163" s="1" t="s">
        <v>36</v>
      </c>
      <c r="D163" s="1">
        <v>39.0</v>
      </c>
      <c r="E163" s="1">
        <v>120.0</v>
      </c>
      <c r="F163" s="1">
        <v>19.0</v>
      </c>
      <c r="G163" s="1">
        <v>3.0</v>
      </c>
      <c r="H163" s="1" t="s">
        <v>50</v>
      </c>
      <c r="I163" s="2">
        <v>45936.0</v>
      </c>
      <c r="J163" s="1">
        <v>55000.0</v>
      </c>
      <c r="K163" s="2">
        <v>45931.0</v>
      </c>
    </row>
    <row r="164">
      <c r="A164" s="1" t="s">
        <v>64</v>
      </c>
      <c r="B164" s="1" t="s">
        <v>65</v>
      </c>
      <c r="C164" s="1" t="s">
        <v>42</v>
      </c>
      <c r="D164" s="1">
        <v>29.0</v>
      </c>
      <c r="E164" s="1">
        <v>20.0</v>
      </c>
      <c r="F164" s="1">
        <v>3.0</v>
      </c>
      <c r="G164" s="1">
        <v>9.0</v>
      </c>
      <c r="H164" s="1" t="s">
        <v>59</v>
      </c>
      <c r="I164" s="2">
        <v>46076.0</v>
      </c>
      <c r="J164" s="1">
        <v>750000.0</v>
      </c>
      <c r="K164" s="2">
        <v>46054.0</v>
      </c>
    </row>
    <row r="165">
      <c r="A165" s="1" t="s">
        <v>34</v>
      </c>
      <c r="B165" s="1" t="s">
        <v>35</v>
      </c>
      <c r="C165" s="1" t="s">
        <v>36</v>
      </c>
      <c r="D165" s="1">
        <v>40.0</v>
      </c>
      <c r="E165" s="1">
        <v>80.0</v>
      </c>
      <c r="F165" s="1">
        <v>12.0</v>
      </c>
      <c r="G165" s="1">
        <v>3.0</v>
      </c>
      <c r="H165" s="1" t="s">
        <v>37</v>
      </c>
      <c r="I165" s="2">
        <v>45673.0</v>
      </c>
      <c r="J165" s="1">
        <v>65000.0</v>
      </c>
      <c r="K165" s="2">
        <v>45658.0</v>
      </c>
    </row>
    <row r="166">
      <c r="A166" s="1" t="s">
        <v>11</v>
      </c>
      <c r="B166" s="1" t="s">
        <v>12</v>
      </c>
      <c r="C166" s="1" t="s">
        <v>13</v>
      </c>
      <c r="D166" s="1">
        <v>261.0</v>
      </c>
      <c r="E166" s="1">
        <v>50.0</v>
      </c>
      <c r="F166" s="1">
        <v>2.0</v>
      </c>
      <c r="G166" s="1">
        <v>5.0</v>
      </c>
      <c r="H166" s="1" t="s">
        <v>14</v>
      </c>
      <c r="I166" s="2">
        <v>45787.0</v>
      </c>
      <c r="J166" s="1">
        <v>125000.0</v>
      </c>
      <c r="K166" s="2">
        <v>45778.0</v>
      </c>
    </row>
    <row r="167">
      <c r="A167" s="1" t="s">
        <v>21</v>
      </c>
      <c r="B167" s="1" t="s">
        <v>22</v>
      </c>
      <c r="C167" s="1" t="s">
        <v>23</v>
      </c>
      <c r="D167" s="1">
        <v>42.0</v>
      </c>
      <c r="E167" s="1">
        <v>50.0</v>
      </c>
      <c r="F167" s="1">
        <v>6.0</v>
      </c>
      <c r="G167" s="1">
        <v>4.0</v>
      </c>
      <c r="H167" s="1" t="s">
        <v>24</v>
      </c>
      <c r="I167" s="2">
        <v>45817.0</v>
      </c>
      <c r="J167" s="1">
        <v>350000.0</v>
      </c>
      <c r="K167" s="2">
        <v>45809.0</v>
      </c>
    </row>
    <row r="168">
      <c r="A168" s="1" t="s">
        <v>53</v>
      </c>
      <c r="B168" s="1" t="s">
        <v>54</v>
      </c>
      <c r="C168" s="1" t="s">
        <v>13</v>
      </c>
      <c r="D168" s="1">
        <v>188.0</v>
      </c>
      <c r="E168" s="1">
        <v>60.0</v>
      </c>
      <c r="F168" s="1">
        <v>3.0</v>
      </c>
      <c r="G168" s="1">
        <v>4.0</v>
      </c>
      <c r="H168" s="1" t="s">
        <v>14</v>
      </c>
      <c r="I168" s="2">
        <v>45659.0</v>
      </c>
      <c r="J168" s="1">
        <v>165000.0</v>
      </c>
      <c r="K168" s="2">
        <v>45658.0</v>
      </c>
    </row>
    <row r="169">
      <c r="A169" s="1" t="s">
        <v>38</v>
      </c>
      <c r="B169" s="1" t="s">
        <v>39</v>
      </c>
      <c r="C169" s="1" t="s">
        <v>23</v>
      </c>
      <c r="D169" s="1">
        <v>0.0</v>
      </c>
      <c r="E169" s="1">
        <v>45.0</v>
      </c>
      <c r="F169" s="1">
        <v>12.0</v>
      </c>
      <c r="G169" s="1">
        <v>4.0</v>
      </c>
      <c r="H169" s="1" t="s">
        <v>24</v>
      </c>
      <c r="I169" s="2">
        <v>45983.0</v>
      </c>
      <c r="J169" s="1">
        <v>450000.0</v>
      </c>
      <c r="K169" s="2">
        <v>45962.0</v>
      </c>
    </row>
    <row r="170">
      <c r="A170" s="1" t="s">
        <v>11</v>
      </c>
      <c r="B170" s="1" t="s">
        <v>12</v>
      </c>
      <c r="C170" s="1" t="s">
        <v>13</v>
      </c>
      <c r="D170" s="1">
        <v>252.0</v>
      </c>
      <c r="E170" s="1">
        <v>50.0</v>
      </c>
      <c r="F170" s="1">
        <v>3.0</v>
      </c>
      <c r="G170" s="1">
        <v>7.0</v>
      </c>
      <c r="H170" s="1" t="s">
        <v>14</v>
      </c>
      <c r="I170" s="2">
        <v>45713.0</v>
      </c>
      <c r="J170" s="1">
        <v>125000.0</v>
      </c>
      <c r="K170" s="2">
        <v>45689.0</v>
      </c>
    </row>
    <row r="171">
      <c r="A171" s="1" t="s">
        <v>40</v>
      </c>
      <c r="B171" s="1" t="s">
        <v>41</v>
      </c>
      <c r="C171" s="1" t="s">
        <v>42</v>
      </c>
      <c r="D171" s="1">
        <v>13.0</v>
      </c>
      <c r="E171" s="1">
        <v>15.0</v>
      </c>
      <c r="F171" s="1">
        <v>3.0</v>
      </c>
      <c r="G171" s="1">
        <v>6.0</v>
      </c>
      <c r="H171" s="1" t="s">
        <v>43</v>
      </c>
      <c r="I171" s="2">
        <v>45949.0</v>
      </c>
      <c r="J171" s="1">
        <v>1200000.0</v>
      </c>
      <c r="K171" s="2">
        <v>45931.0</v>
      </c>
    </row>
    <row r="172">
      <c r="A172" s="1" t="s">
        <v>15</v>
      </c>
      <c r="B172" s="1" t="s">
        <v>16</v>
      </c>
      <c r="C172" s="1" t="s">
        <v>17</v>
      </c>
      <c r="D172" s="1">
        <v>28.0</v>
      </c>
      <c r="E172" s="1">
        <v>15.0</v>
      </c>
      <c r="F172" s="1">
        <v>1.0</v>
      </c>
      <c r="G172" s="1">
        <v>7.0</v>
      </c>
      <c r="H172" s="1" t="s">
        <v>18</v>
      </c>
      <c r="I172" s="2">
        <v>46041.0</v>
      </c>
      <c r="J172" s="1">
        <v>8500000.0</v>
      </c>
      <c r="K172" s="2">
        <v>46023.0</v>
      </c>
    </row>
    <row r="173">
      <c r="A173" s="1" t="s">
        <v>60</v>
      </c>
      <c r="B173" s="1" t="s">
        <v>61</v>
      </c>
      <c r="C173" s="1" t="s">
        <v>17</v>
      </c>
      <c r="D173" s="1">
        <v>33.0</v>
      </c>
      <c r="E173" s="1">
        <v>20.0</v>
      </c>
      <c r="F173" s="1">
        <v>1.0</v>
      </c>
      <c r="G173" s="1">
        <v>12.0</v>
      </c>
      <c r="H173" s="1" t="s">
        <v>27</v>
      </c>
      <c r="I173" s="2">
        <v>45817.0</v>
      </c>
      <c r="J173" s="1">
        <v>3200000.0</v>
      </c>
      <c r="K173" s="2">
        <v>45809.0</v>
      </c>
    </row>
    <row r="174">
      <c r="A174" s="1" t="s">
        <v>25</v>
      </c>
      <c r="B174" s="1" t="s">
        <v>26</v>
      </c>
      <c r="C174" s="1" t="s">
        <v>17</v>
      </c>
      <c r="D174" s="1">
        <v>15.0</v>
      </c>
      <c r="E174" s="1">
        <v>25.0</v>
      </c>
      <c r="F174" s="1">
        <v>4.0</v>
      </c>
      <c r="G174" s="1">
        <v>15.0</v>
      </c>
      <c r="H174" s="1" t="s">
        <v>27</v>
      </c>
      <c r="I174" s="2">
        <v>46070.0</v>
      </c>
      <c r="J174" s="1">
        <v>4500000.0</v>
      </c>
      <c r="K174" s="2">
        <v>46054.0</v>
      </c>
    </row>
    <row r="175">
      <c r="A175" s="1" t="s">
        <v>44</v>
      </c>
      <c r="B175" s="1" t="s">
        <v>45</v>
      </c>
      <c r="C175" s="1" t="s">
        <v>42</v>
      </c>
      <c r="D175" s="1">
        <v>39.0</v>
      </c>
      <c r="E175" s="1">
        <v>30.0</v>
      </c>
      <c r="F175" s="1">
        <v>6.0</v>
      </c>
      <c r="G175" s="1">
        <v>10.0</v>
      </c>
      <c r="H175" s="1" t="s">
        <v>43</v>
      </c>
      <c r="I175" s="2">
        <v>45838.0</v>
      </c>
      <c r="J175" s="1">
        <v>350000.0</v>
      </c>
      <c r="K175" s="2">
        <v>45809.0</v>
      </c>
    </row>
    <row r="176">
      <c r="A176" s="1" t="s">
        <v>57</v>
      </c>
      <c r="B176" s="1" t="s">
        <v>58</v>
      </c>
      <c r="C176" s="1" t="s">
        <v>42</v>
      </c>
      <c r="D176" s="1">
        <v>43.0</v>
      </c>
      <c r="E176" s="1">
        <v>25.0</v>
      </c>
      <c r="F176" s="1">
        <v>4.0</v>
      </c>
      <c r="G176" s="1">
        <v>7.0</v>
      </c>
      <c r="H176" s="1" t="s">
        <v>59</v>
      </c>
      <c r="I176" s="2">
        <v>45896.0</v>
      </c>
      <c r="J176" s="1">
        <v>450000.0</v>
      </c>
      <c r="K176" s="2">
        <v>45870.0</v>
      </c>
    </row>
    <row r="177">
      <c r="A177" s="1" t="s">
        <v>62</v>
      </c>
      <c r="B177" s="1" t="s">
        <v>63</v>
      </c>
      <c r="C177" s="1" t="s">
        <v>13</v>
      </c>
      <c r="D177" s="1">
        <v>472.0</v>
      </c>
      <c r="E177" s="1">
        <v>80.0</v>
      </c>
      <c r="F177" s="1">
        <v>3.0</v>
      </c>
      <c r="G177" s="1">
        <v>4.0</v>
      </c>
      <c r="H177" s="1" t="s">
        <v>33</v>
      </c>
      <c r="I177" s="2">
        <v>45900.0</v>
      </c>
      <c r="J177" s="1">
        <v>85000.0</v>
      </c>
      <c r="K177" s="2">
        <v>45870.0</v>
      </c>
    </row>
    <row r="178">
      <c r="A178" s="1" t="s">
        <v>64</v>
      </c>
      <c r="B178" s="1" t="s">
        <v>65</v>
      </c>
      <c r="C178" s="1" t="s">
        <v>42</v>
      </c>
      <c r="D178" s="1">
        <v>14.0</v>
      </c>
      <c r="E178" s="1">
        <v>20.0</v>
      </c>
      <c r="F178" s="1">
        <v>2.0</v>
      </c>
      <c r="G178" s="1">
        <v>8.0</v>
      </c>
      <c r="H178" s="1" t="s">
        <v>59</v>
      </c>
      <c r="I178" s="2">
        <v>45999.0</v>
      </c>
      <c r="J178" s="1">
        <v>750000.0</v>
      </c>
      <c r="K178" s="2">
        <v>45992.0</v>
      </c>
    </row>
    <row r="179">
      <c r="A179" s="1" t="s">
        <v>44</v>
      </c>
      <c r="B179" s="1" t="s">
        <v>45</v>
      </c>
      <c r="C179" s="1" t="s">
        <v>42</v>
      </c>
      <c r="D179" s="1">
        <v>57.0</v>
      </c>
      <c r="E179" s="1">
        <v>30.0</v>
      </c>
      <c r="F179" s="1">
        <v>5.0</v>
      </c>
      <c r="G179" s="1">
        <v>4.0</v>
      </c>
      <c r="H179" s="1" t="s">
        <v>43</v>
      </c>
      <c r="I179" s="2">
        <v>46098.0</v>
      </c>
      <c r="J179" s="1">
        <v>350000.0</v>
      </c>
      <c r="K179" s="2">
        <v>46082.0</v>
      </c>
    </row>
    <row r="180">
      <c r="A180" s="1" t="s">
        <v>19</v>
      </c>
      <c r="B180" s="1" t="s">
        <v>20</v>
      </c>
      <c r="C180" s="1" t="s">
        <v>17</v>
      </c>
      <c r="D180" s="1">
        <v>1.0</v>
      </c>
      <c r="E180" s="1">
        <v>30.0</v>
      </c>
      <c r="F180" s="1">
        <v>4.0</v>
      </c>
      <c r="G180" s="1">
        <v>5.0</v>
      </c>
      <c r="H180" s="1" t="s">
        <v>18</v>
      </c>
      <c r="I180" s="2">
        <v>45868.0</v>
      </c>
      <c r="J180" s="1">
        <v>1200000.0</v>
      </c>
      <c r="K180" s="2">
        <v>45839.0</v>
      </c>
    </row>
    <row r="181">
      <c r="A181" s="1" t="s">
        <v>28</v>
      </c>
      <c r="B181" s="1" t="s">
        <v>29</v>
      </c>
      <c r="C181" s="1" t="s">
        <v>23</v>
      </c>
      <c r="D181" s="1">
        <v>27.0</v>
      </c>
      <c r="E181" s="1">
        <v>35.0</v>
      </c>
      <c r="F181" s="1">
        <v>4.0</v>
      </c>
      <c r="G181" s="1">
        <v>5.0</v>
      </c>
      <c r="H181" s="1" t="s">
        <v>30</v>
      </c>
      <c r="I181" s="2">
        <v>45817.0</v>
      </c>
      <c r="J181" s="1">
        <v>1250000.0</v>
      </c>
      <c r="K181" s="2">
        <v>45809.0</v>
      </c>
    </row>
    <row r="182">
      <c r="A182" s="1" t="s">
        <v>53</v>
      </c>
      <c r="B182" s="1" t="s">
        <v>54</v>
      </c>
      <c r="C182" s="1" t="s">
        <v>13</v>
      </c>
      <c r="D182" s="1">
        <v>240.0</v>
      </c>
      <c r="E182" s="1">
        <v>60.0</v>
      </c>
      <c r="F182" s="1">
        <v>2.0</v>
      </c>
      <c r="G182" s="1">
        <v>6.0</v>
      </c>
      <c r="H182" s="1" t="s">
        <v>14</v>
      </c>
      <c r="I182" s="2">
        <v>46187.0</v>
      </c>
      <c r="J182" s="1">
        <v>165000.0</v>
      </c>
      <c r="K182" s="2">
        <v>45962.0</v>
      </c>
    </row>
    <row r="183">
      <c r="A183" s="1" t="s">
        <v>44</v>
      </c>
      <c r="B183" s="1" t="s">
        <v>45</v>
      </c>
      <c r="C183" s="1" t="s">
        <v>42</v>
      </c>
      <c r="D183" s="1">
        <v>60.0</v>
      </c>
      <c r="E183" s="1">
        <v>30.0</v>
      </c>
      <c r="F183" s="1">
        <v>4.0</v>
      </c>
      <c r="G183" s="1">
        <v>9.0</v>
      </c>
      <c r="H183" s="1" t="s">
        <v>43</v>
      </c>
      <c r="I183" s="2">
        <v>46062.0</v>
      </c>
      <c r="J183" s="1">
        <v>350000.0</v>
      </c>
      <c r="K183" s="2">
        <v>46054.0</v>
      </c>
    </row>
    <row r="184">
      <c r="A184" s="1" t="s">
        <v>11</v>
      </c>
      <c r="B184" s="1" t="s">
        <v>12</v>
      </c>
      <c r="C184" s="1" t="s">
        <v>13</v>
      </c>
      <c r="D184" s="1">
        <v>216.0</v>
      </c>
      <c r="E184" s="1">
        <v>50.0</v>
      </c>
      <c r="F184" s="1">
        <v>1.0</v>
      </c>
      <c r="G184" s="1">
        <v>8.0</v>
      </c>
      <c r="H184" s="1" t="s">
        <v>14</v>
      </c>
      <c r="I184" s="2">
        <v>45905.0</v>
      </c>
      <c r="J184" s="1">
        <v>125000.0</v>
      </c>
      <c r="K184" s="2">
        <v>45901.0</v>
      </c>
    </row>
    <row r="185" hidden="1">
      <c r="A185" s="1" t="s">
        <v>60</v>
      </c>
      <c r="B185" s="1" t="s">
        <v>61</v>
      </c>
      <c r="C185" s="1" t="s">
        <v>17</v>
      </c>
      <c r="D185" s="1">
        <v>-17.0</v>
      </c>
      <c r="E185" s="1">
        <v>20.0</v>
      </c>
      <c r="F185" s="1">
        <v>5.0</v>
      </c>
      <c r="G185" s="1">
        <v>22.0</v>
      </c>
      <c r="H185" s="1" t="s">
        <v>27</v>
      </c>
      <c r="I185" s="2">
        <v>45998.0</v>
      </c>
      <c r="J185" s="1">
        <v>3200000.0</v>
      </c>
      <c r="K185" s="2">
        <v>45992.0</v>
      </c>
    </row>
    <row r="186">
      <c r="A186" s="1" t="s">
        <v>38</v>
      </c>
      <c r="B186" s="1" t="s">
        <v>39</v>
      </c>
      <c r="C186" s="1" t="s">
        <v>23</v>
      </c>
      <c r="D186" s="1">
        <v>0.0</v>
      </c>
      <c r="E186" s="1">
        <v>45.0</v>
      </c>
      <c r="F186" s="1">
        <v>14.0</v>
      </c>
      <c r="G186" s="1">
        <v>6.0</v>
      </c>
      <c r="H186" s="1" t="s">
        <v>24</v>
      </c>
      <c r="I186" s="2">
        <v>46107.0</v>
      </c>
      <c r="J186" s="1">
        <v>450000.0</v>
      </c>
      <c r="K186" s="2">
        <v>46082.0</v>
      </c>
    </row>
    <row r="187">
      <c r="A187" s="1" t="s">
        <v>11</v>
      </c>
      <c r="B187" s="1" t="s">
        <v>12</v>
      </c>
      <c r="C187" s="1" t="s">
        <v>13</v>
      </c>
      <c r="D187" s="1">
        <v>157.0</v>
      </c>
      <c r="E187" s="1">
        <v>50.0</v>
      </c>
      <c r="F187" s="1">
        <v>1.0</v>
      </c>
      <c r="G187" s="1">
        <v>4.0</v>
      </c>
      <c r="H187" s="1" t="s">
        <v>14</v>
      </c>
      <c r="I187" s="2">
        <v>45823.0</v>
      </c>
      <c r="J187" s="1">
        <v>125000.0</v>
      </c>
      <c r="K187" s="2">
        <v>45809.0</v>
      </c>
    </row>
    <row r="188">
      <c r="A188" s="1" t="s">
        <v>57</v>
      </c>
      <c r="B188" s="1" t="s">
        <v>58</v>
      </c>
      <c r="C188" s="1" t="s">
        <v>42</v>
      </c>
      <c r="D188" s="1">
        <v>42.0</v>
      </c>
      <c r="E188" s="1">
        <v>25.0</v>
      </c>
      <c r="F188" s="1">
        <v>5.0</v>
      </c>
      <c r="G188" s="1">
        <v>10.0</v>
      </c>
      <c r="H188" s="1" t="s">
        <v>59</v>
      </c>
      <c r="I188" s="2">
        <v>45711.0</v>
      </c>
      <c r="J188" s="1">
        <v>450000.0</v>
      </c>
      <c r="K188" s="2">
        <v>45689.0</v>
      </c>
    </row>
    <row r="189">
      <c r="A189" s="1" t="s">
        <v>25</v>
      </c>
      <c r="B189" s="1" t="s">
        <v>26</v>
      </c>
      <c r="C189" s="1" t="s">
        <v>17</v>
      </c>
      <c r="D189" s="1">
        <v>0.0</v>
      </c>
      <c r="E189" s="1">
        <v>25.0</v>
      </c>
      <c r="F189" s="1">
        <v>8.0</v>
      </c>
      <c r="G189" s="1">
        <v>10.0</v>
      </c>
      <c r="H189" s="1" t="s">
        <v>27</v>
      </c>
      <c r="I189" s="2">
        <v>46013.0</v>
      </c>
      <c r="J189" s="1">
        <v>4500000.0</v>
      </c>
      <c r="K189" s="2">
        <v>45992.0</v>
      </c>
    </row>
    <row r="190">
      <c r="A190" s="1" t="s">
        <v>40</v>
      </c>
      <c r="B190" s="1" t="s">
        <v>41</v>
      </c>
      <c r="C190" s="1" t="s">
        <v>42</v>
      </c>
      <c r="D190" s="1">
        <v>22.0</v>
      </c>
      <c r="E190" s="1">
        <v>15.0</v>
      </c>
      <c r="F190" s="1">
        <v>3.0</v>
      </c>
      <c r="G190" s="1">
        <v>4.0</v>
      </c>
      <c r="H190" s="1" t="s">
        <v>43</v>
      </c>
      <c r="I190" s="2">
        <v>45919.0</v>
      </c>
      <c r="J190" s="1">
        <v>1200000.0</v>
      </c>
      <c r="K190" s="2">
        <v>45901.0</v>
      </c>
    </row>
    <row r="191">
      <c r="A191" s="1" t="s">
        <v>57</v>
      </c>
      <c r="B191" s="1" t="s">
        <v>58</v>
      </c>
      <c r="C191" s="1" t="s">
        <v>42</v>
      </c>
      <c r="D191" s="1">
        <v>21.0</v>
      </c>
      <c r="E191" s="1">
        <v>25.0</v>
      </c>
      <c r="F191" s="1">
        <v>3.0</v>
      </c>
      <c r="G191" s="1">
        <v>9.0</v>
      </c>
      <c r="H191" s="1" t="s">
        <v>59</v>
      </c>
      <c r="I191" s="2">
        <v>45854.0</v>
      </c>
      <c r="J191" s="1">
        <v>450000.0</v>
      </c>
      <c r="K191" s="2">
        <v>45839.0</v>
      </c>
    </row>
    <row r="192" hidden="1">
      <c r="A192" s="1" t="s">
        <v>51</v>
      </c>
      <c r="B192" s="1" t="s">
        <v>52</v>
      </c>
      <c r="C192" s="1" t="s">
        <v>36</v>
      </c>
      <c r="D192" s="1">
        <v>12.0</v>
      </c>
      <c r="E192" s="1">
        <v>60.0</v>
      </c>
      <c r="F192" s="1">
        <v>10.0</v>
      </c>
      <c r="H192" s="1" t="s">
        <v>50</v>
      </c>
      <c r="I192" s="2">
        <v>45965.0</v>
      </c>
      <c r="J192" s="1">
        <v>175000.0</v>
      </c>
      <c r="K192" s="2">
        <v>45962.0</v>
      </c>
    </row>
    <row r="193">
      <c r="A193" s="1" t="s">
        <v>15</v>
      </c>
      <c r="B193" s="1" t="s">
        <v>16</v>
      </c>
      <c r="C193" s="1" t="s">
        <v>17</v>
      </c>
      <c r="D193" s="1">
        <v>17.0</v>
      </c>
      <c r="E193" s="1">
        <v>15.0</v>
      </c>
      <c r="F193" s="1">
        <v>1.0</v>
      </c>
      <c r="G193" s="1">
        <v>6.0</v>
      </c>
      <c r="H193" s="1" t="s">
        <v>18</v>
      </c>
      <c r="I193" s="2">
        <v>45665.0</v>
      </c>
      <c r="J193" s="1">
        <v>8500000.0</v>
      </c>
      <c r="K193" s="2">
        <v>45658.0</v>
      </c>
    </row>
    <row r="194">
      <c r="A194" s="1" t="s">
        <v>51</v>
      </c>
      <c r="B194" s="1" t="s">
        <v>52</v>
      </c>
      <c r="C194" s="1" t="s">
        <v>36</v>
      </c>
      <c r="D194" s="1">
        <v>34.0</v>
      </c>
      <c r="E194" s="1">
        <v>60.0</v>
      </c>
      <c r="F194" s="1">
        <v>7.0</v>
      </c>
      <c r="G194" s="1">
        <v>6.0</v>
      </c>
      <c r="H194" s="1" t="s">
        <v>50</v>
      </c>
      <c r="I194" s="2">
        <v>45934.0</v>
      </c>
      <c r="J194" s="1">
        <v>175000.0</v>
      </c>
      <c r="K194" s="2">
        <v>45931.0</v>
      </c>
    </row>
    <row r="195">
      <c r="A195" s="1" t="s">
        <v>51</v>
      </c>
      <c r="B195" s="1" t="s">
        <v>52</v>
      </c>
      <c r="C195" s="1" t="s">
        <v>36</v>
      </c>
      <c r="D195" s="1">
        <v>21.0</v>
      </c>
      <c r="E195" s="1">
        <v>60.0</v>
      </c>
      <c r="F195" s="1">
        <v>9.0</v>
      </c>
      <c r="G195" s="1">
        <v>4.0</v>
      </c>
      <c r="H195" s="1" t="s">
        <v>50</v>
      </c>
      <c r="I195" s="2">
        <v>46067.0</v>
      </c>
      <c r="J195" s="1">
        <v>175000.0</v>
      </c>
      <c r="K195" s="2">
        <v>46054.0</v>
      </c>
    </row>
    <row r="196">
      <c r="A196" s="1" t="s">
        <v>28</v>
      </c>
      <c r="B196" s="1" t="s">
        <v>29</v>
      </c>
      <c r="C196" s="1" t="s">
        <v>23</v>
      </c>
      <c r="D196" s="1">
        <v>0.0</v>
      </c>
      <c r="E196" s="1">
        <v>35.0</v>
      </c>
      <c r="F196" s="1">
        <v>9.0</v>
      </c>
      <c r="G196" s="1">
        <v>6.0</v>
      </c>
      <c r="H196" s="1" t="s">
        <v>30</v>
      </c>
      <c r="I196" s="2">
        <v>45973.0</v>
      </c>
      <c r="J196" s="1">
        <v>1250000.0</v>
      </c>
      <c r="K196" s="2">
        <v>45962.0</v>
      </c>
    </row>
    <row r="197">
      <c r="A197" s="1" t="s">
        <v>31</v>
      </c>
      <c r="B197" s="1" t="s">
        <v>32</v>
      </c>
      <c r="C197" s="1" t="s">
        <v>13</v>
      </c>
      <c r="D197" s="1">
        <v>150.0</v>
      </c>
      <c r="E197" s="1">
        <v>40.0</v>
      </c>
      <c r="F197" s="1">
        <v>4.0</v>
      </c>
      <c r="G197" s="1">
        <v>4.0</v>
      </c>
      <c r="H197" s="1" t="s">
        <v>33</v>
      </c>
      <c r="I197" s="2">
        <v>46040.0</v>
      </c>
      <c r="J197" s="1">
        <v>550000.0</v>
      </c>
      <c r="K197" s="2">
        <v>46023.0</v>
      </c>
    </row>
    <row r="198">
      <c r="A198" s="1" t="s">
        <v>34</v>
      </c>
      <c r="B198" s="1" t="s">
        <v>35</v>
      </c>
      <c r="C198" s="1" t="s">
        <v>36</v>
      </c>
      <c r="D198" s="1">
        <v>18.0</v>
      </c>
      <c r="E198" s="1">
        <v>80.0</v>
      </c>
      <c r="F198" s="1">
        <v>10.0</v>
      </c>
      <c r="G198" s="1">
        <v>4.0</v>
      </c>
      <c r="H198" s="1" t="s">
        <v>37</v>
      </c>
      <c r="I198" s="2">
        <v>46024.0</v>
      </c>
      <c r="J198" s="1">
        <v>65000.0</v>
      </c>
      <c r="K198" s="2">
        <v>46023.0</v>
      </c>
    </row>
    <row r="199">
      <c r="A199" s="1" t="s">
        <v>28</v>
      </c>
      <c r="B199" s="1" t="s">
        <v>29</v>
      </c>
      <c r="C199" s="1" t="s">
        <v>23</v>
      </c>
      <c r="D199" s="1">
        <v>27.0</v>
      </c>
      <c r="E199" s="1">
        <v>35.0</v>
      </c>
      <c r="F199" s="1">
        <v>8.0</v>
      </c>
      <c r="G199" s="1">
        <v>6.0</v>
      </c>
      <c r="H199" s="1" t="s">
        <v>30</v>
      </c>
      <c r="I199" s="2">
        <v>46054.0</v>
      </c>
      <c r="J199" s="1">
        <v>1250000.0</v>
      </c>
      <c r="K199" s="2">
        <v>46054.0</v>
      </c>
    </row>
    <row r="200">
      <c r="A200" s="1" t="s">
        <v>44</v>
      </c>
      <c r="B200" s="1" t="s">
        <v>45</v>
      </c>
      <c r="C200" s="1" t="s">
        <v>42</v>
      </c>
      <c r="D200" s="1">
        <v>39.0</v>
      </c>
      <c r="E200" s="1">
        <v>30.0</v>
      </c>
      <c r="F200" s="1">
        <v>6.0</v>
      </c>
      <c r="G200" s="1">
        <v>10.0</v>
      </c>
      <c r="H200" s="1" t="s">
        <v>43</v>
      </c>
      <c r="I200" s="2">
        <v>45854.0</v>
      </c>
      <c r="J200" s="1">
        <v>350000.0</v>
      </c>
      <c r="K200" s="2">
        <v>45839.0</v>
      </c>
    </row>
    <row r="201">
      <c r="A201" s="1" t="s">
        <v>28</v>
      </c>
      <c r="B201" s="1" t="s">
        <v>29</v>
      </c>
      <c r="C201" s="1" t="s">
        <v>23</v>
      </c>
      <c r="D201" s="1">
        <v>10.0</v>
      </c>
      <c r="E201" s="1">
        <v>35.0</v>
      </c>
      <c r="F201" s="1">
        <v>7.0</v>
      </c>
      <c r="G201" s="1">
        <v>3.0</v>
      </c>
      <c r="H201" s="1" t="s">
        <v>30</v>
      </c>
      <c r="I201" s="2">
        <v>45929.0</v>
      </c>
      <c r="J201" s="1">
        <v>1250000.0</v>
      </c>
      <c r="K201" s="2">
        <v>45901.0</v>
      </c>
    </row>
    <row r="202">
      <c r="A202" s="1" t="s">
        <v>60</v>
      </c>
      <c r="B202" s="1" t="s">
        <v>61</v>
      </c>
      <c r="C202" s="1" t="s">
        <v>17</v>
      </c>
      <c r="D202" s="1">
        <v>7.0</v>
      </c>
      <c r="E202" s="1">
        <v>20.0</v>
      </c>
      <c r="F202" s="1">
        <v>2.0</v>
      </c>
      <c r="G202" s="1">
        <v>13.0</v>
      </c>
      <c r="H202" s="1" t="s">
        <v>27</v>
      </c>
      <c r="I202" s="2">
        <v>45861.0</v>
      </c>
      <c r="J202" s="1">
        <v>3200000.0</v>
      </c>
      <c r="K202" s="2">
        <v>45839.0</v>
      </c>
    </row>
    <row r="203">
      <c r="A203" s="1" t="s">
        <v>21</v>
      </c>
      <c r="B203" s="1" t="s">
        <v>22</v>
      </c>
      <c r="C203" s="1" t="s">
        <v>23</v>
      </c>
      <c r="D203" s="1">
        <v>13.0</v>
      </c>
      <c r="E203" s="1">
        <v>50.0</v>
      </c>
      <c r="F203" s="1">
        <v>8.0</v>
      </c>
      <c r="G203" s="1">
        <v>4.0</v>
      </c>
      <c r="H203" s="1" t="s">
        <v>24</v>
      </c>
      <c r="I203" s="2">
        <v>45691.0</v>
      </c>
      <c r="J203" s="1">
        <v>350000.0</v>
      </c>
      <c r="K203" s="2">
        <v>45689.0</v>
      </c>
    </row>
    <row r="204" hidden="1">
      <c r="A204" s="1" t="s">
        <v>40</v>
      </c>
      <c r="B204" s="1" t="s">
        <v>41</v>
      </c>
      <c r="C204" s="1" t="s">
        <v>42</v>
      </c>
      <c r="E204" s="1">
        <v>15.0</v>
      </c>
      <c r="F204" s="1">
        <v>2.0</v>
      </c>
      <c r="G204" s="1">
        <v>4.0</v>
      </c>
      <c r="H204" s="1" t="s">
        <v>43</v>
      </c>
      <c r="I204" s="2">
        <v>45688.0</v>
      </c>
      <c r="J204" s="1">
        <v>1200000.0</v>
      </c>
      <c r="K204" s="2">
        <v>45658.0</v>
      </c>
    </row>
    <row r="205">
      <c r="A205" s="1" t="s">
        <v>55</v>
      </c>
      <c r="B205" s="1" t="s">
        <v>56</v>
      </c>
      <c r="C205" s="1" t="s">
        <v>36</v>
      </c>
      <c r="D205" s="1">
        <v>19.0</v>
      </c>
      <c r="E205" s="1">
        <v>100.0</v>
      </c>
      <c r="F205" s="1">
        <v>16.0</v>
      </c>
      <c r="G205" s="1">
        <v>4.0</v>
      </c>
      <c r="H205" s="1" t="s">
        <v>37</v>
      </c>
      <c r="I205" s="2">
        <v>45965.0</v>
      </c>
      <c r="J205" s="1">
        <v>85000.0</v>
      </c>
      <c r="K205" s="2">
        <v>45962.0</v>
      </c>
    </row>
    <row r="206">
      <c r="A206" s="1" t="s">
        <v>55</v>
      </c>
      <c r="B206" s="1" t="s">
        <v>56</v>
      </c>
      <c r="C206" s="1" t="s">
        <v>36</v>
      </c>
      <c r="D206" s="1">
        <v>36.0</v>
      </c>
      <c r="E206" s="1">
        <v>100.0</v>
      </c>
      <c r="F206" s="1">
        <v>16.0</v>
      </c>
      <c r="G206" s="1">
        <v>5.0</v>
      </c>
      <c r="H206" s="1" t="s">
        <v>37</v>
      </c>
      <c r="I206" s="2">
        <v>45851.0</v>
      </c>
      <c r="J206" s="1">
        <v>85000.0</v>
      </c>
      <c r="K206" s="2">
        <v>45839.0</v>
      </c>
    </row>
    <row r="207">
      <c r="A207" s="1" t="s">
        <v>34</v>
      </c>
      <c r="B207" s="1" t="s">
        <v>35</v>
      </c>
      <c r="C207" s="1" t="s">
        <v>36</v>
      </c>
      <c r="D207" s="1">
        <v>33.0</v>
      </c>
      <c r="E207" s="1">
        <v>80.0</v>
      </c>
      <c r="F207" s="1">
        <v>13.0</v>
      </c>
      <c r="G207" s="1">
        <v>4.0</v>
      </c>
      <c r="H207" s="1" t="s">
        <v>37</v>
      </c>
      <c r="I207" s="2">
        <v>45697.0</v>
      </c>
      <c r="J207" s="1">
        <v>65000.0</v>
      </c>
      <c r="K207" s="2">
        <v>45689.0</v>
      </c>
    </row>
    <row r="208">
      <c r="A208" s="1" t="s">
        <v>15</v>
      </c>
      <c r="B208" s="1" t="s">
        <v>16</v>
      </c>
      <c r="C208" s="1" t="s">
        <v>17</v>
      </c>
      <c r="D208" s="1">
        <v>0.0</v>
      </c>
      <c r="E208" s="1">
        <v>15.0</v>
      </c>
      <c r="F208" s="1">
        <v>2.0</v>
      </c>
      <c r="G208" s="1">
        <v>8.0</v>
      </c>
      <c r="H208" s="1" t="s">
        <v>18</v>
      </c>
      <c r="I208" s="2">
        <v>45994.0</v>
      </c>
      <c r="J208" s="1">
        <v>8500000.0</v>
      </c>
      <c r="K208" s="2">
        <v>45992.0</v>
      </c>
    </row>
    <row r="209">
      <c r="A209" s="1" t="s">
        <v>19</v>
      </c>
      <c r="B209" s="1" t="s">
        <v>20</v>
      </c>
      <c r="C209" s="1" t="s">
        <v>17</v>
      </c>
      <c r="D209" s="1">
        <v>34.0</v>
      </c>
      <c r="E209" s="1">
        <v>30.0</v>
      </c>
      <c r="F209" s="1">
        <v>4.0</v>
      </c>
      <c r="G209" s="1">
        <v>5.0</v>
      </c>
      <c r="H209" s="1" t="s">
        <v>18</v>
      </c>
      <c r="I209" s="2">
        <v>46083.0</v>
      </c>
      <c r="J209" s="1">
        <v>1200000.0</v>
      </c>
      <c r="K209" s="2">
        <v>46082.0</v>
      </c>
    </row>
    <row r="210">
      <c r="A210" s="1" t="s">
        <v>62</v>
      </c>
      <c r="B210" s="1" t="s">
        <v>63</v>
      </c>
      <c r="C210" s="1" t="s">
        <v>13</v>
      </c>
      <c r="D210" s="1">
        <v>427.0</v>
      </c>
      <c r="E210" s="1">
        <v>80.0</v>
      </c>
      <c r="F210" s="1">
        <v>2.0</v>
      </c>
      <c r="G210" s="1">
        <v>5.0</v>
      </c>
      <c r="H210" s="1" t="s">
        <v>33</v>
      </c>
      <c r="I210" s="2">
        <v>45838.0</v>
      </c>
      <c r="J210" s="1">
        <v>85000.0</v>
      </c>
      <c r="K210" s="2">
        <v>45809.0</v>
      </c>
    </row>
    <row r="211">
      <c r="A211" s="1" t="s">
        <v>51</v>
      </c>
      <c r="B211" s="1" t="s">
        <v>52</v>
      </c>
      <c r="C211" s="1" t="s">
        <v>36</v>
      </c>
      <c r="D211" s="1">
        <v>14.0</v>
      </c>
      <c r="E211" s="1">
        <v>60.0</v>
      </c>
      <c r="F211" s="1">
        <v>8.0</v>
      </c>
      <c r="G211" s="1">
        <v>6.0</v>
      </c>
      <c r="H211" s="1" t="s">
        <v>50</v>
      </c>
      <c r="I211" s="2">
        <v>45930.0</v>
      </c>
      <c r="J211" s="1">
        <v>175000.0</v>
      </c>
      <c r="K211" s="2">
        <v>45901.0</v>
      </c>
    </row>
    <row r="212">
      <c r="A212" s="1" t="s">
        <v>25</v>
      </c>
      <c r="B212" s="1" t="s">
        <v>26</v>
      </c>
      <c r="C212" s="1" t="s">
        <v>17</v>
      </c>
      <c r="D212" s="1">
        <v>32.0</v>
      </c>
      <c r="E212" s="1">
        <v>25.0</v>
      </c>
      <c r="F212" s="1">
        <v>6.0</v>
      </c>
      <c r="G212" s="1">
        <v>17.0</v>
      </c>
      <c r="H212" s="1" t="s">
        <v>27</v>
      </c>
      <c r="I212" s="2">
        <v>46026.0</v>
      </c>
      <c r="J212" s="1">
        <v>4500000.0</v>
      </c>
      <c r="K212" s="2">
        <v>46023.0</v>
      </c>
    </row>
    <row r="213" hidden="1">
      <c r="A213" s="1" t="s">
        <v>11</v>
      </c>
      <c r="B213" s="1" t="s">
        <v>12</v>
      </c>
      <c r="C213" s="1" t="s">
        <v>13</v>
      </c>
      <c r="E213" s="1">
        <v>50.0</v>
      </c>
      <c r="F213" s="1">
        <v>1.0</v>
      </c>
      <c r="G213" s="1">
        <v>7.0</v>
      </c>
      <c r="H213" s="1" t="s">
        <v>14</v>
      </c>
      <c r="I213" s="2">
        <v>45885.0</v>
      </c>
      <c r="J213" s="1">
        <v>125000.0</v>
      </c>
      <c r="K213" s="2">
        <v>45870.0</v>
      </c>
    </row>
    <row r="214">
      <c r="A214" s="1" t="s">
        <v>15</v>
      </c>
      <c r="B214" s="1" t="s">
        <v>16</v>
      </c>
      <c r="C214" s="1" t="s">
        <v>17</v>
      </c>
      <c r="D214" s="1">
        <v>28.0</v>
      </c>
      <c r="E214" s="1">
        <v>15.0</v>
      </c>
      <c r="F214" s="1">
        <v>1.0</v>
      </c>
      <c r="G214" s="1">
        <v>6.0</v>
      </c>
      <c r="H214" s="1" t="s">
        <v>18</v>
      </c>
      <c r="I214" s="2">
        <v>45800.0</v>
      </c>
      <c r="J214" s="1">
        <v>8500000.0</v>
      </c>
      <c r="K214" s="2">
        <v>45778.0</v>
      </c>
    </row>
    <row r="215">
      <c r="A215" s="1" t="s">
        <v>64</v>
      </c>
      <c r="B215" s="1" t="s">
        <v>65</v>
      </c>
      <c r="C215" s="1" t="s">
        <v>42</v>
      </c>
      <c r="D215" s="1">
        <v>21.0</v>
      </c>
      <c r="E215" s="1">
        <v>20.0</v>
      </c>
      <c r="F215" s="1">
        <v>2.0</v>
      </c>
      <c r="G215" s="1">
        <v>9.0</v>
      </c>
      <c r="H215" s="1" t="s">
        <v>59</v>
      </c>
      <c r="I215" s="2">
        <v>45724.0</v>
      </c>
      <c r="J215" s="1">
        <v>750000.0</v>
      </c>
      <c r="K215" s="2">
        <v>45717.0</v>
      </c>
    </row>
    <row r="216">
      <c r="A216" s="1" t="s">
        <v>60</v>
      </c>
      <c r="B216" s="1" t="s">
        <v>61</v>
      </c>
      <c r="C216" s="1" t="s">
        <v>17</v>
      </c>
      <c r="D216" s="1">
        <v>12.0</v>
      </c>
      <c r="E216" s="1">
        <v>20.0</v>
      </c>
      <c r="F216" s="1">
        <v>2.0</v>
      </c>
      <c r="G216" s="1">
        <v>16.0</v>
      </c>
      <c r="H216" s="1" t="s">
        <v>27</v>
      </c>
      <c r="I216" s="2">
        <v>45724.0</v>
      </c>
      <c r="J216" s="1">
        <v>3200000.0</v>
      </c>
      <c r="K216" s="2">
        <v>45717.0</v>
      </c>
    </row>
    <row r="217">
      <c r="A217" s="1" t="s">
        <v>48</v>
      </c>
      <c r="B217" s="1" t="s">
        <v>49</v>
      </c>
      <c r="C217" s="1" t="s">
        <v>36</v>
      </c>
      <c r="D217" s="1">
        <v>72.0</v>
      </c>
      <c r="E217" s="1">
        <v>120.0</v>
      </c>
      <c r="F217" s="1">
        <v>18.0</v>
      </c>
      <c r="G217" s="1">
        <v>7.0</v>
      </c>
      <c r="H217" s="1" t="s">
        <v>50</v>
      </c>
      <c r="I217" s="2">
        <v>45815.0</v>
      </c>
      <c r="J217" s="1">
        <v>55000.0</v>
      </c>
      <c r="K217" s="2">
        <v>45809.0</v>
      </c>
    </row>
    <row r="218">
      <c r="A218" s="1" t="s">
        <v>40</v>
      </c>
      <c r="B218" s="1" t="s">
        <v>41</v>
      </c>
      <c r="C218" s="1" t="s">
        <v>42</v>
      </c>
      <c r="D218" s="1">
        <v>33.0</v>
      </c>
      <c r="E218" s="1">
        <v>15.0</v>
      </c>
      <c r="F218" s="1">
        <v>2.0</v>
      </c>
      <c r="G218" s="1">
        <v>10.0</v>
      </c>
      <c r="H218" s="1" t="s">
        <v>43</v>
      </c>
      <c r="I218" s="2">
        <v>46032.0</v>
      </c>
      <c r="J218" s="1">
        <v>1200000.0</v>
      </c>
      <c r="K218" s="2">
        <v>46023.0</v>
      </c>
    </row>
    <row r="219">
      <c r="A219" s="1" t="s">
        <v>53</v>
      </c>
      <c r="B219" s="1" t="s">
        <v>54</v>
      </c>
      <c r="C219" s="1" t="s">
        <v>13</v>
      </c>
      <c r="D219" s="1">
        <v>246.0</v>
      </c>
      <c r="E219" s="1">
        <v>60.0</v>
      </c>
      <c r="F219" s="1">
        <v>3.0</v>
      </c>
      <c r="G219" s="1">
        <v>7.0</v>
      </c>
      <c r="H219" s="1" t="s">
        <v>14</v>
      </c>
      <c r="I219" s="2">
        <v>46049.0</v>
      </c>
      <c r="J219" s="1">
        <v>165000.0</v>
      </c>
      <c r="K219" s="2">
        <v>46023.0</v>
      </c>
    </row>
    <row r="220">
      <c r="A220" s="1" t="s">
        <v>34</v>
      </c>
      <c r="B220" s="1" t="s">
        <v>35</v>
      </c>
      <c r="C220" s="1" t="s">
        <v>36</v>
      </c>
      <c r="D220" s="1">
        <v>64.0</v>
      </c>
      <c r="E220" s="1">
        <v>80.0</v>
      </c>
      <c r="F220" s="1">
        <v>13.0</v>
      </c>
      <c r="G220" s="1">
        <v>5.0</v>
      </c>
      <c r="H220" s="1" t="s">
        <v>37</v>
      </c>
      <c r="I220" s="2">
        <v>45970.0</v>
      </c>
      <c r="J220" s="1">
        <v>65000.0</v>
      </c>
      <c r="K220" s="2">
        <v>45962.0</v>
      </c>
    </row>
    <row r="221">
      <c r="A221" s="1" t="s">
        <v>57</v>
      </c>
      <c r="B221" s="1" t="s">
        <v>58</v>
      </c>
      <c r="C221" s="1" t="s">
        <v>42</v>
      </c>
      <c r="D221" s="1">
        <v>37.0</v>
      </c>
      <c r="E221" s="1">
        <v>25.0</v>
      </c>
      <c r="F221" s="1">
        <v>1.0</v>
      </c>
      <c r="G221" s="1">
        <v>9.0</v>
      </c>
      <c r="H221" s="1" t="s">
        <v>59</v>
      </c>
      <c r="I221" s="2">
        <v>45775.0</v>
      </c>
      <c r="J221" s="1">
        <v>450000.0</v>
      </c>
      <c r="K221" s="2">
        <v>45748.0</v>
      </c>
    </row>
    <row r="222">
      <c r="A222" s="1" t="s">
        <v>21</v>
      </c>
      <c r="B222" s="1" t="s">
        <v>22</v>
      </c>
      <c r="C222" s="1" t="s">
        <v>23</v>
      </c>
      <c r="D222" s="1">
        <v>0.0</v>
      </c>
      <c r="E222" s="1">
        <v>50.0</v>
      </c>
      <c r="F222" s="1">
        <v>13.0</v>
      </c>
      <c r="G222" s="1">
        <v>3.0</v>
      </c>
      <c r="H222" s="1" t="s">
        <v>24</v>
      </c>
      <c r="I222" s="2">
        <v>45747.0</v>
      </c>
      <c r="J222" s="1">
        <v>350000.0</v>
      </c>
      <c r="K222" s="2">
        <v>45717.0</v>
      </c>
    </row>
    <row r="223">
      <c r="A223" s="1" t="s">
        <v>53</v>
      </c>
      <c r="B223" s="1" t="s">
        <v>54</v>
      </c>
      <c r="C223" s="1" t="s">
        <v>13</v>
      </c>
      <c r="D223" s="1">
        <v>230.0</v>
      </c>
      <c r="E223" s="1">
        <v>60.0</v>
      </c>
      <c r="F223" s="1">
        <v>2.0</v>
      </c>
      <c r="G223" s="1">
        <v>8.0</v>
      </c>
      <c r="H223" s="1" t="s">
        <v>14</v>
      </c>
      <c r="I223" s="2">
        <v>45817.0</v>
      </c>
      <c r="J223" s="1">
        <v>165000.0</v>
      </c>
      <c r="K223" s="2">
        <v>45809.0</v>
      </c>
    </row>
    <row r="224">
      <c r="A224" s="1" t="s">
        <v>57</v>
      </c>
      <c r="B224" s="1" t="s">
        <v>58</v>
      </c>
      <c r="C224" s="1" t="s">
        <v>42</v>
      </c>
      <c r="D224" s="1">
        <v>52.0</v>
      </c>
      <c r="E224" s="1">
        <v>25.0</v>
      </c>
      <c r="F224" s="1">
        <v>4.0</v>
      </c>
      <c r="G224" s="1">
        <v>9.0</v>
      </c>
      <c r="H224" s="1" t="s">
        <v>59</v>
      </c>
      <c r="I224" s="2">
        <v>45671.0</v>
      </c>
      <c r="J224" s="1">
        <v>450000.0</v>
      </c>
      <c r="K224" s="2">
        <v>45658.0</v>
      </c>
    </row>
    <row r="225">
      <c r="A225" s="1" t="s">
        <v>64</v>
      </c>
      <c r="B225" s="1" t="s">
        <v>65</v>
      </c>
      <c r="C225" s="1" t="s">
        <v>42</v>
      </c>
      <c r="D225" s="1">
        <v>47.0</v>
      </c>
      <c r="E225" s="1">
        <v>20.0</v>
      </c>
      <c r="F225" s="1">
        <v>4.0</v>
      </c>
      <c r="G225" s="1">
        <v>9.0</v>
      </c>
      <c r="H225" s="1" t="s">
        <v>59</v>
      </c>
      <c r="I225" s="2">
        <v>45909.0</v>
      </c>
      <c r="J225" s="1">
        <v>750000.0</v>
      </c>
      <c r="K225" s="2">
        <v>45901.0</v>
      </c>
    </row>
    <row r="226">
      <c r="A226" s="1" t="s">
        <v>31</v>
      </c>
      <c r="B226" s="1" t="s">
        <v>32</v>
      </c>
      <c r="C226" s="1" t="s">
        <v>13</v>
      </c>
      <c r="D226" s="1">
        <v>153.0</v>
      </c>
      <c r="E226" s="1">
        <v>40.0</v>
      </c>
      <c r="F226" s="1">
        <v>4.0</v>
      </c>
      <c r="G226" s="1">
        <v>5.0</v>
      </c>
      <c r="H226" s="1" t="s">
        <v>33</v>
      </c>
      <c r="I226" s="2">
        <v>46097.0</v>
      </c>
      <c r="J226" s="1">
        <v>550000.0</v>
      </c>
      <c r="K226" s="2">
        <v>46082.0</v>
      </c>
    </row>
    <row r="227">
      <c r="A227" s="1" t="s">
        <v>15</v>
      </c>
      <c r="B227" s="1" t="s">
        <v>16</v>
      </c>
      <c r="C227" s="1" t="s">
        <v>17</v>
      </c>
      <c r="D227" s="1">
        <v>19.0</v>
      </c>
      <c r="E227" s="1">
        <v>15.0</v>
      </c>
      <c r="F227" s="1">
        <v>3.0</v>
      </c>
      <c r="G227" s="1">
        <v>5.0</v>
      </c>
      <c r="H227" s="1" t="s">
        <v>18</v>
      </c>
      <c r="I227" s="2">
        <v>45903.0</v>
      </c>
      <c r="J227" s="1">
        <v>8500000.0</v>
      </c>
      <c r="K227" s="2">
        <v>45901.0</v>
      </c>
    </row>
    <row r="228">
      <c r="A228" s="1" t="s">
        <v>21</v>
      </c>
      <c r="B228" s="1" t="s">
        <v>22</v>
      </c>
      <c r="C228" s="1" t="s">
        <v>23</v>
      </c>
      <c r="D228" s="1">
        <v>0.0</v>
      </c>
      <c r="E228" s="1">
        <v>50.0</v>
      </c>
      <c r="F228" s="1">
        <v>12.0</v>
      </c>
      <c r="G228" s="1">
        <v>5.0</v>
      </c>
      <c r="H228" s="1" t="s">
        <v>24</v>
      </c>
      <c r="I228" s="2">
        <v>45971.0</v>
      </c>
      <c r="J228" s="1">
        <v>350000.0</v>
      </c>
      <c r="K228" s="2">
        <v>45962.0</v>
      </c>
    </row>
    <row r="229">
      <c r="A229" s="1" t="s">
        <v>51</v>
      </c>
      <c r="B229" s="1" t="s">
        <v>52</v>
      </c>
      <c r="C229" s="1" t="s">
        <v>36</v>
      </c>
      <c r="D229" s="1">
        <v>37.0</v>
      </c>
      <c r="E229" s="1">
        <v>60.0</v>
      </c>
      <c r="F229" s="1">
        <v>8.0</v>
      </c>
      <c r="G229" s="1">
        <v>5.0</v>
      </c>
      <c r="H229" s="1" t="s">
        <v>50</v>
      </c>
      <c r="I229" s="2">
        <v>45795.0</v>
      </c>
      <c r="J229" s="1">
        <v>175000.0</v>
      </c>
      <c r="K229" s="2">
        <v>45778.0</v>
      </c>
    </row>
    <row r="230" hidden="1">
      <c r="A230" s="1" t="s">
        <v>21</v>
      </c>
      <c r="B230" s="1" t="s">
        <v>22</v>
      </c>
      <c r="C230" s="1" t="s">
        <v>23</v>
      </c>
      <c r="D230" s="1">
        <v>49.0</v>
      </c>
      <c r="E230" s="1">
        <v>50.0</v>
      </c>
      <c r="F230" s="1">
        <v>5.0</v>
      </c>
      <c r="H230" s="1" t="s">
        <v>24</v>
      </c>
      <c r="I230" s="2">
        <v>45784.0</v>
      </c>
      <c r="J230" s="1">
        <v>350000.0</v>
      </c>
      <c r="K230" s="2">
        <v>45778.0</v>
      </c>
    </row>
    <row r="231">
      <c r="A231" s="1" t="s">
        <v>60</v>
      </c>
      <c r="B231" s="1" t="s">
        <v>61</v>
      </c>
      <c r="C231" s="1" t="s">
        <v>17</v>
      </c>
      <c r="D231" s="1">
        <v>22.0</v>
      </c>
      <c r="E231" s="1">
        <v>20.0</v>
      </c>
      <c r="F231" s="1">
        <v>4.0</v>
      </c>
      <c r="G231" s="1">
        <v>8.0</v>
      </c>
      <c r="H231" s="1" t="s">
        <v>27</v>
      </c>
      <c r="I231" s="2">
        <v>46103.0</v>
      </c>
      <c r="J231" s="1">
        <v>3200000.0</v>
      </c>
      <c r="K231" s="2">
        <v>46082.0</v>
      </c>
    </row>
    <row r="232">
      <c r="A232" s="1" t="s">
        <v>55</v>
      </c>
      <c r="B232" s="1" t="s">
        <v>56</v>
      </c>
      <c r="C232" s="1" t="s">
        <v>36</v>
      </c>
      <c r="D232" s="1">
        <v>58.0</v>
      </c>
      <c r="E232" s="1">
        <v>100.0</v>
      </c>
      <c r="F232" s="1">
        <v>14.0</v>
      </c>
      <c r="G232" s="1">
        <v>3.0</v>
      </c>
      <c r="H232" s="1" t="s">
        <v>37</v>
      </c>
      <c r="I232" s="2">
        <v>45951.0</v>
      </c>
      <c r="J232" s="1">
        <v>85000.0</v>
      </c>
      <c r="K232" s="2">
        <v>45931.0</v>
      </c>
    </row>
    <row r="233">
      <c r="A233" s="1" t="s">
        <v>40</v>
      </c>
      <c r="B233" s="1" t="s">
        <v>41</v>
      </c>
      <c r="C233" s="1" t="s">
        <v>42</v>
      </c>
      <c r="D233" s="1">
        <v>14.0</v>
      </c>
      <c r="E233" s="1">
        <v>15.0</v>
      </c>
      <c r="F233" s="1">
        <v>2.0</v>
      </c>
      <c r="G233" s="1">
        <v>5.0</v>
      </c>
      <c r="H233" s="1" t="s">
        <v>43</v>
      </c>
      <c r="I233" s="2">
        <v>45858.0</v>
      </c>
      <c r="J233" s="1">
        <v>1200000.0</v>
      </c>
      <c r="K233" s="2">
        <v>45839.0</v>
      </c>
    </row>
    <row r="234">
      <c r="A234" s="1" t="s">
        <v>60</v>
      </c>
      <c r="B234" s="1" t="s">
        <v>61</v>
      </c>
      <c r="C234" s="1" t="s">
        <v>17</v>
      </c>
      <c r="D234" s="1">
        <v>0.0</v>
      </c>
      <c r="E234" s="1">
        <v>20.0</v>
      </c>
      <c r="F234" s="1">
        <v>4.0</v>
      </c>
      <c r="G234" s="1">
        <v>17.0</v>
      </c>
      <c r="H234" s="1" t="s">
        <v>27</v>
      </c>
      <c r="I234" s="2">
        <v>45964.0</v>
      </c>
      <c r="J234" s="1">
        <v>3200000.0</v>
      </c>
      <c r="K234" s="2">
        <v>45962.0</v>
      </c>
    </row>
    <row r="235">
      <c r="A235" s="1" t="s">
        <v>64</v>
      </c>
      <c r="B235" s="1" t="s">
        <v>65</v>
      </c>
      <c r="C235" s="1" t="s">
        <v>42</v>
      </c>
      <c r="D235" s="1">
        <v>26.0</v>
      </c>
      <c r="E235" s="1">
        <v>20.0</v>
      </c>
      <c r="F235" s="1">
        <v>2.0</v>
      </c>
      <c r="G235" s="1">
        <v>10.0</v>
      </c>
      <c r="H235" s="1" t="s">
        <v>59</v>
      </c>
      <c r="I235" s="2">
        <v>45762.0</v>
      </c>
      <c r="J235" s="1">
        <v>750000.0</v>
      </c>
      <c r="K235" s="2">
        <v>45748.0</v>
      </c>
    </row>
    <row r="236">
      <c r="A236" s="1" t="s">
        <v>48</v>
      </c>
      <c r="B236" s="1" t="s">
        <v>49</v>
      </c>
      <c r="C236" s="1" t="s">
        <v>36</v>
      </c>
      <c r="D236" s="1">
        <v>12.0</v>
      </c>
      <c r="E236" s="1">
        <v>120.0</v>
      </c>
      <c r="F236" s="1">
        <v>21.0</v>
      </c>
      <c r="G236" s="1">
        <v>5.0</v>
      </c>
      <c r="H236" s="1" t="s">
        <v>50</v>
      </c>
      <c r="I236" s="2">
        <v>45706.0</v>
      </c>
      <c r="J236" s="1">
        <v>55000.0</v>
      </c>
      <c r="K236" s="2">
        <v>45689.0</v>
      </c>
    </row>
    <row r="237">
      <c r="A237" s="1" t="s">
        <v>53</v>
      </c>
      <c r="B237" s="1" t="s">
        <v>54</v>
      </c>
      <c r="C237" s="1" t="s">
        <v>13</v>
      </c>
      <c r="D237" s="1">
        <v>292.0</v>
      </c>
      <c r="E237" s="1">
        <v>60.0</v>
      </c>
      <c r="F237" s="1">
        <v>3.0</v>
      </c>
      <c r="G237" s="1">
        <v>8.0</v>
      </c>
      <c r="H237" s="1" t="s">
        <v>14</v>
      </c>
      <c r="I237" s="2">
        <v>45869.0</v>
      </c>
      <c r="J237" s="1">
        <v>165000.0</v>
      </c>
      <c r="K237" s="2">
        <v>45839.0</v>
      </c>
    </row>
    <row r="238">
      <c r="A238" s="1" t="s">
        <v>40</v>
      </c>
      <c r="B238" s="1" t="s">
        <v>41</v>
      </c>
      <c r="C238" s="1" t="s">
        <v>42</v>
      </c>
      <c r="D238" s="1">
        <v>18.0</v>
      </c>
      <c r="E238" s="1">
        <v>15.0</v>
      </c>
      <c r="F238" s="1">
        <v>3.0</v>
      </c>
      <c r="G238" s="1">
        <v>5.0</v>
      </c>
      <c r="H238" s="1" t="s">
        <v>43</v>
      </c>
      <c r="I238" s="2">
        <v>45774.0</v>
      </c>
      <c r="J238" s="1">
        <v>1200000.0</v>
      </c>
      <c r="K238" s="2">
        <v>45748.0</v>
      </c>
    </row>
    <row r="239">
      <c r="A239" s="1" t="s">
        <v>25</v>
      </c>
      <c r="B239" s="1" t="s">
        <v>26</v>
      </c>
      <c r="C239" s="1" t="s">
        <v>17</v>
      </c>
      <c r="D239" s="1">
        <v>29.0</v>
      </c>
      <c r="E239" s="1">
        <v>25.0</v>
      </c>
      <c r="F239" s="1">
        <v>4.0</v>
      </c>
      <c r="G239" s="1">
        <v>11.0</v>
      </c>
      <c r="H239" s="1" t="s">
        <v>27</v>
      </c>
      <c r="I239" s="2">
        <v>45917.0</v>
      </c>
      <c r="J239" s="1">
        <v>4500000.0</v>
      </c>
      <c r="K239" s="2">
        <v>45901.0</v>
      </c>
    </row>
    <row r="240">
      <c r="A240" s="1" t="s">
        <v>48</v>
      </c>
      <c r="B240" s="1" t="s">
        <v>49</v>
      </c>
      <c r="C240" s="1" t="s">
        <v>36</v>
      </c>
      <c r="D240" s="1">
        <v>68.0</v>
      </c>
      <c r="E240" s="1">
        <v>120.0</v>
      </c>
      <c r="F240" s="1">
        <v>16.0</v>
      </c>
      <c r="G240" s="1">
        <v>6.0</v>
      </c>
      <c r="H240" s="1" t="s">
        <v>50</v>
      </c>
      <c r="I240" s="2">
        <v>45672.0</v>
      </c>
      <c r="J240" s="1">
        <v>55000.0</v>
      </c>
      <c r="K240" s="2">
        <v>45658.0</v>
      </c>
    </row>
    <row r="241">
      <c r="A241" s="1" t="s">
        <v>46</v>
      </c>
      <c r="B241" s="1" t="s">
        <v>47</v>
      </c>
      <c r="C241" s="1" t="s">
        <v>23</v>
      </c>
      <c r="D241" s="1">
        <v>35.0</v>
      </c>
      <c r="E241" s="1">
        <v>40.0</v>
      </c>
      <c r="F241" s="1">
        <v>4.0</v>
      </c>
      <c r="G241" s="1">
        <v>5.0</v>
      </c>
      <c r="H241" s="1" t="s">
        <v>30</v>
      </c>
      <c r="I241" s="2">
        <v>46161.0</v>
      </c>
      <c r="J241" s="1">
        <v>550000.0</v>
      </c>
      <c r="K241" s="2">
        <v>45809.0</v>
      </c>
    </row>
    <row r="242">
      <c r="A242" s="1" t="s">
        <v>38</v>
      </c>
      <c r="B242" s="1" t="s">
        <v>39</v>
      </c>
      <c r="C242" s="1" t="s">
        <v>23</v>
      </c>
      <c r="D242" s="1">
        <v>15.0</v>
      </c>
      <c r="E242" s="1">
        <v>45.0</v>
      </c>
      <c r="F242" s="1">
        <v>7.0</v>
      </c>
      <c r="G242" s="1">
        <v>4.0</v>
      </c>
      <c r="H242" s="1" t="s">
        <v>24</v>
      </c>
      <c r="I242" s="2">
        <v>45856.0</v>
      </c>
      <c r="J242" s="1">
        <v>450000.0</v>
      </c>
      <c r="K242" s="2">
        <v>45839.0</v>
      </c>
    </row>
    <row r="243">
      <c r="A243" s="1" t="s">
        <v>11</v>
      </c>
      <c r="B243" s="1" t="s">
        <v>12</v>
      </c>
      <c r="C243" s="1" t="s">
        <v>13</v>
      </c>
      <c r="D243" s="1">
        <v>172.0</v>
      </c>
      <c r="E243" s="1">
        <v>50.0</v>
      </c>
      <c r="F243" s="1">
        <v>2.0</v>
      </c>
      <c r="G243" s="1">
        <v>6.0</v>
      </c>
      <c r="H243" s="1" t="s">
        <v>14</v>
      </c>
      <c r="I243" s="2">
        <v>46018.0</v>
      </c>
      <c r="J243" s="1">
        <v>125000.0</v>
      </c>
      <c r="K243" s="2">
        <v>45992.0</v>
      </c>
    </row>
    <row r="244">
      <c r="A244" s="1" t="s">
        <v>62</v>
      </c>
      <c r="B244" s="1" t="s">
        <v>63</v>
      </c>
      <c r="C244" s="1" t="s">
        <v>13</v>
      </c>
      <c r="D244" s="1">
        <v>392.0</v>
      </c>
      <c r="E244" s="1">
        <v>80.0</v>
      </c>
      <c r="F244" s="1">
        <v>3.0</v>
      </c>
      <c r="G244" s="1">
        <v>6.0</v>
      </c>
      <c r="H244" s="1" t="s">
        <v>33</v>
      </c>
      <c r="I244" s="2">
        <v>46030.0</v>
      </c>
      <c r="J244" s="1">
        <v>85000.0</v>
      </c>
      <c r="K244" s="2">
        <v>46023.0</v>
      </c>
    </row>
    <row r="245">
      <c r="A245" s="1" t="s">
        <v>53</v>
      </c>
      <c r="B245" s="1" t="s">
        <v>54</v>
      </c>
      <c r="C245" s="1" t="s">
        <v>13</v>
      </c>
      <c r="D245" s="1">
        <v>205.0</v>
      </c>
      <c r="E245" s="1">
        <v>60.0</v>
      </c>
      <c r="F245" s="1">
        <v>4.0</v>
      </c>
      <c r="G245" s="1">
        <v>7.0</v>
      </c>
      <c r="H245" s="1" t="s">
        <v>14</v>
      </c>
      <c r="I245" s="2">
        <v>45739.0</v>
      </c>
      <c r="J245" s="1">
        <v>165000.0</v>
      </c>
      <c r="K245" s="2">
        <v>45717.0</v>
      </c>
    </row>
    <row r="246">
      <c r="A246" s="1" t="s">
        <v>60</v>
      </c>
      <c r="B246" s="1" t="s">
        <v>61</v>
      </c>
      <c r="C246" s="1" t="s">
        <v>17</v>
      </c>
      <c r="D246" s="1">
        <v>7.0</v>
      </c>
      <c r="E246" s="1">
        <v>20.0</v>
      </c>
      <c r="F246" s="1">
        <v>2.0</v>
      </c>
      <c r="G246" s="1">
        <v>7.0</v>
      </c>
      <c r="H246" s="1" t="s">
        <v>27</v>
      </c>
      <c r="I246" s="2">
        <v>45933.0</v>
      </c>
      <c r="J246" s="1">
        <v>3200000.0</v>
      </c>
      <c r="K246" s="2">
        <v>45931.0</v>
      </c>
    </row>
    <row r="247">
      <c r="A247" s="1" t="s">
        <v>55</v>
      </c>
      <c r="B247" s="1" t="s">
        <v>56</v>
      </c>
      <c r="C247" s="1" t="s">
        <v>36</v>
      </c>
      <c r="D247" s="1">
        <v>60.0</v>
      </c>
      <c r="E247" s="1">
        <v>100.0</v>
      </c>
      <c r="F247" s="1">
        <v>22.0</v>
      </c>
      <c r="G247" s="1">
        <v>5.0</v>
      </c>
      <c r="H247" s="1" t="s">
        <v>37</v>
      </c>
      <c r="I247" s="2">
        <v>46109.0</v>
      </c>
      <c r="J247" s="1">
        <v>85000.0</v>
      </c>
      <c r="K247" s="2">
        <v>46082.0</v>
      </c>
    </row>
    <row r="248">
      <c r="A248" s="1" t="s">
        <v>11</v>
      </c>
      <c r="B248" s="1" t="s">
        <v>12</v>
      </c>
      <c r="C248" s="1" t="s">
        <v>13</v>
      </c>
      <c r="D248" s="1">
        <v>230.0</v>
      </c>
      <c r="E248" s="1">
        <v>50.0</v>
      </c>
      <c r="F248" s="1">
        <v>1.0</v>
      </c>
      <c r="G248" s="1">
        <v>4.0</v>
      </c>
      <c r="H248" s="1" t="s">
        <v>14</v>
      </c>
      <c r="I248" s="2">
        <v>45939.0</v>
      </c>
      <c r="J248" s="1">
        <v>125000.0</v>
      </c>
      <c r="K248" s="2">
        <v>45931.0</v>
      </c>
    </row>
    <row r="249">
      <c r="A249" s="1" t="s">
        <v>34</v>
      </c>
      <c r="B249" s="1" t="s">
        <v>35</v>
      </c>
      <c r="C249" s="1" t="s">
        <v>36</v>
      </c>
      <c r="D249" s="1">
        <v>0.0</v>
      </c>
      <c r="E249" s="1">
        <v>80.0</v>
      </c>
      <c r="F249" s="1">
        <v>17.0</v>
      </c>
      <c r="G249" s="1">
        <v>5.0</v>
      </c>
      <c r="H249" s="1" t="s">
        <v>37</v>
      </c>
      <c r="I249" s="2">
        <v>46012.0</v>
      </c>
      <c r="J249" s="1">
        <v>65000.0</v>
      </c>
      <c r="K249" s="2">
        <v>45992.0</v>
      </c>
    </row>
    <row r="250">
      <c r="A250" s="1" t="s">
        <v>62</v>
      </c>
      <c r="B250" s="1" t="s">
        <v>63</v>
      </c>
      <c r="C250" s="1" t="s">
        <v>13</v>
      </c>
      <c r="D250" s="1">
        <v>302.0</v>
      </c>
      <c r="E250" s="1">
        <v>80.0</v>
      </c>
      <c r="F250" s="1">
        <v>3.0</v>
      </c>
      <c r="G250" s="1">
        <v>5.0</v>
      </c>
      <c r="H250" s="1" t="s">
        <v>33</v>
      </c>
      <c r="I250" s="2">
        <v>45797.0</v>
      </c>
      <c r="J250" s="1">
        <v>85000.0</v>
      </c>
      <c r="K250" s="2">
        <v>45778.0</v>
      </c>
    </row>
    <row r="251">
      <c r="A251" s="1" t="s">
        <v>15</v>
      </c>
      <c r="B251" s="1" t="s">
        <v>16</v>
      </c>
      <c r="C251" s="1" t="s">
        <v>17</v>
      </c>
      <c r="D251" s="1">
        <v>9.0</v>
      </c>
      <c r="E251" s="1">
        <v>15.0</v>
      </c>
      <c r="F251" s="1">
        <v>1.0</v>
      </c>
      <c r="G251" s="1">
        <v>6.0</v>
      </c>
      <c r="H251" s="1" t="s">
        <v>18</v>
      </c>
      <c r="I251" s="2">
        <v>46109.0</v>
      </c>
      <c r="J251" s="1">
        <v>8500000.0</v>
      </c>
      <c r="K251" s="2">
        <v>46082.0</v>
      </c>
    </row>
    <row r="252">
      <c r="A252" s="1" t="s">
        <v>19</v>
      </c>
      <c r="B252" s="1" t="s">
        <v>20</v>
      </c>
      <c r="C252" s="1" t="s">
        <v>17</v>
      </c>
      <c r="D252" s="1">
        <v>26.0</v>
      </c>
      <c r="E252" s="1">
        <v>30.0</v>
      </c>
      <c r="F252" s="1">
        <v>2.0</v>
      </c>
      <c r="G252" s="1">
        <v>9.0</v>
      </c>
      <c r="H252" s="1" t="s">
        <v>18</v>
      </c>
      <c r="I252" s="2">
        <v>45731.0</v>
      </c>
      <c r="J252" s="1">
        <v>1200000.0</v>
      </c>
      <c r="K252" s="2">
        <v>45717.0</v>
      </c>
    </row>
    <row r="253">
      <c r="A253" s="1" t="s">
        <v>28</v>
      </c>
      <c r="B253" s="1" t="s">
        <v>29</v>
      </c>
      <c r="C253" s="1" t="s">
        <v>23</v>
      </c>
      <c r="D253" s="1">
        <v>20.0</v>
      </c>
      <c r="E253" s="1">
        <v>35.0</v>
      </c>
      <c r="F253" s="1">
        <v>5.0</v>
      </c>
      <c r="G253" s="1">
        <v>8.0</v>
      </c>
      <c r="H253" s="1" t="s">
        <v>30</v>
      </c>
      <c r="I253" s="2">
        <v>45784.0</v>
      </c>
      <c r="J253" s="1">
        <v>1250000.0</v>
      </c>
      <c r="K253" s="2">
        <v>45778.0</v>
      </c>
    </row>
    <row r="254">
      <c r="A254" s="1" t="s">
        <v>51</v>
      </c>
      <c r="B254" s="1" t="s">
        <v>52</v>
      </c>
      <c r="C254" s="1" t="s">
        <v>36</v>
      </c>
      <c r="D254" s="1">
        <v>15.0</v>
      </c>
      <c r="E254" s="1">
        <v>60.0</v>
      </c>
      <c r="F254" s="1">
        <v>7.0</v>
      </c>
      <c r="G254" s="1">
        <v>5.0</v>
      </c>
      <c r="H254" s="1" t="s">
        <v>50</v>
      </c>
      <c r="I254" s="2">
        <v>45827.0</v>
      </c>
      <c r="J254" s="1">
        <v>175000.0</v>
      </c>
      <c r="K254" s="2">
        <v>45809.0</v>
      </c>
    </row>
    <row r="255" hidden="1">
      <c r="A255" s="1" t="s">
        <v>11</v>
      </c>
      <c r="B255" s="1" t="s">
        <v>12</v>
      </c>
      <c r="C255" s="1" t="s">
        <v>13</v>
      </c>
      <c r="D255" s="1">
        <v>-15.0</v>
      </c>
      <c r="E255" s="1">
        <v>50.0</v>
      </c>
      <c r="F255" s="1">
        <v>3.0</v>
      </c>
      <c r="G255" s="1">
        <v>6.0</v>
      </c>
      <c r="H255" s="1" t="s">
        <v>14</v>
      </c>
      <c r="I255" s="2">
        <v>45734.0</v>
      </c>
      <c r="J255" s="1">
        <v>125000.0</v>
      </c>
      <c r="K255" s="2">
        <v>45717.0</v>
      </c>
    </row>
    <row r="256">
      <c r="A256" s="1" t="s">
        <v>51</v>
      </c>
      <c r="B256" s="1" t="s">
        <v>52</v>
      </c>
      <c r="C256" s="1" t="s">
        <v>36</v>
      </c>
      <c r="D256" s="1">
        <v>0.0</v>
      </c>
      <c r="E256" s="1">
        <v>60.0</v>
      </c>
      <c r="F256" s="1">
        <v>11.0</v>
      </c>
      <c r="G256" s="1">
        <v>5.0</v>
      </c>
      <c r="H256" s="1" t="s">
        <v>50</v>
      </c>
      <c r="I256" s="2">
        <v>46083.0</v>
      </c>
      <c r="J256" s="1">
        <v>175000.0</v>
      </c>
      <c r="K256" s="2">
        <v>46082.0</v>
      </c>
    </row>
    <row r="257">
      <c r="A257" s="1" t="s">
        <v>62</v>
      </c>
      <c r="B257" s="1" t="s">
        <v>63</v>
      </c>
      <c r="C257" s="1" t="s">
        <v>13</v>
      </c>
      <c r="D257" s="1">
        <v>386.0</v>
      </c>
      <c r="E257" s="1">
        <v>80.0</v>
      </c>
      <c r="F257" s="1">
        <v>3.0</v>
      </c>
      <c r="G257" s="1">
        <v>6.0</v>
      </c>
      <c r="H257" s="1" t="s">
        <v>33</v>
      </c>
      <c r="I257" s="2">
        <v>45852.0</v>
      </c>
      <c r="J257" s="1">
        <v>85000.0</v>
      </c>
      <c r="K257" s="2">
        <v>45839.0</v>
      </c>
    </row>
    <row r="258">
      <c r="A258" s="1" t="s">
        <v>40</v>
      </c>
      <c r="B258" s="1" t="s">
        <v>41</v>
      </c>
      <c r="C258" s="1" t="s">
        <v>42</v>
      </c>
      <c r="D258" s="1">
        <v>9.0</v>
      </c>
      <c r="E258" s="1">
        <v>15.0</v>
      </c>
      <c r="F258" s="1">
        <v>1.0</v>
      </c>
      <c r="G258" s="1">
        <v>8.0</v>
      </c>
      <c r="H258" s="1" t="s">
        <v>43</v>
      </c>
      <c r="I258" s="2">
        <v>46014.0</v>
      </c>
      <c r="J258" s="1">
        <v>1200000.0</v>
      </c>
      <c r="K258" s="2">
        <v>45992.0</v>
      </c>
    </row>
    <row r="259">
      <c r="A259" s="1" t="s">
        <v>60</v>
      </c>
      <c r="B259" s="1" t="s">
        <v>61</v>
      </c>
      <c r="C259" s="1" t="s">
        <v>17</v>
      </c>
      <c r="D259" s="1">
        <v>27.0</v>
      </c>
      <c r="E259" s="1">
        <v>20.0</v>
      </c>
      <c r="F259" s="1">
        <v>2.0</v>
      </c>
      <c r="G259" s="1">
        <v>13.0</v>
      </c>
      <c r="H259" s="1" t="s">
        <v>27</v>
      </c>
      <c r="I259" s="2">
        <v>46057.0</v>
      </c>
      <c r="J259" s="1">
        <v>3200000.0</v>
      </c>
      <c r="K259" s="2">
        <v>46054.0</v>
      </c>
    </row>
    <row r="260">
      <c r="A260" s="1" t="s">
        <v>53</v>
      </c>
      <c r="B260" s="1" t="s">
        <v>54</v>
      </c>
      <c r="C260" s="1" t="s">
        <v>13</v>
      </c>
      <c r="D260" s="1">
        <v>292.0</v>
      </c>
      <c r="E260" s="1">
        <v>60.0</v>
      </c>
      <c r="F260" s="1">
        <v>3.0</v>
      </c>
      <c r="G260" s="1">
        <v>6.0</v>
      </c>
      <c r="H260" s="1" t="s">
        <v>14</v>
      </c>
      <c r="I260" s="2">
        <v>45888.0</v>
      </c>
      <c r="J260" s="1">
        <v>165000.0</v>
      </c>
      <c r="K260" s="2">
        <v>45870.0</v>
      </c>
    </row>
    <row r="261">
      <c r="A261" s="1" t="s">
        <v>31</v>
      </c>
      <c r="B261" s="1" t="s">
        <v>32</v>
      </c>
      <c r="C261" s="1" t="s">
        <v>13</v>
      </c>
      <c r="D261" s="1">
        <v>186.0</v>
      </c>
      <c r="E261" s="1">
        <v>40.0</v>
      </c>
      <c r="F261" s="1">
        <v>2.0</v>
      </c>
      <c r="G261" s="1">
        <v>4.0</v>
      </c>
      <c r="H261" s="1" t="s">
        <v>33</v>
      </c>
      <c r="I261" s="2">
        <v>45971.0</v>
      </c>
      <c r="J261" s="1">
        <v>550000.0</v>
      </c>
      <c r="K261" s="2">
        <v>45962.0</v>
      </c>
    </row>
    <row r="262">
      <c r="A262" s="1" t="s">
        <v>34</v>
      </c>
      <c r="B262" s="1" t="s">
        <v>35</v>
      </c>
      <c r="C262" s="1" t="s">
        <v>36</v>
      </c>
      <c r="D262" s="1">
        <v>35.0</v>
      </c>
      <c r="E262" s="1">
        <v>80.0</v>
      </c>
      <c r="F262" s="1">
        <v>13.0</v>
      </c>
      <c r="G262" s="1">
        <v>4.0</v>
      </c>
      <c r="H262" s="1" t="s">
        <v>37</v>
      </c>
      <c r="I262" s="2">
        <v>45800.0</v>
      </c>
      <c r="J262" s="1">
        <v>65000.0</v>
      </c>
      <c r="K262" s="2">
        <v>45778.0</v>
      </c>
    </row>
    <row r="263">
      <c r="A263" s="1" t="s">
        <v>46</v>
      </c>
      <c r="B263" s="1" t="s">
        <v>47</v>
      </c>
      <c r="C263" s="1" t="s">
        <v>23</v>
      </c>
      <c r="D263" s="1">
        <v>14.0</v>
      </c>
      <c r="E263" s="1">
        <v>40.0</v>
      </c>
      <c r="F263" s="1">
        <v>4.0</v>
      </c>
      <c r="G263" s="1">
        <v>8.0</v>
      </c>
      <c r="H263" s="1" t="s">
        <v>30</v>
      </c>
      <c r="I263" s="2">
        <v>45687.0</v>
      </c>
      <c r="J263" s="1">
        <v>550000.0</v>
      </c>
      <c r="K263" s="2">
        <v>45658.0</v>
      </c>
    </row>
    <row r="264">
      <c r="A264" s="1" t="s">
        <v>19</v>
      </c>
      <c r="B264" s="1" t="s">
        <v>20</v>
      </c>
      <c r="C264" s="1" t="s">
        <v>17</v>
      </c>
      <c r="D264" s="1">
        <v>31.0</v>
      </c>
      <c r="E264" s="1">
        <v>30.0</v>
      </c>
      <c r="F264" s="1">
        <v>3.0</v>
      </c>
      <c r="G264" s="1">
        <v>8.0</v>
      </c>
      <c r="H264" s="1" t="s">
        <v>18</v>
      </c>
      <c r="I264" s="2">
        <v>45929.0</v>
      </c>
      <c r="J264" s="1">
        <v>1200000.0</v>
      </c>
      <c r="K264" s="2">
        <v>45901.0</v>
      </c>
    </row>
    <row r="265">
      <c r="A265" s="1" t="s">
        <v>15</v>
      </c>
      <c r="B265" s="1" t="s">
        <v>16</v>
      </c>
      <c r="C265" s="1" t="s">
        <v>17</v>
      </c>
      <c r="D265" s="1">
        <v>13.0</v>
      </c>
      <c r="E265" s="1">
        <v>15.0</v>
      </c>
      <c r="F265" s="1">
        <v>1.0</v>
      </c>
      <c r="G265" s="1">
        <v>5.0</v>
      </c>
      <c r="H265" s="1" t="s">
        <v>18</v>
      </c>
      <c r="I265" s="2">
        <v>45710.0</v>
      </c>
      <c r="J265" s="1">
        <v>8500000.0</v>
      </c>
      <c r="K265" s="2">
        <v>45689.0</v>
      </c>
    </row>
    <row r="266">
      <c r="A266" s="1" t="s">
        <v>19</v>
      </c>
      <c r="B266" s="1" t="s">
        <v>20</v>
      </c>
      <c r="C266" s="1" t="s">
        <v>17</v>
      </c>
      <c r="D266" s="1">
        <v>26.0</v>
      </c>
      <c r="E266" s="1">
        <v>30.0</v>
      </c>
      <c r="F266" s="1">
        <v>4.0</v>
      </c>
      <c r="G266" s="1">
        <v>8.0</v>
      </c>
      <c r="H266" s="1" t="s">
        <v>18</v>
      </c>
      <c r="I266" s="2">
        <v>45803.0</v>
      </c>
      <c r="J266" s="1">
        <v>1200000.0</v>
      </c>
      <c r="K266" s="2">
        <v>45778.0</v>
      </c>
    </row>
    <row r="267">
      <c r="A267" s="1" t="s">
        <v>38</v>
      </c>
      <c r="B267" s="1" t="s">
        <v>39</v>
      </c>
      <c r="C267" s="1" t="s">
        <v>23</v>
      </c>
      <c r="D267" s="1">
        <v>36.0</v>
      </c>
      <c r="E267" s="1">
        <v>45.0</v>
      </c>
      <c r="F267" s="1">
        <v>4.0</v>
      </c>
      <c r="G267" s="1">
        <v>3.0</v>
      </c>
      <c r="H267" s="1" t="s">
        <v>24</v>
      </c>
      <c r="I267" s="2">
        <v>45812.0</v>
      </c>
      <c r="J267" s="1">
        <v>450000.0</v>
      </c>
      <c r="K267" s="2">
        <v>45809.0</v>
      </c>
    </row>
    <row r="268">
      <c r="A268" s="1" t="s">
        <v>62</v>
      </c>
      <c r="B268" s="1" t="s">
        <v>63</v>
      </c>
      <c r="C268" s="1" t="s">
        <v>13</v>
      </c>
      <c r="D268" s="1">
        <v>264.0</v>
      </c>
      <c r="E268" s="1">
        <v>80.0</v>
      </c>
      <c r="F268" s="1">
        <v>3.0</v>
      </c>
      <c r="G268" s="1">
        <v>5.0</v>
      </c>
      <c r="H268" s="1" t="s">
        <v>33</v>
      </c>
      <c r="I268" s="2">
        <v>45984.0</v>
      </c>
      <c r="J268" s="1">
        <v>85000.0</v>
      </c>
      <c r="K268" s="2">
        <v>45962.0</v>
      </c>
    </row>
    <row r="269">
      <c r="A269" s="1" t="s">
        <v>60</v>
      </c>
      <c r="B269" s="1" t="s">
        <v>61</v>
      </c>
      <c r="C269" s="1" t="s">
        <v>17</v>
      </c>
      <c r="D269" s="1">
        <v>38.0</v>
      </c>
      <c r="E269" s="1">
        <v>20.0</v>
      </c>
      <c r="F269" s="1">
        <v>2.0</v>
      </c>
      <c r="G269" s="1">
        <v>11.0</v>
      </c>
      <c r="H269" s="1" t="s">
        <v>27</v>
      </c>
      <c r="I269" s="2">
        <v>45782.0</v>
      </c>
      <c r="J269" s="1">
        <v>3200000.0</v>
      </c>
      <c r="K269" s="2">
        <v>45778.0</v>
      </c>
    </row>
    <row r="270">
      <c r="A270" s="1" t="s">
        <v>34</v>
      </c>
      <c r="B270" s="1" t="s">
        <v>35</v>
      </c>
      <c r="C270" s="1" t="s">
        <v>36</v>
      </c>
      <c r="D270" s="1">
        <v>46.0</v>
      </c>
      <c r="E270" s="1">
        <v>80.0</v>
      </c>
      <c r="F270" s="1">
        <v>13.0</v>
      </c>
      <c r="G270" s="1">
        <v>5.0</v>
      </c>
      <c r="H270" s="1" t="s">
        <v>37</v>
      </c>
      <c r="I270" s="2">
        <v>45924.0</v>
      </c>
      <c r="J270" s="1">
        <v>65000.0</v>
      </c>
      <c r="K270" s="2">
        <v>45901.0</v>
      </c>
    </row>
    <row r="271">
      <c r="A271" s="1" t="s">
        <v>28</v>
      </c>
      <c r="B271" s="1" t="s">
        <v>29</v>
      </c>
      <c r="C271" s="1" t="s">
        <v>23</v>
      </c>
      <c r="D271" s="1">
        <v>27.0</v>
      </c>
      <c r="E271" s="1">
        <v>35.0</v>
      </c>
      <c r="F271" s="1">
        <v>5.0</v>
      </c>
      <c r="G271" s="1">
        <v>3.0</v>
      </c>
      <c r="H271" s="1" t="s">
        <v>30</v>
      </c>
      <c r="I271" s="2">
        <v>45701.0</v>
      </c>
      <c r="J271" s="1">
        <v>1250000.0</v>
      </c>
      <c r="K271" s="2">
        <v>45689.0</v>
      </c>
    </row>
    <row r="272">
      <c r="A272" s="1" t="s">
        <v>19</v>
      </c>
      <c r="B272" s="1" t="s">
        <v>20</v>
      </c>
      <c r="C272" s="1" t="s">
        <v>17</v>
      </c>
      <c r="D272" s="1">
        <v>44.0</v>
      </c>
      <c r="E272" s="1">
        <v>30.0</v>
      </c>
      <c r="F272" s="1">
        <v>4.0</v>
      </c>
      <c r="G272" s="1">
        <v>8.0</v>
      </c>
      <c r="H272" s="1" t="s">
        <v>18</v>
      </c>
      <c r="I272" s="2">
        <v>45885.0</v>
      </c>
      <c r="J272" s="1">
        <v>1200000.0</v>
      </c>
      <c r="K272" s="2">
        <v>45870.0</v>
      </c>
    </row>
    <row r="273">
      <c r="A273" s="1" t="s">
        <v>34</v>
      </c>
      <c r="B273" s="1" t="s">
        <v>35</v>
      </c>
      <c r="C273" s="1" t="s">
        <v>36</v>
      </c>
      <c r="D273" s="1">
        <v>34.0</v>
      </c>
      <c r="E273" s="1">
        <v>80.0</v>
      </c>
      <c r="F273" s="1">
        <v>9.0</v>
      </c>
      <c r="G273" s="1">
        <v>3.0</v>
      </c>
      <c r="H273" s="1" t="s">
        <v>37</v>
      </c>
      <c r="I273" s="2">
        <v>45950.0</v>
      </c>
      <c r="J273" s="1">
        <v>65000.0</v>
      </c>
      <c r="K273" s="2">
        <v>45931.0</v>
      </c>
    </row>
    <row r="274">
      <c r="A274" s="1" t="s">
        <v>55</v>
      </c>
      <c r="B274" s="1" t="s">
        <v>56</v>
      </c>
      <c r="C274" s="1" t="s">
        <v>36</v>
      </c>
      <c r="D274" s="1">
        <v>145.0</v>
      </c>
      <c r="E274" s="1">
        <v>100.0</v>
      </c>
      <c r="F274" s="1">
        <v>17.0</v>
      </c>
      <c r="G274" s="1">
        <v>4.0</v>
      </c>
      <c r="H274" s="1" t="s">
        <v>37</v>
      </c>
      <c r="I274" s="2">
        <v>45711.0</v>
      </c>
      <c r="J274" s="1">
        <v>85000.0</v>
      </c>
      <c r="K274" s="2">
        <v>45689.0</v>
      </c>
    </row>
    <row r="275">
      <c r="A275" s="1" t="s">
        <v>15</v>
      </c>
      <c r="B275" s="1" t="s">
        <v>16</v>
      </c>
      <c r="C275" s="1" t="s">
        <v>17</v>
      </c>
      <c r="D275" s="1">
        <v>15.0</v>
      </c>
      <c r="E275" s="1">
        <v>15.0</v>
      </c>
      <c r="F275" s="1">
        <v>1.0</v>
      </c>
      <c r="G275" s="1">
        <v>5.0</v>
      </c>
      <c r="H275" s="1" t="s">
        <v>18</v>
      </c>
      <c r="I275" s="2">
        <v>46055.0</v>
      </c>
      <c r="J275" s="1">
        <v>8500000.0</v>
      </c>
      <c r="K275" s="2">
        <v>46054.0</v>
      </c>
    </row>
    <row r="276">
      <c r="A276" s="1" t="s">
        <v>38</v>
      </c>
      <c r="B276" s="1" t="s">
        <v>39</v>
      </c>
      <c r="C276" s="1" t="s">
        <v>23</v>
      </c>
      <c r="D276" s="1">
        <v>12.0</v>
      </c>
      <c r="E276" s="1">
        <v>45.0</v>
      </c>
      <c r="F276" s="1">
        <v>8.0</v>
      </c>
      <c r="G276" s="1">
        <v>6.0</v>
      </c>
      <c r="H276" s="1" t="s">
        <v>24</v>
      </c>
      <c r="I276" s="2">
        <v>46054.0</v>
      </c>
      <c r="J276" s="1">
        <v>450000.0</v>
      </c>
      <c r="K276" s="2">
        <v>46054.0</v>
      </c>
    </row>
    <row r="277">
      <c r="A277" s="1" t="s">
        <v>51</v>
      </c>
      <c r="B277" s="1" t="s">
        <v>52</v>
      </c>
      <c r="C277" s="1" t="s">
        <v>36</v>
      </c>
      <c r="D277" s="1">
        <v>19.0</v>
      </c>
      <c r="E277" s="1">
        <v>60.0</v>
      </c>
      <c r="F277" s="1">
        <v>6.0</v>
      </c>
      <c r="G277" s="1">
        <v>6.0</v>
      </c>
      <c r="H277" s="1" t="s">
        <v>50</v>
      </c>
      <c r="I277" s="2">
        <v>45775.0</v>
      </c>
      <c r="J277" s="1">
        <v>175000.0</v>
      </c>
      <c r="K277" s="2">
        <v>45748.0</v>
      </c>
    </row>
    <row r="278" hidden="1">
      <c r="A278" s="1" t="s">
        <v>44</v>
      </c>
      <c r="B278" s="1" t="s">
        <v>45</v>
      </c>
      <c r="C278" s="1" t="s">
        <v>42</v>
      </c>
      <c r="D278" s="1">
        <v>22.0</v>
      </c>
      <c r="E278" s="1">
        <v>30.0</v>
      </c>
      <c r="F278" s="1">
        <v>6.0</v>
      </c>
      <c r="H278" s="1" t="s">
        <v>43</v>
      </c>
      <c r="I278" s="2">
        <v>45702.0</v>
      </c>
      <c r="J278" s="1">
        <v>350000.0</v>
      </c>
      <c r="K278" s="2">
        <v>45689.0</v>
      </c>
    </row>
    <row r="279">
      <c r="A279" s="1" t="s">
        <v>44</v>
      </c>
      <c r="B279" s="1" t="s">
        <v>45</v>
      </c>
      <c r="C279" s="1" t="s">
        <v>42</v>
      </c>
      <c r="D279" s="1">
        <v>59.0</v>
      </c>
      <c r="E279" s="1">
        <v>30.0</v>
      </c>
      <c r="F279" s="1">
        <v>3.0</v>
      </c>
      <c r="G279" s="1">
        <v>6.0</v>
      </c>
      <c r="H279" s="1" t="s">
        <v>43</v>
      </c>
      <c r="I279" s="2">
        <v>45880.0</v>
      </c>
      <c r="J279" s="1">
        <v>350000.0</v>
      </c>
      <c r="K279" s="2">
        <v>45870.0</v>
      </c>
    </row>
    <row r="280">
      <c r="A280" s="1" t="s">
        <v>64</v>
      </c>
      <c r="B280" s="1" t="s">
        <v>65</v>
      </c>
      <c r="C280" s="1" t="s">
        <v>42</v>
      </c>
      <c r="D280" s="1">
        <v>41.0</v>
      </c>
      <c r="E280" s="1">
        <v>20.0</v>
      </c>
      <c r="F280" s="1">
        <v>3.0</v>
      </c>
      <c r="G280" s="1">
        <v>9.0</v>
      </c>
      <c r="H280" s="1" t="s">
        <v>59</v>
      </c>
      <c r="I280" s="2">
        <v>46092.0</v>
      </c>
      <c r="J280" s="1">
        <v>750000.0</v>
      </c>
      <c r="K280" s="2">
        <v>46082.0</v>
      </c>
    </row>
    <row r="281" hidden="1">
      <c r="A281" s="1" t="s">
        <v>48</v>
      </c>
      <c r="B281" s="1" t="s">
        <v>49</v>
      </c>
      <c r="C281" s="1" t="s">
        <v>36</v>
      </c>
      <c r="D281" s="1">
        <v>121.0</v>
      </c>
      <c r="E281" s="1">
        <v>120.0</v>
      </c>
      <c r="F281" s="1">
        <v>27.0</v>
      </c>
      <c r="H281" s="1" t="s">
        <v>50</v>
      </c>
      <c r="I281" s="2">
        <v>46095.0</v>
      </c>
      <c r="J281" s="1">
        <v>55000.0</v>
      </c>
      <c r="K281" s="2">
        <v>46082.0</v>
      </c>
    </row>
    <row r="282">
      <c r="A282" s="1" t="s">
        <v>55</v>
      </c>
      <c r="B282" s="1" t="s">
        <v>56</v>
      </c>
      <c r="C282" s="1" t="s">
        <v>36</v>
      </c>
      <c r="D282" s="1">
        <v>125.0</v>
      </c>
      <c r="E282" s="1">
        <v>100.0</v>
      </c>
      <c r="F282" s="1">
        <v>14.0</v>
      </c>
      <c r="G282" s="1">
        <v>4.0</v>
      </c>
      <c r="H282" s="1" t="s">
        <v>37</v>
      </c>
      <c r="I282" s="2">
        <v>45775.0</v>
      </c>
      <c r="J282" s="1">
        <v>85000.0</v>
      </c>
      <c r="K282" s="2">
        <v>45748.0</v>
      </c>
    </row>
    <row r="283">
      <c r="A283" s="1" t="s">
        <v>19</v>
      </c>
      <c r="B283" s="1" t="s">
        <v>20</v>
      </c>
      <c r="C283" s="1" t="s">
        <v>17</v>
      </c>
      <c r="D283" s="1">
        <v>42.0</v>
      </c>
      <c r="E283" s="1">
        <v>30.0</v>
      </c>
      <c r="F283" s="1">
        <v>4.0</v>
      </c>
      <c r="G283" s="1">
        <v>7.0</v>
      </c>
      <c r="H283" s="1" t="s">
        <v>18</v>
      </c>
      <c r="I283" s="2">
        <v>45960.0</v>
      </c>
      <c r="J283" s="1">
        <v>1200000.0</v>
      </c>
      <c r="K283" s="2">
        <v>45931.0</v>
      </c>
    </row>
    <row r="284">
      <c r="A284" s="1" t="s">
        <v>19</v>
      </c>
      <c r="B284" s="1" t="s">
        <v>20</v>
      </c>
      <c r="C284" s="1" t="s">
        <v>17</v>
      </c>
      <c r="D284" s="1">
        <v>21.0</v>
      </c>
      <c r="E284" s="1">
        <v>30.0</v>
      </c>
      <c r="F284" s="1">
        <v>4.0</v>
      </c>
      <c r="G284" s="1">
        <v>9.0</v>
      </c>
      <c r="H284" s="1" t="s">
        <v>18</v>
      </c>
      <c r="I284" s="2">
        <v>46197.0</v>
      </c>
      <c r="J284" s="1">
        <v>1200000.0</v>
      </c>
      <c r="K284" s="2">
        <v>45809.0</v>
      </c>
    </row>
    <row r="285">
      <c r="A285" s="1" t="s">
        <v>44</v>
      </c>
      <c r="B285" s="1" t="s">
        <v>45</v>
      </c>
      <c r="C285" s="1" t="s">
        <v>42</v>
      </c>
      <c r="D285" s="1">
        <v>41.0</v>
      </c>
      <c r="E285" s="1">
        <v>30.0</v>
      </c>
      <c r="F285" s="1">
        <v>6.0</v>
      </c>
      <c r="G285" s="1">
        <v>10.0</v>
      </c>
      <c r="H285" s="1" t="s">
        <v>43</v>
      </c>
      <c r="I285" s="2">
        <v>45945.0</v>
      </c>
      <c r="J285" s="1">
        <v>350000.0</v>
      </c>
      <c r="K285" s="2">
        <v>45931.0</v>
      </c>
    </row>
    <row r="286">
      <c r="A286" s="1" t="s">
        <v>31</v>
      </c>
      <c r="B286" s="1" t="s">
        <v>32</v>
      </c>
      <c r="C286" s="1" t="s">
        <v>13</v>
      </c>
      <c r="D286" s="1">
        <v>172.0</v>
      </c>
      <c r="E286" s="1">
        <v>40.0</v>
      </c>
      <c r="F286" s="1">
        <v>2.0</v>
      </c>
      <c r="G286" s="1">
        <v>6.0</v>
      </c>
      <c r="H286" s="1" t="s">
        <v>33</v>
      </c>
      <c r="I286" s="2">
        <v>45955.0</v>
      </c>
      <c r="J286" s="1">
        <v>550000.0</v>
      </c>
      <c r="K286" s="2">
        <v>45931.0</v>
      </c>
    </row>
    <row r="287">
      <c r="A287" s="1" t="s">
        <v>46</v>
      </c>
      <c r="B287" s="1" t="s">
        <v>47</v>
      </c>
      <c r="C287" s="1" t="s">
        <v>23</v>
      </c>
      <c r="D287" s="1">
        <v>36.0</v>
      </c>
      <c r="E287" s="1">
        <v>40.0</v>
      </c>
      <c r="F287" s="1">
        <v>6.0</v>
      </c>
      <c r="G287" s="1">
        <v>4.0</v>
      </c>
      <c r="H287" s="1" t="s">
        <v>30</v>
      </c>
      <c r="I287" s="2">
        <v>46044.0</v>
      </c>
      <c r="J287" s="1">
        <v>550000.0</v>
      </c>
      <c r="K287" s="2">
        <v>46023.0</v>
      </c>
    </row>
    <row r="288">
      <c r="A288" s="1" t="s">
        <v>31</v>
      </c>
      <c r="B288" s="1" t="s">
        <v>32</v>
      </c>
      <c r="C288" s="1" t="s">
        <v>13</v>
      </c>
      <c r="D288" s="1">
        <v>160.0</v>
      </c>
      <c r="E288" s="1">
        <v>40.0</v>
      </c>
      <c r="F288" s="1">
        <v>3.0</v>
      </c>
      <c r="G288" s="1">
        <v>6.0</v>
      </c>
      <c r="H288" s="1" t="s">
        <v>33</v>
      </c>
      <c r="I288" s="2">
        <v>45887.0</v>
      </c>
      <c r="J288" s="1">
        <v>550000.0</v>
      </c>
      <c r="K288" s="2">
        <v>45870.0</v>
      </c>
    </row>
    <row r="289">
      <c r="A289" s="1" t="s">
        <v>44</v>
      </c>
      <c r="B289" s="1" t="s">
        <v>45</v>
      </c>
      <c r="C289" s="1" t="s">
        <v>42</v>
      </c>
      <c r="D289" s="1">
        <v>45.0</v>
      </c>
      <c r="E289" s="1">
        <v>30.0</v>
      </c>
      <c r="F289" s="1">
        <v>5.0</v>
      </c>
      <c r="G289" s="1">
        <v>5.0</v>
      </c>
      <c r="H289" s="1" t="s">
        <v>43</v>
      </c>
      <c r="I289" s="2">
        <v>45801.0</v>
      </c>
      <c r="J289" s="1">
        <v>350000.0</v>
      </c>
      <c r="K289" s="2">
        <v>45778.0</v>
      </c>
    </row>
    <row r="290">
      <c r="A290" s="1" t="s">
        <v>19</v>
      </c>
      <c r="B290" s="1" t="s">
        <v>20</v>
      </c>
      <c r="C290" s="1" t="s">
        <v>17</v>
      </c>
      <c r="D290" s="1">
        <v>52.0</v>
      </c>
      <c r="E290" s="1">
        <v>30.0</v>
      </c>
      <c r="F290" s="1">
        <v>5.0</v>
      </c>
      <c r="G290" s="1">
        <v>5.0</v>
      </c>
      <c r="H290" s="1" t="s">
        <v>18</v>
      </c>
      <c r="I290" s="2">
        <v>46321.0</v>
      </c>
      <c r="J290" s="1">
        <v>1200000.0</v>
      </c>
      <c r="K290" s="2">
        <v>46054.0</v>
      </c>
    </row>
    <row r="291">
      <c r="A291" s="1" t="s">
        <v>19</v>
      </c>
      <c r="B291" s="1" t="s">
        <v>20</v>
      </c>
      <c r="C291" s="1" t="s">
        <v>17</v>
      </c>
      <c r="D291" s="1">
        <v>51.0</v>
      </c>
      <c r="E291" s="1">
        <v>30.0</v>
      </c>
      <c r="F291" s="1">
        <v>4.0</v>
      </c>
      <c r="G291" s="1">
        <v>6.0</v>
      </c>
      <c r="H291" s="1" t="s">
        <v>18</v>
      </c>
      <c r="I291" s="2">
        <v>45775.0</v>
      </c>
      <c r="J291" s="1">
        <v>1200000.0</v>
      </c>
      <c r="K291" s="2">
        <v>45748.0</v>
      </c>
    </row>
    <row r="292">
      <c r="A292" s="1" t="s">
        <v>11</v>
      </c>
      <c r="B292" s="1" t="s">
        <v>12</v>
      </c>
      <c r="C292" s="1" t="s">
        <v>13</v>
      </c>
      <c r="D292" s="1">
        <v>290.0</v>
      </c>
      <c r="E292" s="1">
        <v>50.0</v>
      </c>
      <c r="F292" s="1">
        <v>3.0</v>
      </c>
      <c r="G292" s="1">
        <v>6.0</v>
      </c>
      <c r="H292" s="1" t="s">
        <v>14</v>
      </c>
      <c r="I292" s="2">
        <v>45991.0</v>
      </c>
      <c r="J292" s="1">
        <v>125000.0</v>
      </c>
      <c r="K292" s="2">
        <v>45962.0</v>
      </c>
    </row>
    <row r="293">
      <c r="A293" s="1" t="s">
        <v>55</v>
      </c>
      <c r="B293" s="1" t="s">
        <v>56</v>
      </c>
      <c r="C293" s="1" t="s">
        <v>36</v>
      </c>
      <c r="D293" s="1">
        <v>57.0</v>
      </c>
      <c r="E293" s="1">
        <v>100.0</v>
      </c>
      <c r="F293" s="1">
        <v>15.0</v>
      </c>
      <c r="G293" s="1">
        <v>4.0</v>
      </c>
      <c r="H293" s="1" t="s">
        <v>37</v>
      </c>
      <c r="I293" s="2">
        <v>46034.0</v>
      </c>
      <c r="J293" s="1">
        <v>85000.0</v>
      </c>
      <c r="K293" s="2">
        <v>46023.0</v>
      </c>
    </row>
    <row r="294">
      <c r="A294" s="1" t="s">
        <v>25</v>
      </c>
      <c r="B294" s="1" t="s">
        <v>26</v>
      </c>
      <c r="C294" s="1" t="s">
        <v>17</v>
      </c>
      <c r="D294" s="1">
        <v>11.0</v>
      </c>
      <c r="E294" s="1">
        <v>25.0</v>
      </c>
      <c r="F294" s="1">
        <v>7.0</v>
      </c>
      <c r="G294" s="1">
        <v>14.0</v>
      </c>
      <c r="H294" s="1" t="s">
        <v>27</v>
      </c>
      <c r="I294" s="2">
        <v>45862.0</v>
      </c>
      <c r="J294" s="1">
        <v>4500000.0</v>
      </c>
      <c r="K294" s="2">
        <v>45839.0</v>
      </c>
    </row>
    <row r="295">
      <c r="A295" s="1" t="s">
        <v>40</v>
      </c>
      <c r="B295" s="1" t="s">
        <v>41</v>
      </c>
      <c r="C295" s="1" t="s">
        <v>42</v>
      </c>
      <c r="D295" s="1">
        <v>21.0</v>
      </c>
      <c r="E295" s="1">
        <v>15.0</v>
      </c>
      <c r="F295" s="1">
        <v>1.0</v>
      </c>
      <c r="G295" s="1">
        <v>9.0</v>
      </c>
      <c r="H295" s="1" t="s">
        <v>43</v>
      </c>
      <c r="I295" s="2">
        <v>45968.0</v>
      </c>
      <c r="J295" s="1">
        <v>1200000.0</v>
      </c>
      <c r="K295" s="2">
        <v>45962.0</v>
      </c>
    </row>
    <row r="296">
      <c r="A296" s="1" t="s">
        <v>51</v>
      </c>
      <c r="B296" s="1" t="s">
        <v>52</v>
      </c>
      <c r="C296" s="1" t="s">
        <v>36</v>
      </c>
      <c r="D296" s="1">
        <v>44.0</v>
      </c>
      <c r="E296" s="1">
        <v>60.0</v>
      </c>
      <c r="F296" s="1">
        <v>6.0</v>
      </c>
      <c r="G296" s="1">
        <v>6.0</v>
      </c>
      <c r="H296" s="1" t="s">
        <v>50</v>
      </c>
      <c r="I296" s="2">
        <v>45839.0</v>
      </c>
      <c r="J296" s="1">
        <v>175000.0</v>
      </c>
      <c r="K296" s="2">
        <v>45839.0</v>
      </c>
    </row>
    <row r="297">
      <c r="A297" s="1" t="s">
        <v>31</v>
      </c>
      <c r="B297" s="1" t="s">
        <v>32</v>
      </c>
      <c r="C297" s="1" t="s">
        <v>13</v>
      </c>
      <c r="D297" s="1">
        <v>127.0</v>
      </c>
      <c r="E297" s="1">
        <v>40.0</v>
      </c>
      <c r="F297" s="1">
        <v>3.0</v>
      </c>
      <c r="G297" s="1">
        <v>4.0</v>
      </c>
      <c r="H297" s="1" t="s">
        <v>33</v>
      </c>
      <c r="I297" s="2">
        <v>46001.0</v>
      </c>
      <c r="J297" s="1">
        <v>550000.0</v>
      </c>
      <c r="K297" s="2">
        <v>45992.0</v>
      </c>
    </row>
    <row r="298">
      <c r="A298" s="1" t="s">
        <v>48</v>
      </c>
      <c r="B298" s="1" t="s">
        <v>49</v>
      </c>
      <c r="C298" s="1" t="s">
        <v>36</v>
      </c>
      <c r="D298" s="1">
        <v>170.0</v>
      </c>
      <c r="E298" s="1">
        <v>120.0</v>
      </c>
      <c r="F298" s="1">
        <v>17.0</v>
      </c>
      <c r="G298" s="1">
        <v>3.0</v>
      </c>
      <c r="H298" s="1" t="s">
        <v>50</v>
      </c>
      <c r="I298" s="2">
        <v>45905.0</v>
      </c>
      <c r="J298" s="1">
        <v>55000.0</v>
      </c>
      <c r="K298" s="2">
        <v>45901.0</v>
      </c>
    </row>
    <row r="299">
      <c r="A299" s="1" t="s">
        <v>34</v>
      </c>
      <c r="B299" s="1" t="s">
        <v>35</v>
      </c>
      <c r="C299" s="1" t="s">
        <v>36</v>
      </c>
      <c r="D299" s="1">
        <v>0.0</v>
      </c>
      <c r="E299" s="1">
        <v>80.0</v>
      </c>
      <c r="F299" s="1">
        <v>18.0</v>
      </c>
      <c r="G299" s="1">
        <v>4.0</v>
      </c>
      <c r="H299" s="1" t="s">
        <v>37</v>
      </c>
      <c r="I299" s="2">
        <v>45745.0</v>
      </c>
      <c r="J299" s="1">
        <v>65000.0</v>
      </c>
      <c r="K299" s="2">
        <v>45717.0</v>
      </c>
    </row>
    <row r="300">
      <c r="A300" s="1" t="s">
        <v>57</v>
      </c>
      <c r="B300" s="1" t="s">
        <v>58</v>
      </c>
      <c r="C300" s="1" t="s">
        <v>42</v>
      </c>
      <c r="D300" s="1">
        <v>44.0</v>
      </c>
      <c r="E300" s="1">
        <v>25.0</v>
      </c>
      <c r="F300" s="1">
        <v>4.0</v>
      </c>
      <c r="G300" s="1">
        <v>8.0</v>
      </c>
      <c r="H300" s="1" t="s">
        <v>59</v>
      </c>
      <c r="I300" s="2">
        <v>46108.0</v>
      </c>
      <c r="J300" s="1">
        <v>450000.0</v>
      </c>
      <c r="K300" s="2">
        <v>46082.0</v>
      </c>
    </row>
    <row r="301">
      <c r="A301" s="1" t="s">
        <v>64</v>
      </c>
      <c r="B301" s="1" t="s">
        <v>65</v>
      </c>
      <c r="C301" s="1" t="s">
        <v>42</v>
      </c>
      <c r="D301" s="1">
        <v>27.0</v>
      </c>
      <c r="E301" s="1">
        <v>20.0</v>
      </c>
      <c r="F301" s="1">
        <v>3.0</v>
      </c>
      <c r="G301" s="1">
        <v>8.0</v>
      </c>
      <c r="H301" s="1" t="s">
        <v>59</v>
      </c>
      <c r="I301" s="2">
        <v>45976.0</v>
      </c>
      <c r="J301" s="1">
        <v>750000.0</v>
      </c>
      <c r="K301" s="2">
        <v>45962.0</v>
      </c>
    </row>
    <row r="302">
      <c r="A302" s="1" t="s">
        <v>40</v>
      </c>
      <c r="B302" s="1" t="s">
        <v>41</v>
      </c>
      <c r="C302" s="1" t="s">
        <v>42</v>
      </c>
      <c r="D302" s="1">
        <v>22.0</v>
      </c>
      <c r="E302" s="1">
        <v>15.0</v>
      </c>
      <c r="F302" s="1">
        <v>2.0</v>
      </c>
      <c r="G302" s="1">
        <v>5.0</v>
      </c>
      <c r="H302" s="1" t="s">
        <v>43</v>
      </c>
      <c r="I302" s="2">
        <v>45709.0</v>
      </c>
      <c r="J302" s="1">
        <v>1200000.0</v>
      </c>
      <c r="K302" s="2">
        <v>45689.0</v>
      </c>
    </row>
    <row r="303">
      <c r="A303" s="1" t="s">
        <v>28</v>
      </c>
      <c r="B303" s="1" t="s">
        <v>29</v>
      </c>
      <c r="C303" s="1" t="s">
        <v>23</v>
      </c>
      <c r="D303" s="1">
        <v>18.0</v>
      </c>
      <c r="E303" s="1">
        <v>35.0</v>
      </c>
      <c r="F303" s="1">
        <v>5.0</v>
      </c>
      <c r="G303" s="1">
        <v>4.0</v>
      </c>
      <c r="H303" s="1" t="s">
        <v>30</v>
      </c>
      <c r="I303" s="2">
        <v>45949.0</v>
      </c>
      <c r="J303" s="1">
        <v>1250000.0</v>
      </c>
      <c r="K303" s="2">
        <v>45931.0</v>
      </c>
    </row>
    <row r="304">
      <c r="A304" s="1" t="s">
        <v>38</v>
      </c>
      <c r="B304" s="1" t="s">
        <v>39</v>
      </c>
      <c r="C304" s="1" t="s">
        <v>23</v>
      </c>
      <c r="D304" s="1">
        <v>17.0</v>
      </c>
      <c r="E304" s="1">
        <v>45.0</v>
      </c>
      <c r="F304" s="1">
        <v>8.0</v>
      </c>
      <c r="G304" s="1">
        <v>4.0</v>
      </c>
      <c r="H304" s="1" t="s">
        <v>24</v>
      </c>
      <c r="I304" s="2">
        <v>46050.0</v>
      </c>
      <c r="J304" s="1">
        <v>450000.0</v>
      </c>
      <c r="K304" s="2">
        <v>46023.0</v>
      </c>
    </row>
    <row r="305">
      <c r="A305" s="1" t="s">
        <v>53</v>
      </c>
      <c r="B305" s="1" t="s">
        <v>54</v>
      </c>
      <c r="C305" s="1" t="s">
        <v>13</v>
      </c>
      <c r="D305" s="1">
        <v>273.0</v>
      </c>
      <c r="E305" s="1">
        <v>60.0</v>
      </c>
      <c r="F305" s="1">
        <v>1.0</v>
      </c>
      <c r="G305" s="1">
        <v>4.0</v>
      </c>
      <c r="H305" s="1" t="s">
        <v>14</v>
      </c>
      <c r="I305" s="2">
        <v>45806.0</v>
      </c>
      <c r="J305" s="1">
        <v>165000.0</v>
      </c>
      <c r="K305" s="2">
        <v>45778.0</v>
      </c>
    </row>
    <row r="306">
      <c r="A306" s="1" t="s">
        <v>64</v>
      </c>
      <c r="B306" s="1" t="s">
        <v>65</v>
      </c>
      <c r="C306" s="1" t="s">
        <v>42</v>
      </c>
      <c r="D306" s="1">
        <v>40.0</v>
      </c>
      <c r="E306" s="1">
        <v>20.0</v>
      </c>
      <c r="F306" s="1">
        <v>1.0</v>
      </c>
      <c r="G306" s="1">
        <v>7.0</v>
      </c>
      <c r="H306" s="1" t="s">
        <v>59</v>
      </c>
      <c r="I306" s="2">
        <v>45693.0</v>
      </c>
      <c r="J306" s="1">
        <v>750000.0</v>
      </c>
      <c r="K306" s="2">
        <v>45689.0</v>
      </c>
    </row>
    <row r="307">
      <c r="A307" s="1" t="s">
        <v>38</v>
      </c>
      <c r="B307" s="1" t="s">
        <v>39</v>
      </c>
      <c r="C307" s="1" t="s">
        <v>23</v>
      </c>
      <c r="D307" s="1">
        <v>17.0</v>
      </c>
      <c r="E307" s="1">
        <v>45.0</v>
      </c>
      <c r="F307" s="1">
        <v>8.0</v>
      </c>
      <c r="G307" s="1">
        <v>4.0</v>
      </c>
      <c r="H307" s="1" t="s">
        <v>24</v>
      </c>
      <c r="I307" s="2">
        <v>46050.0</v>
      </c>
      <c r="J307" s="1">
        <v>450000.0</v>
      </c>
      <c r="K307" s="2">
        <v>46023.0</v>
      </c>
    </row>
    <row r="308">
      <c r="A308" s="1" t="s">
        <v>25</v>
      </c>
      <c r="B308" s="1" t="s">
        <v>26</v>
      </c>
      <c r="C308" s="1" t="s">
        <v>17</v>
      </c>
      <c r="D308" s="1">
        <v>5.0</v>
      </c>
      <c r="E308" s="1">
        <v>25.0</v>
      </c>
      <c r="F308" s="1">
        <v>7.0</v>
      </c>
      <c r="G308" s="1">
        <v>19.0</v>
      </c>
      <c r="H308" s="1" t="s">
        <v>27</v>
      </c>
      <c r="I308" s="2">
        <v>45837.0</v>
      </c>
      <c r="J308" s="1">
        <v>4500000.0</v>
      </c>
      <c r="K308" s="2">
        <v>45809.0</v>
      </c>
    </row>
    <row r="309">
      <c r="A309" s="1" t="s">
        <v>31</v>
      </c>
      <c r="B309" s="1" t="s">
        <v>32</v>
      </c>
      <c r="C309" s="1" t="s">
        <v>13</v>
      </c>
      <c r="D309" s="1">
        <v>129.0</v>
      </c>
      <c r="E309" s="1">
        <v>40.0</v>
      </c>
      <c r="F309" s="1">
        <v>4.0</v>
      </c>
      <c r="G309" s="1">
        <v>6.0</v>
      </c>
      <c r="H309" s="1" t="s">
        <v>33</v>
      </c>
      <c r="I309" s="2">
        <v>45916.0</v>
      </c>
      <c r="J309" s="1">
        <v>550000.0</v>
      </c>
      <c r="K309" s="2">
        <v>45901.0</v>
      </c>
    </row>
    <row r="310">
      <c r="A310" s="1" t="s">
        <v>21</v>
      </c>
      <c r="B310" s="1" t="s">
        <v>22</v>
      </c>
      <c r="C310" s="1" t="s">
        <v>23</v>
      </c>
      <c r="D310" s="1">
        <v>0.0</v>
      </c>
      <c r="E310" s="1">
        <v>50.0</v>
      </c>
      <c r="F310" s="1">
        <v>14.0</v>
      </c>
      <c r="G310" s="1">
        <v>7.0</v>
      </c>
      <c r="H310" s="1" t="s">
        <v>24</v>
      </c>
      <c r="I310" s="2">
        <v>46014.0</v>
      </c>
      <c r="J310" s="1">
        <v>350000.0</v>
      </c>
      <c r="K310" s="2">
        <v>45992.0</v>
      </c>
    </row>
    <row r="311">
      <c r="A311" s="1" t="s">
        <v>46</v>
      </c>
      <c r="B311" s="1" t="s">
        <v>47</v>
      </c>
      <c r="C311" s="1" t="s">
        <v>23</v>
      </c>
      <c r="D311" s="1">
        <v>9.0</v>
      </c>
      <c r="E311" s="1">
        <v>40.0</v>
      </c>
      <c r="F311" s="1">
        <v>5.0</v>
      </c>
      <c r="G311" s="1">
        <v>8.0</v>
      </c>
      <c r="H311" s="1" t="s">
        <v>30</v>
      </c>
      <c r="I311" s="2">
        <v>45698.0</v>
      </c>
      <c r="J311" s="1">
        <v>550000.0</v>
      </c>
      <c r="K311" s="2">
        <v>45689.0</v>
      </c>
    </row>
    <row r="312">
      <c r="A312" s="1" t="s">
        <v>51</v>
      </c>
      <c r="B312" s="1" t="s">
        <v>52</v>
      </c>
      <c r="C312" s="1" t="s">
        <v>36</v>
      </c>
      <c r="D312" s="1">
        <v>20.0</v>
      </c>
      <c r="E312" s="1">
        <v>60.0</v>
      </c>
      <c r="F312" s="1">
        <v>9.0</v>
      </c>
      <c r="G312" s="1">
        <v>5.0</v>
      </c>
      <c r="H312" s="1" t="s">
        <v>50</v>
      </c>
      <c r="I312" s="2">
        <v>45687.0</v>
      </c>
      <c r="J312" s="1">
        <v>175000.0</v>
      </c>
      <c r="K312" s="2">
        <v>45658.0</v>
      </c>
    </row>
    <row r="313">
      <c r="A313" s="1" t="s">
        <v>28</v>
      </c>
      <c r="B313" s="1" t="s">
        <v>29</v>
      </c>
      <c r="C313" s="1" t="s">
        <v>23</v>
      </c>
      <c r="D313" s="1">
        <v>16.0</v>
      </c>
      <c r="E313" s="1">
        <v>35.0</v>
      </c>
      <c r="F313" s="1">
        <v>7.0</v>
      </c>
      <c r="G313" s="1">
        <v>5.0</v>
      </c>
      <c r="H313" s="1" t="s">
        <v>30</v>
      </c>
      <c r="I313" s="2">
        <v>46024.0</v>
      </c>
      <c r="J313" s="1">
        <v>1250000.0</v>
      </c>
      <c r="K313" s="2">
        <v>46023.0</v>
      </c>
    </row>
  </sheetData>
  <autoFilter ref="$A$1:$K$313">
    <filterColumn colId="3">
      <customFilters>
        <customFilter operator="greaterThanOrEqual" val="0"/>
      </customFilters>
    </filterColumn>
    <filterColumn colId="5">
      <filters>
        <filter val="22"/>
        <filter val="24"/>
        <filter val="27"/>
        <filter val="28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21"/>
      </filters>
    </filterColumn>
    <filterColumn colId="6">
      <filters>
        <filter val="11"/>
        <filter val="22"/>
        <filter val="23"/>
        <filter val="12"/>
        <filter val="13"/>
        <filter val="14"/>
        <filter val="15"/>
        <filter val="16"/>
        <filter val="17"/>
        <filter val="18"/>
        <filter val="19"/>
        <filter val="3"/>
        <filter val="4"/>
        <filter val="5"/>
        <filter val="6"/>
        <filter val="7"/>
        <filter val="8"/>
        <filter val="9"/>
        <filter val="20"/>
        <filter val="21"/>
        <filter val="10"/>
      </filters>
    </filterColumn>
    <filterColumn colId="9">
      <filters>
        <filter val="4500000"/>
        <filter val="65000"/>
        <filter val="750000"/>
        <filter val="125000"/>
        <filter val="350000"/>
        <filter val="165000"/>
        <filter val="1200000"/>
        <filter val="1250000"/>
        <filter val="550000"/>
        <filter val="55000"/>
        <filter val="3200000"/>
        <filter val="8500000"/>
        <filter val="450000"/>
        <filter val="175000"/>
        <filter val="85000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</row>
    <row r="3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</row>
    <row r="4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</row>
    <row r="5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</row>
    <row r="6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</row>
    <row r="7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</row>
    <row r="8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</row>
    <row r="9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</row>
    <row r="10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</row>
    <row r="1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</row>
    <row r="12" hidden="1">
      <c r="A12" s="1" t="s">
        <v>38</v>
      </c>
      <c r="B12" s="1" t="s">
        <v>39</v>
      </c>
      <c r="C12" s="1" t="s">
        <v>23</v>
      </c>
      <c r="D12" s="1">
        <v>-28.0</v>
      </c>
      <c r="E12" s="1">
        <v>45.0</v>
      </c>
      <c r="F12" s="1">
        <v>7.0</v>
      </c>
      <c r="G12" s="1">
        <v>5.0</v>
      </c>
      <c r="H12" s="1" t="s">
        <v>24</v>
      </c>
      <c r="I12" s="2">
        <v>45664.0</v>
      </c>
      <c r="J12" s="1">
        <v>450000.0</v>
      </c>
      <c r="K12" s="2">
        <v>45658.0</v>
      </c>
    </row>
    <row r="13" hidden="1">
      <c r="A13" s="1" t="s">
        <v>40</v>
      </c>
      <c r="B13" s="1" t="s">
        <v>41</v>
      </c>
      <c r="C13" s="1" t="s">
        <v>42</v>
      </c>
      <c r="D13" s="1">
        <v>-18.0</v>
      </c>
      <c r="E13" s="1">
        <v>15.0</v>
      </c>
      <c r="F13" s="1">
        <v>4.0</v>
      </c>
      <c r="G13" s="1">
        <v>6.0</v>
      </c>
      <c r="H13" s="1" t="s">
        <v>43</v>
      </c>
      <c r="I13" s="2">
        <v>46099.0</v>
      </c>
      <c r="J13" s="1">
        <v>1200000.0</v>
      </c>
      <c r="K13" s="2">
        <v>46082.0</v>
      </c>
    </row>
    <row r="14">
      <c r="A14" s="1" t="s">
        <v>44</v>
      </c>
      <c r="B14" s="1" t="s">
        <v>45</v>
      </c>
      <c r="C14" s="1" t="s">
        <v>42</v>
      </c>
      <c r="D14" s="1">
        <v>54.0</v>
      </c>
      <c r="E14" s="1">
        <v>30.0</v>
      </c>
      <c r="F14" s="1">
        <v>6.0</v>
      </c>
      <c r="G14" s="1">
        <v>8.0</v>
      </c>
      <c r="H14" s="1" t="s">
        <v>43</v>
      </c>
      <c r="I14" s="2">
        <v>45983.0</v>
      </c>
      <c r="J14" s="1">
        <v>350000.0</v>
      </c>
      <c r="K14" s="2">
        <v>45962.0</v>
      </c>
    </row>
    <row r="15">
      <c r="A15" s="1" t="s">
        <v>46</v>
      </c>
      <c r="B15" s="1" t="s">
        <v>47</v>
      </c>
      <c r="C15" s="1" t="s">
        <v>23</v>
      </c>
      <c r="D15" s="1">
        <v>0.0</v>
      </c>
      <c r="E15" s="1">
        <v>40.0</v>
      </c>
      <c r="F15" s="1">
        <v>7.0</v>
      </c>
      <c r="G15" s="1">
        <v>4.0</v>
      </c>
      <c r="H15" s="1" t="s">
        <v>30</v>
      </c>
      <c r="I15" s="2">
        <v>45761.0</v>
      </c>
      <c r="J15" s="1">
        <v>550000.0</v>
      </c>
      <c r="K15" s="2">
        <v>45748.0</v>
      </c>
    </row>
    <row r="16">
      <c r="A16" s="1" t="s">
        <v>44</v>
      </c>
      <c r="B16" s="1" t="s">
        <v>45</v>
      </c>
      <c r="C16" s="1" t="s">
        <v>42</v>
      </c>
      <c r="D16" s="1">
        <v>41.0</v>
      </c>
      <c r="E16" s="1">
        <v>30.0</v>
      </c>
      <c r="F16" s="1">
        <v>4.0</v>
      </c>
      <c r="G16" s="1">
        <v>10.0</v>
      </c>
      <c r="H16" s="1" t="s">
        <v>43</v>
      </c>
      <c r="I16" s="2">
        <v>45930.0</v>
      </c>
      <c r="J16" s="1">
        <v>350000.0</v>
      </c>
      <c r="K16" s="2">
        <v>45901.0</v>
      </c>
    </row>
    <row r="17">
      <c r="A17" s="1" t="s">
        <v>48</v>
      </c>
      <c r="B17" s="1" t="s">
        <v>49</v>
      </c>
      <c r="C17" s="1" t="s">
        <v>36</v>
      </c>
      <c r="D17" s="1">
        <v>33.0</v>
      </c>
      <c r="E17" s="1">
        <v>120.0</v>
      </c>
      <c r="F17" s="1">
        <v>18.0</v>
      </c>
      <c r="G17" s="1">
        <v>7.0</v>
      </c>
      <c r="H17" s="1" t="s">
        <v>50</v>
      </c>
      <c r="I17" s="2">
        <v>45878.0</v>
      </c>
      <c r="J17" s="1">
        <v>55000.0</v>
      </c>
      <c r="K17" s="2">
        <v>45870.0</v>
      </c>
    </row>
    <row r="18">
      <c r="A18" s="1" t="s">
        <v>15</v>
      </c>
      <c r="B18" s="1" t="s">
        <v>16</v>
      </c>
      <c r="C18" s="1" t="s">
        <v>17</v>
      </c>
      <c r="D18" s="1">
        <v>26.0</v>
      </c>
      <c r="E18" s="1">
        <v>15.0</v>
      </c>
      <c r="F18" s="1">
        <v>3.0</v>
      </c>
      <c r="G18" s="1">
        <v>8.0</v>
      </c>
      <c r="H18" s="1" t="s">
        <v>18</v>
      </c>
      <c r="I18" s="2">
        <v>45816.0</v>
      </c>
      <c r="J18" s="1">
        <v>8500000.0</v>
      </c>
      <c r="K18" s="2">
        <v>45809.0</v>
      </c>
    </row>
    <row r="19">
      <c r="A19" s="1" t="s">
        <v>11</v>
      </c>
      <c r="B19" s="1" t="s">
        <v>12</v>
      </c>
      <c r="C19" s="1" t="s">
        <v>13</v>
      </c>
      <c r="D19" s="1">
        <v>139.0</v>
      </c>
      <c r="E19" s="1">
        <v>50.0</v>
      </c>
      <c r="F19" s="1">
        <v>1.0</v>
      </c>
      <c r="G19" s="1">
        <v>7.0</v>
      </c>
      <c r="H19" s="1" t="s">
        <v>14</v>
      </c>
      <c r="I19" s="2">
        <v>46317.0</v>
      </c>
      <c r="J19" s="1">
        <v>125000.0</v>
      </c>
      <c r="K19" s="2">
        <v>45839.0</v>
      </c>
    </row>
    <row r="20">
      <c r="A20" s="1" t="s">
        <v>44</v>
      </c>
      <c r="B20" s="1" t="s">
        <v>45</v>
      </c>
      <c r="C20" s="1" t="s">
        <v>42</v>
      </c>
      <c r="D20" s="1">
        <v>49.0</v>
      </c>
      <c r="E20" s="1">
        <v>30.0</v>
      </c>
      <c r="F20" s="1">
        <v>6.0</v>
      </c>
      <c r="G20" s="1">
        <v>9.0</v>
      </c>
      <c r="H20" s="1" t="s">
        <v>43</v>
      </c>
      <c r="I20" s="2">
        <v>45669.0</v>
      </c>
      <c r="J20" s="1">
        <v>350000.0</v>
      </c>
      <c r="K20" s="2">
        <v>45658.0</v>
      </c>
    </row>
    <row r="21">
      <c r="A21" s="1" t="s">
        <v>48</v>
      </c>
      <c r="B21" s="1" t="s">
        <v>49</v>
      </c>
      <c r="C21" s="1" t="s">
        <v>36</v>
      </c>
      <c r="D21" s="1">
        <v>0.0</v>
      </c>
      <c r="E21" s="1">
        <v>120.0</v>
      </c>
      <c r="F21" s="1">
        <v>27.0</v>
      </c>
      <c r="G21" s="1">
        <v>7.0</v>
      </c>
      <c r="H21" s="1" t="s">
        <v>50</v>
      </c>
      <c r="I21" s="2">
        <v>46010.0</v>
      </c>
      <c r="J21" s="1">
        <v>55000.0</v>
      </c>
      <c r="K21" s="2">
        <v>45992.0</v>
      </c>
    </row>
    <row r="22">
      <c r="A22" s="1" t="s">
        <v>21</v>
      </c>
      <c r="B22" s="1" t="s">
        <v>22</v>
      </c>
      <c r="C22" s="1" t="s">
        <v>23</v>
      </c>
      <c r="D22" s="1">
        <v>14.0</v>
      </c>
      <c r="E22" s="1">
        <v>50.0</v>
      </c>
      <c r="F22" s="1">
        <v>11.0</v>
      </c>
      <c r="G22" s="1">
        <v>4.0</v>
      </c>
      <c r="H22" s="1" t="s">
        <v>24</v>
      </c>
      <c r="I22" s="2">
        <v>46062.0</v>
      </c>
      <c r="J22" s="1">
        <v>350000.0</v>
      </c>
      <c r="K22" s="2">
        <v>46054.0</v>
      </c>
    </row>
    <row r="23">
      <c r="A23" s="1" t="s">
        <v>51</v>
      </c>
      <c r="B23" s="1" t="s">
        <v>52</v>
      </c>
      <c r="C23" s="1" t="s">
        <v>36</v>
      </c>
      <c r="D23" s="1">
        <v>0.0</v>
      </c>
      <c r="E23" s="1">
        <v>60.0</v>
      </c>
      <c r="F23" s="1">
        <v>13.0</v>
      </c>
      <c r="G23" s="1">
        <v>4.0</v>
      </c>
      <c r="H23" s="1" t="s">
        <v>50</v>
      </c>
      <c r="I23" s="2">
        <v>46004.0</v>
      </c>
      <c r="J23" s="1">
        <v>175000.0</v>
      </c>
      <c r="K23" s="2">
        <v>45992.0</v>
      </c>
    </row>
    <row r="24">
      <c r="A24" s="1" t="s">
        <v>53</v>
      </c>
      <c r="B24" s="1" t="s">
        <v>54</v>
      </c>
      <c r="C24" s="1" t="s">
        <v>13</v>
      </c>
      <c r="D24" s="1">
        <v>191.0</v>
      </c>
      <c r="E24" s="1">
        <v>60.0</v>
      </c>
      <c r="F24" s="1">
        <v>3.0</v>
      </c>
      <c r="G24" s="1">
        <v>8.0</v>
      </c>
      <c r="H24" s="1" t="s">
        <v>14</v>
      </c>
      <c r="I24" s="2">
        <v>45944.0</v>
      </c>
      <c r="J24" s="1">
        <v>165000.0</v>
      </c>
      <c r="K24" s="2">
        <v>45931.0</v>
      </c>
    </row>
    <row r="25">
      <c r="A25" s="1" t="s">
        <v>55</v>
      </c>
      <c r="B25" s="1" t="s">
        <v>56</v>
      </c>
      <c r="C25" s="1" t="s">
        <v>36</v>
      </c>
      <c r="D25" s="1">
        <v>0.0</v>
      </c>
      <c r="E25" s="1">
        <v>100.0</v>
      </c>
      <c r="F25" s="1">
        <v>24.0</v>
      </c>
      <c r="G25" s="1">
        <v>4.0</v>
      </c>
      <c r="H25" s="1" t="s">
        <v>37</v>
      </c>
      <c r="I25" s="2">
        <v>45747.0</v>
      </c>
      <c r="J25" s="1">
        <v>85000.0</v>
      </c>
      <c r="K25" s="2">
        <v>45717.0</v>
      </c>
    </row>
    <row r="26">
      <c r="A26" s="1" t="s">
        <v>38</v>
      </c>
      <c r="B26" s="1" t="s">
        <v>39</v>
      </c>
      <c r="C26" s="1" t="s">
        <v>23</v>
      </c>
      <c r="D26" s="1">
        <v>23.0</v>
      </c>
      <c r="E26" s="1">
        <v>45.0</v>
      </c>
      <c r="F26" s="1">
        <v>6.0</v>
      </c>
      <c r="G26" s="1">
        <v>6.0</v>
      </c>
      <c r="H26" s="1" t="s">
        <v>24</v>
      </c>
      <c r="I26" s="2">
        <v>45697.0</v>
      </c>
      <c r="J26" s="1">
        <v>450000.0</v>
      </c>
      <c r="K26" s="2">
        <v>45689.0</v>
      </c>
    </row>
    <row r="27">
      <c r="A27" s="1" t="s">
        <v>57</v>
      </c>
      <c r="B27" s="1" t="s">
        <v>58</v>
      </c>
      <c r="C27" s="1" t="s">
        <v>42</v>
      </c>
      <c r="D27" s="1">
        <v>50.0</v>
      </c>
      <c r="E27" s="1">
        <v>25.0</v>
      </c>
      <c r="F27" s="1">
        <v>3.0</v>
      </c>
      <c r="G27" s="1">
        <v>7.0</v>
      </c>
      <c r="H27" s="1" t="s">
        <v>59</v>
      </c>
      <c r="I27" s="2">
        <v>45920.0</v>
      </c>
      <c r="J27" s="1">
        <v>450000.0</v>
      </c>
      <c r="K27" s="2">
        <v>45901.0</v>
      </c>
    </row>
    <row r="28">
      <c r="A28" s="1" t="s">
        <v>57</v>
      </c>
      <c r="B28" s="1" t="s">
        <v>58</v>
      </c>
      <c r="C28" s="1" t="s">
        <v>42</v>
      </c>
      <c r="D28" s="1">
        <v>42.0</v>
      </c>
      <c r="E28" s="1">
        <v>25.0</v>
      </c>
      <c r="F28" s="1">
        <v>3.0</v>
      </c>
      <c r="G28" s="1">
        <v>8.0</v>
      </c>
      <c r="H28" s="1" t="s">
        <v>59</v>
      </c>
      <c r="I28" s="2">
        <v>46078.0</v>
      </c>
      <c r="J28" s="1">
        <v>450000.0</v>
      </c>
      <c r="K28" s="2">
        <v>46054.0</v>
      </c>
    </row>
    <row r="29" hidden="1">
      <c r="A29" s="1" t="s">
        <v>60</v>
      </c>
      <c r="B29" s="1" t="s">
        <v>61</v>
      </c>
      <c r="C29" s="1" t="s">
        <v>17</v>
      </c>
      <c r="D29" s="1">
        <v>-8.0</v>
      </c>
      <c r="E29" s="1">
        <v>20.0</v>
      </c>
      <c r="F29" s="1">
        <v>2.0</v>
      </c>
      <c r="G29" s="1">
        <v>9.0</v>
      </c>
      <c r="H29" s="1" t="s">
        <v>27</v>
      </c>
      <c r="I29" s="2">
        <v>45750.0</v>
      </c>
      <c r="J29" s="1">
        <v>3200000.0</v>
      </c>
      <c r="K29" s="2">
        <v>45748.0</v>
      </c>
    </row>
    <row r="30">
      <c r="A30" s="1" t="s">
        <v>51</v>
      </c>
      <c r="B30" s="1" t="s">
        <v>52</v>
      </c>
      <c r="C30" s="1" t="s">
        <v>36</v>
      </c>
      <c r="D30" s="1">
        <v>31.0</v>
      </c>
      <c r="E30" s="1">
        <v>60.0</v>
      </c>
      <c r="F30" s="1">
        <v>8.0</v>
      </c>
      <c r="G30" s="1">
        <v>7.0</v>
      </c>
      <c r="H30" s="1" t="s">
        <v>50</v>
      </c>
      <c r="I30" s="2">
        <v>45880.0</v>
      </c>
      <c r="J30" s="1">
        <v>175000.0</v>
      </c>
      <c r="K30" s="2">
        <v>45870.0</v>
      </c>
    </row>
    <row r="31">
      <c r="A31" s="1" t="s">
        <v>48</v>
      </c>
      <c r="B31" s="1" t="s">
        <v>49</v>
      </c>
      <c r="C31" s="1" t="s">
        <v>36</v>
      </c>
      <c r="D31" s="1">
        <v>38.0</v>
      </c>
      <c r="E31" s="1">
        <v>120.0</v>
      </c>
      <c r="F31" s="1">
        <v>17.0</v>
      </c>
      <c r="G31" s="1">
        <v>4.0</v>
      </c>
      <c r="H31" s="1" t="s">
        <v>50</v>
      </c>
      <c r="I31" s="2">
        <v>45864.0</v>
      </c>
      <c r="J31" s="1">
        <v>55000.0</v>
      </c>
      <c r="K31" s="2">
        <v>45839.0</v>
      </c>
    </row>
    <row r="32">
      <c r="A32" s="1" t="s">
        <v>11</v>
      </c>
      <c r="B32" s="1" t="s">
        <v>12</v>
      </c>
      <c r="C32" s="1" t="s">
        <v>13</v>
      </c>
      <c r="D32" s="1">
        <v>217.0</v>
      </c>
      <c r="E32" s="1">
        <v>50.0</v>
      </c>
      <c r="F32" s="1">
        <v>3.0</v>
      </c>
      <c r="G32" s="1">
        <v>7.0</v>
      </c>
      <c r="H32" s="1" t="s">
        <v>14</v>
      </c>
      <c r="I32" s="2">
        <v>46111.0</v>
      </c>
      <c r="J32" s="1">
        <v>125000.0</v>
      </c>
      <c r="K32" s="2">
        <v>46082.0</v>
      </c>
    </row>
    <row r="33">
      <c r="A33" s="1" t="s">
        <v>15</v>
      </c>
      <c r="B33" s="1" t="s">
        <v>16</v>
      </c>
      <c r="C33" s="1" t="s">
        <v>17</v>
      </c>
      <c r="D33" s="1">
        <v>11.0</v>
      </c>
      <c r="E33" s="1">
        <v>15.0</v>
      </c>
      <c r="F33" s="1">
        <v>1.0</v>
      </c>
      <c r="G33" s="1">
        <v>5.0</v>
      </c>
      <c r="H33" s="1" t="s">
        <v>18</v>
      </c>
      <c r="I33" s="2">
        <v>45754.0</v>
      </c>
      <c r="J33" s="1">
        <v>8500000.0</v>
      </c>
      <c r="K33" s="2">
        <v>45748.0</v>
      </c>
    </row>
    <row r="34">
      <c r="A34" s="1" t="s">
        <v>38</v>
      </c>
      <c r="B34" s="1" t="s">
        <v>39</v>
      </c>
      <c r="C34" s="1" t="s">
        <v>23</v>
      </c>
      <c r="D34" s="1">
        <v>36.0</v>
      </c>
      <c r="E34" s="1">
        <v>45.0</v>
      </c>
      <c r="F34" s="1">
        <v>7.0</v>
      </c>
      <c r="G34" s="1">
        <v>4.0</v>
      </c>
      <c r="H34" s="1" t="s">
        <v>24</v>
      </c>
      <c r="I34" s="2">
        <v>45883.0</v>
      </c>
      <c r="J34" s="1">
        <v>450000.0</v>
      </c>
      <c r="K34" s="2">
        <v>45870.0</v>
      </c>
    </row>
    <row r="35">
      <c r="A35" s="1" t="s">
        <v>48</v>
      </c>
      <c r="B35" s="1" t="s">
        <v>49</v>
      </c>
      <c r="C35" s="1" t="s">
        <v>36</v>
      </c>
      <c r="D35" s="1">
        <v>0.0</v>
      </c>
      <c r="E35" s="1">
        <v>120.0</v>
      </c>
      <c r="F35" s="1">
        <v>28.0</v>
      </c>
      <c r="G35" s="1">
        <v>6.0</v>
      </c>
      <c r="H35" s="1" t="s">
        <v>50</v>
      </c>
      <c r="I35" s="2">
        <v>45725.0</v>
      </c>
      <c r="J35" s="1">
        <v>55000.0</v>
      </c>
      <c r="K35" s="2">
        <v>45717.0</v>
      </c>
    </row>
    <row r="36" hidden="1">
      <c r="A36" s="1" t="s">
        <v>55</v>
      </c>
      <c r="B36" s="1" t="s">
        <v>56</v>
      </c>
      <c r="C36" s="1" t="s">
        <v>36</v>
      </c>
      <c r="D36" s="1">
        <v>-18.0</v>
      </c>
      <c r="E36" s="1">
        <v>100.0</v>
      </c>
      <c r="F36" s="1">
        <v>21.0</v>
      </c>
      <c r="G36" s="1">
        <v>3.0</v>
      </c>
      <c r="H36" s="1" t="s">
        <v>37</v>
      </c>
      <c r="I36" s="2">
        <v>46006.0</v>
      </c>
      <c r="J36" s="1">
        <v>85000.0</v>
      </c>
      <c r="K36" s="2">
        <v>45992.0</v>
      </c>
    </row>
    <row r="37">
      <c r="A37" s="1" t="s">
        <v>62</v>
      </c>
      <c r="B37" s="1" t="s">
        <v>63</v>
      </c>
      <c r="C37" s="1" t="s">
        <v>13</v>
      </c>
      <c r="D37" s="1">
        <v>375.0</v>
      </c>
      <c r="E37" s="1">
        <v>80.0</v>
      </c>
      <c r="F37" s="1">
        <v>5.0</v>
      </c>
      <c r="G37" s="1">
        <v>6.0</v>
      </c>
      <c r="H37" s="1" t="s">
        <v>33</v>
      </c>
      <c r="I37" s="2">
        <v>45737.0</v>
      </c>
      <c r="J37" s="1">
        <v>85000.0</v>
      </c>
      <c r="K37" s="2">
        <v>45717.0</v>
      </c>
    </row>
    <row r="38">
      <c r="A38" s="1" t="s">
        <v>19</v>
      </c>
      <c r="B38" s="1" t="s">
        <v>20</v>
      </c>
      <c r="C38" s="1" t="s">
        <v>17</v>
      </c>
      <c r="D38" s="1">
        <v>24.0</v>
      </c>
      <c r="E38" s="1">
        <v>30.0</v>
      </c>
      <c r="F38" s="1">
        <v>4.0</v>
      </c>
      <c r="G38" s="1">
        <v>5.0</v>
      </c>
      <c r="H38" s="1" t="s">
        <v>18</v>
      </c>
      <c r="I38" s="2">
        <v>45670.0</v>
      </c>
      <c r="J38" s="1">
        <v>1200000.0</v>
      </c>
      <c r="K38" s="2">
        <v>45658.0</v>
      </c>
    </row>
    <row r="39">
      <c r="A39" s="1" t="s">
        <v>25</v>
      </c>
      <c r="B39" s="1" t="s">
        <v>26</v>
      </c>
      <c r="C39" s="1" t="s">
        <v>17</v>
      </c>
      <c r="D39" s="1">
        <v>22.0</v>
      </c>
      <c r="E39" s="1">
        <v>25.0</v>
      </c>
      <c r="F39" s="1">
        <v>5.0</v>
      </c>
      <c r="G39" s="1">
        <v>14.0</v>
      </c>
      <c r="H39" s="1" t="s">
        <v>27</v>
      </c>
      <c r="I39" s="2">
        <v>45722.0</v>
      </c>
      <c r="J39" s="1">
        <v>4500000.0</v>
      </c>
      <c r="K39" s="2">
        <v>45717.0</v>
      </c>
    </row>
    <row r="40">
      <c r="A40" s="1" t="s">
        <v>44</v>
      </c>
      <c r="B40" s="1" t="s">
        <v>45</v>
      </c>
      <c r="C40" s="1" t="s">
        <v>42</v>
      </c>
      <c r="D40" s="1">
        <v>59.0</v>
      </c>
      <c r="E40" s="1">
        <v>30.0</v>
      </c>
      <c r="F40" s="1">
        <v>3.0</v>
      </c>
      <c r="G40" s="1">
        <v>6.0</v>
      </c>
      <c r="H40" s="1" t="s">
        <v>43</v>
      </c>
      <c r="I40" s="2">
        <v>45880.0</v>
      </c>
      <c r="J40" s="1">
        <v>350000.0</v>
      </c>
      <c r="K40" s="2">
        <v>45870.0</v>
      </c>
    </row>
    <row r="41">
      <c r="A41" s="1" t="s">
        <v>57</v>
      </c>
      <c r="B41" s="1" t="s">
        <v>58</v>
      </c>
      <c r="C41" s="1" t="s">
        <v>42</v>
      </c>
      <c r="D41" s="1">
        <v>22.0</v>
      </c>
      <c r="E41" s="1">
        <v>25.0</v>
      </c>
      <c r="F41" s="1">
        <v>2.0</v>
      </c>
      <c r="G41" s="1">
        <v>6.0</v>
      </c>
      <c r="H41" s="1" t="s">
        <v>59</v>
      </c>
      <c r="I41" s="2">
        <v>46000.0</v>
      </c>
      <c r="J41" s="1">
        <v>450000.0</v>
      </c>
      <c r="K41" s="2">
        <v>45992.0</v>
      </c>
    </row>
    <row r="42">
      <c r="A42" s="1" t="s">
        <v>60</v>
      </c>
      <c r="B42" s="1" t="s">
        <v>61</v>
      </c>
      <c r="C42" s="1" t="s">
        <v>17</v>
      </c>
      <c r="D42" s="1">
        <v>30.0</v>
      </c>
      <c r="E42" s="1">
        <v>20.0</v>
      </c>
      <c r="F42" s="1">
        <v>1.0</v>
      </c>
      <c r="G42" s="1">
        <v>14.0</v>
      </c>
      <c r="H42" s="1" t="s">
        <v>27</v>
      </c>
      <c r="I42" s="2">
        <v>46048.0</v>
      </c>
      <c r="J42" s="1">
        <v>3200000.0</v>
      </c>
      <c r="K42" s="2">
        <v>46023.0</v>
      </c>
    </row>
    <row r="43">
      <c r="A43" s="1" t="s">
        <v>25</v>
      </c>
      <c r="B43" s="1" t="s">
        <v>26</v>
      </c>
      <c r="C43" s="1" t="s">
        <v>17</v>
      </c>
      <c r="D43" s="1">
        <v>2.0</v>
      </c>
      <c r="E43" s="1">
        <v>25.0</v>
      </c>
      <c r="F43" s="1">
        <v>3.0</v>
      </c>
      <c r="G43" s="1">
        <v>20.0</v>
      </c>
      <c r="H43" s="1" t="s">
        <v>27</v>
      </c>
      <c r="I43" s="2">
        <v>45950.0</v>
      </c>
      <c r="J43" s="1">
        <v>4500000.0</v>
      </c>
      <c r="K43" s="2">
        <v>45931.0</v>
      </c>
    </row>
    <row r="44">
      <c r="A44" s="1" t="s">
        <v>31</v>
      </c>
      <c r="B44" s="1" t="s">
        <v>32</v>
      </c>
      <c r="C44" s="1" t="s">
        <v>13</v>
      </c>
      <c r="D44" s="1">
        <v>184.0</v>
      </c>
      <c r="E44" s="1">
        <v>40.0</v>
      </c>
      <c r="F44" s="1">
        <v>3.0</v>
      </c>
      <c r="G44" s="1">
        <v>6.0</v>
      </c>
      <c r="H44" s="1" t="s">
        <v>33</v>
      </c>
      <c r="I44" s="2">
        <v>45682.0</v>
      </c>
      <c r="J44" s="1">
        <v>550000.0</v>
      </c>
      <c r="K44" s="2">
        <v>45658.0</v>
      </c>
    </row>
    <row r="45">
      <c r="A45" s="1" t="s">
        <v>64</v>
      </c>
      <c r="B45" s="1" t="s">
        <v>65</v>
      </c>
      <c r="C45" s="1" t="s">
        <v>42</v>
      </c>
      <c r="D45" s="1">
        <v>19.0</v>
      </c>
      <c r="E45" s="1">
        <v>20.0</v>
      </c>
      <c r="F45" s="1">
        <v>4.0</v>
      </c>
      <c r="G45" s="1">
        <v>9.0</v>
      </c>
      <c r="H45" s="1" t="s">
        <v>59</v>
      </c>
      <c r="I45" s="2">
        <v>45782.0</v>
      </c>
      <c r="J45" s="1">
        <v>750000.0</v>
      </c>
      <c r="K45" s="2">
        <v>45778.0</v>
      </c>
    </row>
    <row r="46">
      <c r="A46" s="1" t="s">
        <v>62</v>
      </c>
      <c r="B46" s="1" t="s">
        <v>63</v>
      </c>
      <c r="C46" s="1" t="s">
        <v>13</v>
      </c>
      <c r="D46" s="1">
        <v>268.0</v>
      </c>
      <c r="E46" s="1">
        <v>80.0</v>
      </c>
      <c r="F46" s="1">
        <v>4.0</v>
      </c>
      <c r="G46" s="1">
        <v>4.0</v>
      </c>
      <c r="H46" s="1" t="s">
        <v>33</v>
      </c>
      <c r="I46" s="2">
        <v>46099.0</v>
      </c>
      <c r="J46" s="1">
        <v>85000.0</v>
      </c>
      <c r="K46" s="2">
        <v>46082.0</v>
      </c>
    </row>
    <row r="47">
      <c r="A47" s="1" t="s">
        <v>34</v>
      </c>
      <c r="B47" s="1" t="s">
        <v>35</v>
      </c>
      <c r="C47" s="1" t="s">
        <v>36</v>
      </c>
      <c r="D47" s="1">
        <v>31.0</v>
      </c>
      <c r="E47" s="1">
        <v>80.0</v>
      </c>
      <c r="F47" s="1">
        <v>13.0</v>
      </c>
      <c r="G47" s="1">
        <v>4.0</v>
      </c>
      <c r="H47" s="1" t="s">
        <v>37</v>
      </c>
      <c r="I47" s="2">
        <v>45857.0</v>
      </c>
      <c r="J47" s="1">
        <v>65000.0</v>
      </c>
      <c r="K47" s="2">
        <v>45839.0</v>
      </c>
    </row>
    <row r="48">
      <c r="A48" s="1" t="s">
        <v>55</v>
      </c>
      <c r="B48" s="1" t="s">
        <v>56</v>
      </c>
      <c r="C48" s="1" t="s">
        <v>36</v>
      </c>
      <c r="D48" s="1">
        <v>28.0</v>
      </c>
      <c r="E48" s="1">
        <v>100.0</v>
      </c>
      <c r="F48" s="1">
        <v>17.0</v>
      </c>
      <c r="G48" s="1">
        <v>3.0</v>
      </c>
      <c r="H48" s="1" t="s">
        <v>37</v>
      </c>
      <c r="I48" s="2">
        <v>46070.0</v>
      </c>
      <c r="J48" s="1">
        <v>85000.0</v>
      </c>
      <c r="K48" s="2">
        <v>46054.0</v>
      </c>
    </row>
    <row r="49">
      <c r="A49" s="1" t="s">
        <v>15</v>
      </c>
      <c r="B49" s="1" t="s">
        <v>16</v>
      </c>
      <c r="C49" s="1" t="s">
        <v>17</v>
      </c>
      <c r="D49" s="1">
        <v>22.0</v>
      </c>
      <c r="E49" s="1">
        <v>15.0</v>
      </c>
      <c r="F49" s="1">
        <v>2.0</v>
      </c>
      <c r="G49" s="1">
        <v>7.0</v>
      </c>
      <c r="H49" s="1" t="s">
        <v>18</v>
      </c>
      <c r="I49" s="2">
        <v>45878.0</v>
      </c>
      <c r="J49" s="1">
        <v>8500000.0</v>
      </c>
      <c r="K49" s="2">
        <v>45870.0</v>
      </c>
    </row>
    <row r="50">
      <c r="A50" s="1" t="s">
        <v>48</v>
      </c>
      <c r="B50" s="1" t="s">
        <v>49</v>
      </c>
      <c r="C50" s="1" t="s">
        <v>36</v>
      </c>
      <c r="D50" s="1">
        <v>27.0</v>
      </c>
      <c r="E50" s="1">
        <v>120.0</v>
      </c>
      <c r="F50" s="1">
        <v>18.0</v>
      </c>
      <c r="G50" s="1">
        <v>4.0</v>
      </c>
      <c r="H50" s="1" t="s">
        <v>50</v>
      </c>
      <c r="I50" s="2">
        <v>45782.0</v>
      </c>
      <c r="J50" s="1">
        <v>55000.0</v>
      </c>
      <c r="K50" s="2">
        <v>45778.0</v>
      </c>
    </row>
    <row r="51">
      <c r="A51" s="1" t="s">
        <v>38</v>
      </c>
      <c r="B51" s="1" t="s">
        <v>39</v>
      </c>
      <c r="C51" s="1" t="s">
        <v>23</v>
      </c>
      <c r="D51" s="1">
        <v>0.0</v>
      </c>
      <c r="E51" s="1">
        <v>45.0</v>
      </c>
      <c r="F51" s="1">
        <v>10.0</v>
      </c>
      <c r="G51" s="1">
        <v>3.0</v>
      </c>
      <c r="H51" s="1" t="s">
        <v>24</v>
      </c>
      <c r="I51" s="2">
        <v>45737.0</v>
      </c>
      <c r="J51" s="1">
        <v>450000.0</v>
      </c>
      <c r="K51" s="2">
        <v>45717.0</v>
      </c>
    </row>
    <row r="52">
      <c r="A52" s="1" t="s">
        <v>46</v>
      </c>
      <c r="B52" s="1" t="s">
        <v>47</v>
      </c>
      <c r="C52" s="1" t="s">
        <v>23</v>
      </c>
      <c r="D52" s="1">
        <v>0.0</v>
      </c>
      <c r="E52" s="1">
        <v>40.0</v>
      </c>
      <c r="F52" s="1">
        <v>8.0</v>
      </c>
      <c r="G52" s="1">
        <v>3.0</v>
      </c>
      <c r="H52" s="1" t="s">
        <v>30</v>
      </c>
      <c r="I52" s="2">
        <v>46018.0</v>
      </c>
      <c r="J52" s="1">
        <v>550000.0</v>
      </c>
      <c r="K52" s="2">
        <v>45992.0</v>
      </c>
    </row>
    <row r="53">
      <c r="A53" s="1" t="s">
        <v>55</v>
      </c>
      <c r="B53" s="1" t="s">
        <v>56</v>
      </c>
      <c r="C53" s="1" t="s">
        <v>36</v>
      </c>
      <c r="D53" s="1">
        <v>35.0</v>
      </c>
      <c r="E53" s="1">
        <v>100.0</v>
      </c>
      <c r="F53" s="1">
        <v>14.0</v>
      </c>
      <c r="G53" s="1">
        <v>3.0</v>
      </c>
      <c r="H53" s="1" t="s">
        <v>37</v>
      </c>
      <c r="I53" s="2">
        <v>45685.0</v>
      </c>
      <c r="J53" s="1">
        <v>85000.0</v>
      </c>
      <c r="K53" s="2">
        <v>45658.0</v>
      </c>
    </row>
    <row r="54">
      <c r="A54" s="1" t="s">
        <v>28</v>
      </c>
      <c r="B54" s="1" t="s">
        <v>29</v>
      </c>
      <c r="C54" s="1" t="s">
        <v>23</v>
      </c>
      <c r="D54" s="1">
        <v>0.0</v>
      </c>
      <c r="E54" s="1">
        <v>35.0</v>
      </c>
      <c r="F54" s="1">
        <v>9.0</v>
      </c>
      <c r="G54" s="1">
        <v>5.0</v>
      </c>
      <c r="H54" s="1" t="s">
        <v>30</v>
      </c>
      <c r="I54" s="2">
        <v>46095.0</v>
      </c>
      <c r="J54" s="1">
        <v>1250000.0</v>
      </c>
      <c r="K54" s="2">
        <v>46082.0</v>
      </c>
    </row>
    <row r="55">
      <c r="A55" s="1" t="s">
        <v>38</v>
      </c>
      <c r="B55" s="1" t="s">
        <v>39</v>
      </c>
      <c r="C55" s="1" t="s">
        <v>23</v>
      </c>
      <c r="D55" s="1">
        <v>40.0</v>
      </c>
      <c r="E55" s="1">
        <v>45.0</v>
      </c>
      <c r="F55" s="1">
        <v>5.0</v>
      </c>
      <c r="G55" s="1">
        <v>3.0</v>
      </c>
      <c r="H55" s="1" t="s">
        <v>24</v>
      </c>
      <c r="I55" s="2">
        <v>45959.0</v>
      </c>
      <c r="J55" s="1">
        <v>450000.0</v>
      </c>
      <c r="K55" s="2">
        <v>45931.0</v>
      </c>
    </row>
    <row r="56">
      <c r="A56" s="1" t="s">
        <v>64</v>
      </c>
      <c r="B56" s="1" t="s">
        <v>65</v>
      </c>
      <c r="C56" s="1" t="s">
        <v>42</v>
      </c>
      <c r="D56" s="1">
        <v>29.0</v>
      </c>
      <c r="E56" s="1">
        <v>20.0</v>
      </c>
      <c r="F56" s="1">
        <v>4.0</v>
      </c>
      <c r="G56" s="1">
        <v>10.0</v>
      </c>
      <c r="H56" s="1" t="s">
        <v>59</v>
      </c>
      <c r="I56" s="2">
        <v>45826.0</v>
      </c>
      <c r="J56" s="1">
        <v>750000.0</v>
      </c>
      <c r="K56" s="2">
        <v>45809.0</v>
      </c>
    </row>
    <row r="57">
      <c r="A57" s="1" t="s">
        <v>40</v>
      </c>
      <c r="B57" s="1" t="s">
        <v>41</v>
      </c>
      <c r="C57" s="1" t="s">
        <v>42</v>
      </c>
      <c r="D57" s="1">
        <v>30.0</v>
      </c>
      <c r="E57" s="1">
        <v>15.0</v>
      </c>
      <c r="F57" s="1">
        <v>2.0</v>
      </c>
      <c r="G57" s="1">
        <v>9.0</v>
      </c>
      <c r="H57" s="1" t="s">
        <v>43</v>
      </c>
      <c r="I57" s="2">
        <v>45892.0</v>
      </c>
      <c r="J57" s="1">
        <v>1200000.0</v>
      </c>
      <c r="K57" s="2">
        <v>45870.0</v>
      </c>
    </row>
    <row r="58">
      <c r="A58" s="1" t="s">
        <v>31</v>
      </c>
      <c r="B58" s="1" t="s">
        <v>32</v>
      </c>
      <c r="C58" s="1" t="s">
        <v>13</v>
      </c>
      <c r="D58" s="1">
        <v>91.0</v>
      </c>
      <c r="E58" s="1">
        <v>40.0</v>
      </c>
      <c r="F58" s="1">
        <v>3.0</v>
      </c>
      <c r="G58" s="1">
        <v>5.0</v>
      </c>
      <c r="H58" s="1" t="s">
        <v>33</v>
      </c>
      <c r="I58" s="2">
        <v>45724.0</v>
      </c>
      <c r="J58" s="1">
        <v>550000.0</v>
      </c>
      <c r="K58" s="2">
        <v>45717.0</v>
      </c>
    </row>
    <row r="59">
      <c r="A59" s="1" t="s">
        <v>53</v>
      </c>
      <c r="B59" s="1" t="s">
        <v>54</v>
      </c>
      <c r="C59" s="1" t="s">
        <v>13</v>
      </c>
      <c r="D59" s="1">
        <v>299.0</v>
      </c>
      <c r="E59" s="1">
        <v>60.0</v>
      </c>
      <c r="F59" s="1">
        <v>1.0</v>
      </c>
      <c r="G59" s="1">
        <v>7.0</v>
      </c>
      <c r="H59" s="1" t="s">
        <v>14</v>
      </c>
      <c r="I59" s="2">
        <v>45756.0</v>
      </c>
      <c r="J59" s="1">
        <v>165000.0</v>
      </c>
      <c r="K59" s="2">
        <v>45748.0</v>
      </c>
    </row>
    <row r="60">
      <c r="A60" s="1" t="s">
        <v>62</v>
      </c>
      <c r="B60" s="1" t="s">
        <v>63</v>
      </c>
      <c r="C60" s="1" t="s">
        <v>13</v>
      </c>
      <c r="D60" s="1">
        <v>392.0</v>
      </c>
      <c r="E60" s="1">
        <v>80.0</v>
      </c>
      <c r="F60" s="1">
        <v>5.0</v>
      </c>
      <c r="G60" s="1">
        <v>4.0</v>
      </c>
      <c r="H60" s="1" t="s">
        <v>33</v>
      </c>
      <c r="I60" s="2">
        <v>45701.0</v>
      </c>
      <c r="J60" s="1">
        <v>85000.0</v>
      </c>
      <c r="K60" s="2">
        <v>45689.0</v>
      </c>
    </row>
    <row r="61">
      <c r="A61" s="1" t="s">
        <v>53</v>
      </c>
      <c r="B61" s="1" t="s">
        <v>54</v>
      </c>
      <c r="C61" s="1" t="s">
        <v>13</v>
      </c>
      <c r="D61" s="1">
        <v>198.0</v>
      </c>
      <c r="E61" s="1">
        <v>60.0</v>
      </c>
      <c r="F61" s="1">
        <v>3.0</v>
      </c>
      <c r="G61" s="1">
        <v>8.0</v>
      </c>
      <c r="H61" s="1" t="s">
        <v>14</v>
      </c>
      <c r="I61" s="2">
        <v>45712.0</v>
      </c>
      <c r="J61" s="1">
        <v>165000.0</v>
      </c>
      <c r="K61" s="2">
        <v>45689.0</v>
      </c>
    </row>
    <row r="62">
      <c r="A62" s="1" t="s">
        <v>11</v>
      </c>
      <c r="B62" s="1" t="s">
        <v>12</v>
      </c>
      <c r="C62" s="1" t="s">
        <v>13</v>
      </c>
      <c r="D62" s="1">
        <v>238.0</v>
      </c>
      <c r="E62" s="1">
        <v>50.0</v>
      </c>
      <c r="F62" s="1">
        <v>2.0</v>
      </c>
      <c r="G62" s="1">
        <v>7.0</v>
      </c>
      <c r="H62" s="1" t="s">
        <v>14</v>
      </c>
      <c r="I62" s="2">
        <v>45671.0</v>
      </c>
      <c r="J62" s="1">
        <v>125000.0</v>
      </c>
      <c r="K62" s="2">
        <v>45658.0</v>
      </c>
    </row>
    <row r="63">
      <c r="A63" s="1" t="s">
        <v>46</v>
      </c>
      <c r="B63" s="1" t="s">
        <v>47</v>
      </c>
      <c r="C63" s="1" t="s">
        <v>23</v>
      </c>
      <c r="D63" s="1">
        <v>44.0</v>
      </c>
      <c r="E63" s="1">
        <v>40.0</v>
      </c>
      <c r="F63" s="1">
        <v>5.0</v>
      </c>
      <c r="G63" s="1">
        <v>6.0</v>
      </c>
      <c r="H63" s="1" t="s">
        <v>30</v>
      </c>
      <c r="I63" s="2">
        <v>45799.0</v>
      </c>
      <c r="J63" s="1">
        <v>550000.0</v>
      </c>
      <c r="K63" s="2">
        <v>45778.0</v>
      </c>
    </row>
    <row r="64">
      <c r="A64" s="1" t="s">
        <v>46</v>
      </c>
      <c r="B64" s="1" t="s">
        <v>47</v>
      </c>
      <c r="C64" s="1" t="s">
        <v>23</v>
      </c>
      <c r="D64" s="1">
        <v>28.0</v>
      </c>
      <c r="E64" s="1">
        <v>40.0</v>
      </c>
      <c r="F64" s="1">
        <v>3.0</v>
      </c>
      <c r="G64" s="1">
        <v>6.0</v>
      </c>
      <c r="H64" s="1" t="s">
        <v>30</v>
      </c>
      <c r="I64" s="2">
        <v>45956.0</v>
      </c>
      <c r="J64" s="1">
        <v>550000.0</v>
      </c>
      <c r="K64" s="2">
        <v>45931.0</v>
      </c>
    </row>
    <row r="65">
      <c r="A65" s="1" t="s">
        <v>46</v>
      </c>
      <c r="B65" s="1" t="s">
        <v>47</v>
      </c>
      <c r="C65" s="1" t="s">
        <v>23</v>
      </c>
      <c r="D65" s="1">
        <v>29.0</v>
      </c>
      <c r="E65" s="1">
        <v>40.0</v>
      </c>
      <c r="F65" s="1">
        <v>4.0</v>
      </c>
      <c r="G65" s="1">
        <v>9.0</v>
      </c>
      <c r="H65" s="1" t="s">
        <v>30</v>
      </c>
      <c r="I65" s="2">
        <v>45839.0</v>
      </c>
      <c r="J65" s="1">
        <v>550000.0</v>
      </c>
      <c r="K65" s="2">
        <v>45839.0</v>
      </c>
    </row>
    <row r="66">
      <c r="A66" s="1" t="s">
        <v>62</v>
      </c>
      <c r="B66" s="1" t="s">
        <v>63</v>
      </c>
      <c r="C66" s="1" t="s">
        <v>13</v>
      </c>
      <c r="D66" s="1">
        <v>468.0</v>
      </c>
      <c r="E66" s="1">
        <v>80.0</v>
      </c>
      <c r="F66" s="1">
        <v>5.0</v>
      </c>
      <c r="G66" s="1">
        <v>6.0</v>
      </c>
      <c r="H66" s="1" t="s">
        <v>33</v>
      </c>
      <c r="I66" s="2">
        <v>46079.0</v>
      </c>
      <c r="J66" s="1">
        <v>85000.0</v>
      </c>
      <c r="K66" s="2">
        <v>46054.0</v>
      </c>
    </row>
    <row r="67">
      <c r="A67" s="1" t="s">
        <v>57</v>
      </c>
      <c r="B67" s="1" t="s">
        <v>58</v>
      </c>
      <c r="C67" s="1" t="s">
        <v>42</v>
      </c>
      <c r="D67" s="1">
        <v>16.0</v>
      </c>
      <c r="E67" s="1">
        <v>25.0</v>
      </c>
      <c r="F67" s="1">
        <v>3.0</v>
      </c>
      <c r="G67" s="1">
        <v>6.0</v>
      </c>
      <c r="H67" s="1" t="s">
        <v>59</v>
      </c>
      <c r="I67" s="2">
        <v>45982.0</v>
      </c>
      <c r="J67" s="1">
        <v>450000.0</v>
      </c>
      <c r="K67" s="2">
        <v>45962.0</v>
      </c>
    </row>
    <row r="68">
      <c r="A68" s="1" t="s">
        <v>62</v>
      </c>
      <c r="B68" s="1" t="s">
        <v>63</v>
      </c>
      <c r="C68" s="1" t="s">
        <v>13</v>
      </c>
      <c r="D68" s="1">
        <v>320.0</v>
      </c>
      <c r="E68" s="1">
        <v>80.0</v>
      </c>
      <c r="F68" s="1">
        <v>5.0</v>
      </c>
      <c r="G68" s="1">
        <v>4.0</v>
      </c>
      <c r="H68" s="1" t="s">
        <v>33</v>
      </c>
      <c r="I68" s="2">
        <v>45909.0</v>
      </c>
      <c r="J68" s="1">
        <v>85000.0</v>
      </c>
      <c r="K68" s="2">
        <v>45901.0</v>
      </c>
    </row>
    <row r="69">
      <c r="A69" s="1" t="s">
        <v>38</v>
      </c>
      <c r="B69" s="1" t="s">
        <v>39</v>
      </c>
      <c r="C69" s="1" t="s">
        <v>23</v>
      </c>
      <c r="D69" s="1">
        <v>0.0</v>
      </c>
      <c r="E69" s="1">
        <v>45.0</v>
      </c>
      <c r="F69" s="1">
        <v>10.0</v>
      </c>
      <c r="G69" s="1">
        <v>4.0</v>
      </c>
      <c r="H69" s="1" t="s">
        <v>24</v>
      </c>
      <c r="I69" s="2">
        <v>45768.0</v>
      </c>
      <c r="J69" s="1">
        <v>450000.0</v>
      </c>
      <c r="K69" s="2">
        <v>45748.0</v>
      </c>
    </row>
    <row r="70">
      <c r="A70" s="1" t="s">
        <v>55</v>
      </c>
      <c r="B70" s="1" t="s">
        <v>56</v>
      </c>
      <c r="C70" s="1" t="s">
        <v>36</v>
      </c>
      <c r="D70" s="1">
        <v>29.0</v>
      </c>
      <c r="E70" s="1">
        <v>100.0</v>
      </c>
      <c r="F70" s="1">
        <v>16.0</v>
      </c>
      <c r="G70" s="1">
        <v>5.0</v>
      </c>
      <c r="H70" s="1" t="s">
        <v>37</v>
      </c>
      <c r="I70" s="2">
        <v>45813.0</v>
      </c>
      <c r="J70" s="1">
        <v>85000.0</v>
      </c>
      <c r="K70" s="2">
        <v>45809.0</v>
      </c>
    </row>
    <row r="71">
      <c r="A71" s="1" t="s">
        <v>19</v>
      </c>
      <c r="B71" s="1" t="s">
        <v>20</v>
      </c>
      <c r="C71" s="1" t="s">
        <v>17</v>
      </c>
      <c r="D71" s="1">
        <v>34.0</v>
      </c>
      <c r="E71" s="1">
        <v>30.0</v>
      </c>
      <c r="F71" s="1">
        <v>4.0</v>
      </c>
      <c r="G71" s="1">
        <v>5.0</v>
      </c>
      <c r="H71" s="1" t="s">
        <v>18</v>
      </c>
      <c r="I71" s="2">
        <v>46083.0</v>
      </c>
      <c r="J71" s="1">
        <v>1200000.0</v>
      </c>
      <c r="K71" s="2">
        <v>46082.0</v>
      </c>
    </row>
    <row r="72">
      <c r="A72" s="1" t="s">
        <v>55</v>
      </c>
      <c r="B72" s="1" t="s">
        <v>56</v>
      </c>
      <c r="C72" s="1" t="s">
        <v>36</v>
      </c>
      <c r="D72" s="1">
        <v>60.0</v>
      </c>
      <c r="E72" s="1">
        <v>100.0</v>
      </c>
      <c r="F72" s="1">
        <v>12.0</v>
      </c>
      <c r="G72" s="1">
        <v>4.0</v>
      </c>
      <c r="H72" s="1" t="s">
        <v>37</v>
      </c>
      <c r="I72" s="2">
        <v>45928.0</v>
      </c>
      <c r="J72" s="1">
        <v>85000.0</v>
      </c>
      <c r="K72" s="2">
        <v>45901.0</v>
      </c>
    </row>
    <row r="73">
      <c r="A73" s="1" t="s">
        <v>15</v>
      </c>
      <c r="B73" s="1" t="s">
        <v>16</v>
      </c>
      <c r="C73" s="1" t="s">
        <v>17</v>
      </c>
      <c r="D73" s="1">
        <v>1.0</v>
      </c>
      <c r="E73" s="1">
        <v>15.0</v>
      </c>
      <c r="F73" s="1">
        <v>2.0</v>
      </c>
      <c r="G73" s="1">
        <v>6.0</v>
      </c>
      <c r="H73" s="1" t="s">
        <v>18</v>
      </c>
      <c r="I73" s="2">
        <v>45861.0</v>
      </c>
      <c r="J73" s="1">
        <v>8500000.0</v>
      </c>
      <c r="K73" s="2">
        <v>45839.0</v>
      </c>
    </row>
    <row r="74">
      <c r="A74" s="1" t="s">
        <v>31</v>
      </c>
      <c r="B74" s="1" t="s">
        <v>32</v>
      </c>
      <c r="C74" s="1" t="s">
        <v>13</v>
      </c>
      <c r="D74" s="1">
        <v>177.0</v>
      </c>
      <c r="E74" s="1">
        <v>40.0</v>
      </c>
      <c r="F74" s="1">
        <v>2.0</v>
      </c>
      <c r="G74" s="1">
        <v>4.0</v>
      </c>
      <c r="H74" s="1" t="s">
        <v>33</v>
      </c>
      <c r="I74" s="2">
        <v>45757.0</v>
      </c>
      <c r="J74" s="1">
        <v>550000.0</v>
      </c>
      <c r="K74" s="2">
        <v>45748.0</v>
      </c>
    </row>
    <row r="75">
      <c r="A75" s="1" t="s">
        <v>60</v>
      </c>
      <c r="B75" s="1" t="s">
        <v>61</v>
      </c>
      <c r="C75" s="1" t="s">
        <v>17</v>
      </c>
      <c r="D75" s="1">
        <v>28.0</v>
      </c>
      <c r="E75" s="1">
        <v>20.0</v>
      </c>
      <c r="F75" s="1">
        <v>1.0</v>
      </c>
      <c r="G75" s="1">
        <v>11.0</v>
      </c>
      <c r="H75" s="1" t="s">
        <v>27</v>
      </c>
      <c r="I75" s="2">
        <v>45669.0</v>
      </c>
      <c r="J75" s="1">
        <v>3200000.0</v>
      </c>
      <c r="K75" s="2">
        <v>45658.0</v>
      </c>
    </row>
    <row r="76">
      <c r="A76" s="1" t="s">
        <v>25</v>
      </c>
      <c r="B76" s="1" t="s">
        <v>26</v>
      </c>
      <c r="C76" s="1" t="s">
        <v>17</v>
      </c>
      <c r="D76" s="1">
        <v>42.0</v>
      </c>
      <c r="E76" s="1">
        <v>25.0</v>
      </c>
      <c r="F76" s="1">
        <v>4.0</v>
      </c>
      <c r="G76" s="1">
        <v>19.0</v>
      </c>
      <c r="H76" s="1" t="s">
        <v>27</v>
      </c>
      <c r="I76" s="2">
        <v>45881.0</v>
      </c>
      <c r="J76" s="1">
        <v>4500000.0</v>
      </c>
      <c r="K76" s="2">
        <v>45870.0</v>
      </c>
    </row>
    <row r="77">
      <c r="A77" s="1" t="s">
        <v>51</v>
      </c>
      <c r="B77" s="1" t="s">
        <v>52</v>
      </c>
      <c r="C77" s="1" t="s">
        <v>36</v>
      </c>
      <c r="D77" s="1">
        <v>18.0</v>
      </c>
      <c r="E77" s="1">
        <v>60.0</v>
      </c>
      <c r="F77" s="1">
        <v>8.0</v>
      </c>
      <c r="G77" s="1">
        <v>5.0</v>
      </c>
      <c r="H77" s="1" t="s">
        <v>50</v>
      </c>
      <c r="I77" s="2">
        <v>45712.0</v>
      </c>
      <c r="K77" s="2">
        <v>45689.0</v>
      </c>
    </row>
    <row r="78">
      <c r="A78" s="1" t="s">
        <v>19</v>
      </c>
      <c r="B78" s="1" t="s">
        <v>20</v>
      </c>
      <c r="C78" s="1" t="s">
        <v>17</v>
      </c>
      <c r="D78" s="1">
        <v>17.0</v>
      </c>
      <c r="E78" s="1">
        <v>30.0</v>
      </c>
      <c r="F78" s="1">
        <v>6.0</v>
      </c>
      <c r="G78" s="1">
        <v>8.0</v>
      </c>
      <c r="H78" s="1" t="s">
        <v>18</v>
      </c>
      <c r="I78" s="2">
        <v>45996.0</v>
      </c>
      <c r="J78" s="1">
        <v>1200000.0</v>
      </c>
      <c r="K78" s="2">
        <v>45992.0</v>
      </c>
    </row>
    <row r="79">
      <c r="A79" s="1" t="s">
        <v>11</v>
      </c>
      <c r="B79" s="1" t="s">
        <v>12</v>
      </c>
      <c r="C79" s="1" t="s">
        <v>13</v>
      </c>
      <c r="D79" s="1">
        <v>238.0</v>
      </c>
      <c r="E79" s="1">
        <v>50.0</v>
      </c>
      <c r="F79" s="1">
        <v>2.0</v>
      </c>
      <c r="G79" s="1">
        <v>7.0</v>
      </c>
      <c r="H79" s="1" t="s">
        <v>14</v>
      </c>
      <c r="I79" s="2">
        <v>45671.0</v>
      </c>
      <c r="J79" s="1">
        <v>125000.0</v>
      </c>
      <c r="K79" s="2">
        <v>45658.0</v>
      </c>
    </row>
    <row r="80">
      <c r="A80" s="1" t="s">
        <v>46</v>
      </c>
      <c r="B80" s="1" t="s">
        <v>47</v>
      </c>
      <c r="C80" s="1" t="s">
        <v>23</v>
      </c>
      <c r="D80" s="1">
        <v>0.0</v>
      </c>
      <c r="E80" s="1">
        <v>40.0</v>
      </c>
      <c r="F80" s="1">
        <v>10.0</v>
      </c>
      <c r="G80" s="1">
        <v>7.0</v>
      </c>
      <c r="H80" s="1" t="s">
        <v>30</v>
      </c>
      <c r="I80" s="2">
        <v>46109.0</v>
      </c>
      <c r="J80" s="1">
        <v>550000.0</v>
      </c>
      <c r="K80" s="2">
        <v>46082.0</v>
      </c>
    </row>
    <row r="81" hidden="1">
      <c r="A81" s="1" t="s">
        <v>34</v>
      </c>
      <c r="B81" s="1" t="s">
        <v>35</v>
      </c>
      <c r="C81" s="1" t="s">
        <v>36</v>
      </c>
      <c r="E81" s="1">
        <v>80.0</v>
      </c>
      <c r="F81" s="1">
        <v>11.0</v>
      </c>
      <c r="G81" s="1">
        <v>4.0</v>
      </c>
      <c r="H81" s="1" t="s">
        <v>37</v>
      </c>
      <c r="I81" s="2">
        <v>45766.0</v>
      </c>
      <c r="J81" s="1">
        <v>65000.0</v>
      </c>
      <c r="K81" s="2">
        <v>45748.0</v>
      </c>
    </row>
    <row r="82">
      <c r="A82" s="1" t="s">
        <v>55</v>
      </c>
      <c r="B82" s="1" t="s">
        <v>56</v>
      </c>
      <c r="C82" s="1" t="s">
        <v>36</v>
      </c>
      <c r="D82" s="1">
        <v>26.0</v>
      </c>
      <c r="E82" s="1">
        <v>100.0</v>
      </c>
      <c r="F82" s="1">
        <v>16.0</v>
      </c>
      <c r="G82" s="1">
        <v>4.0</v>
      </c>
      <c r="H82" s="1" t="s">
        <v>37</v>
      </c>
      <c r="I82" s="2">
        <v>45778.0</v>
      </c>
      <c r="J82" s="1">
        <v>85000.0</v>
      </c>
      <c r="K82" s="2">
        <v>45778.0</v>
      </c>
    </row>
    <row r="83">
      <c r="A83" s="1" t="s">
        <v>62</v>
      </c>
      <c r="B83" s="1" t="s">
        <v>63</v>
      </c>
      <c r="C83" s="1" t="s">
        <v>13</v>
      </c>
      <c r="D83" s="1">
        <v>301.0</v>
      </c>
      <c r="E83" s="1">
        <v>80.0</v>
      </c>
      <c r="F83" s="1">
        <v>3.0</v>
      </c>
      <c r="G83" s="1">
        <v>4.0</v>
      </c>
      <c r="H83" s="1" t="s">
        <v>33</v>
      </c>
      <c r="I83" s="2">
        <v>45936.0</v>
      </c>
      <c r="J83" s="1">
        <v>85000.0</v>
      </c>
      <c r="K83" s="2">
        <v>45931.0</v>
      </c>
    </row>
    <row r="84">
      <c r="A84" s="1" t="s">
        <v>57</v>
      </c>
      <c r="B84" s="1" t="s">
        <v>58</v>
      </c>
      <c r="C84" s="1" t="s">
        <v>42</v>
      </c>
      <c r="D84" s="1">
        <v>19.0</v>
      </c>
      <c r="E84" s="1">
        <v>25.0</v>
      </c>
      <c r="F84" s="1">
        <v>4.0</v>
      </c>
      <c r="G84" s="1">
        <v>10.0</v>
      </c>
      <c r="H84" s="1" t="s">
        <v>59</v>
      </c>
      <c r="I84" s="2">
        <v>45729.0</v>
      </c>
      <c r="J84" s="1">
        <v>450000.0</v>
      </c>
      <c r="K84" s="2">
        <v>45717.0</v>
      </c>
    </row>
    <row r="85">
      <c r="A85" s="1" t="s">
        <v>44</v>
      </c>
      <c r="B85" s="1" t="s">
        <v>45</v>
      </c>
      <c r="C85" s="1" t="s">
        <v>42</v>
      </c>
      <c r="D85" s="1">
        <v>51.0</v>
      </c>
      <c r="E85" s="1">
        <v>30.0</v>
      </c>
      <c r="F85" s="1">
        <v>6.0</v>
      </c>
      <c r="G85" s="1">
        <v>9.0</v>
      </c>
      <c r="H85" s="1" t="s">
        <v>43</v>
      </c>
      <c r="I85" s="2">
        <v>45752.0</v>
      </c>
      <c r="J85" s="1">
        <v>350000.0</v>
      </c>
      <c r="K85" s="2">
        <v>45748.0</v>
      </c>
    </row>
    <row r="86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</row>
    <row r="87">
      <c r="A87" s="1" t="s">
        <v>53</v>
      </c>
      <c r="B87" s="1" t="s">
        <v>54</v>
      </c>
      <c r="C87" s="1" t="s">
        <v>13</v>
      </c>
      <c r="D87" s="1">
        <v>223.0</v>
      </c>
      <c r="E87" s="1">
        <v>60.0</v>
      </c>
      <c r="F87" s="1">
        <v>4.0</v>
      </c>
      <c r="G87" s="1">
        <v>8.0</v>
      </c>
      <c r="H87" s="1" t="s">
        <v>14</v>
      </c>
      <c r="I87" s="2">
        <v>46108.0</v>
      </c>
      <c r="J87" s="1">
        <v>165000.0</v>
      </c>
      <c r="K87" s="2">
        <v>46082.0</v>
      </c>
    </row>
    <row r="88">
      <c r="A88" s="1" t="s">
        <v>21</v>
      </c>
      <c r="B88" s="1" t="s">
        <v>22</v>
      </c>
      <c r="C88" s="1" t="s">
        <v>23</v>
      </c>
      <c r="D88" s="1">
        <v>34.0</v>
      </c>
      <c r="E88" s="1">
        <v>50.0</v>
      </c>
      <c r="F88" s="1">
        <v>6.0</v>
      </c>
      <c r="G88" s="1">
        <v>6.0</v>
      </c>
      <c r="H88" s="1" t="s">
        <v>24</v>
      </c>
      <c r="I88" s="2">
        <v>45849.0</v>
      </c>
      <c r="J88" s="1">
        <v>350000.0</v>
      </c>
      <c r="K88" s="2">
        <v>45839.0</v>
      </c>
    </row>
    <row r="89">
      <c r="A89" s="1" t="s">
        <v>46</v>
      </c>
      <c r="B89" s="1" t="s">
        <v>47</v>
      </c>
      <c r="C89" s="1" t="s">
        <v>23</v>
      </c>
      <c r="D89" s="1">
        <v>10.0</v>
      </c>
      <c r="E89" s="1">
        <v>40.0</v>
      </c>
      <c r="F89" s="1">
        <v>4.0</v>
      </c>
      <c r="G89" s="1">
        <v>3.0</v>
      </c>
      <c r="H89" s="1" t="s">
        <v>30</v>
      </c>
      <c r="I89" s="2">
        <v>46055.0</v>
      </c>
      <c r="J89" s="1">
        <v>550000.0</v>
      </c>
      <c r="K89" s="2">
        <v>46054.0</v>
      </c>
    </row>
    <row r="90">
      <c r="A90" s="1" t="s">
        <v>62</v>
      </c>
      <c r="B90" s="1" t="s">
        <v>63</v>
      </c>
      <c r="C90" s="1" t="s">
        <v>13</v>
      </c>
      <c r="D90" s="1">
        <v>436.0</v>
      </c>
      <c r="E90" s="1">
        <v>80.0</v>
      </c>
      <c r="F90" s="1">
        <v>4.0</v>
      </c>
      <c r="G90" s="1">
        <v>4.0</v>
      </c>
      <c r="H90" s="1" t="s">
        <v>33</v>
      </c>
      <c r="I90" s="2">
        <v>45755.0</v>
      </c>
      <c r="J90" s="1">
        <v>85000.0</v>
      </c>
      <c r="K90" s="2">
        <v>45748.0</v>
      </c>
    </row>
    <row r="91">
      <c r="A91" s="1" t="s">
        <v>25</v>
      </c>
      <c r="B91" s="1" t="s">
        <v>26</v>
      </c>
      <c r="C91" s="1" t="s">
        <v>17</v>
      </c>
      <c r="D91" s="1">
        <v>0.0</v>
      </c>
      <c r="E91" s="1">
        <v>25.0</v>
      </c>
      <c r="F91" s="1">
        <v>8.0</v>
      </c>
      <c r="G91" s="1">
        <v>10.0</v>
      </c>
      <c r="H91" s="1" t="s">
        <v>27</v>
      </c>
      <c r="I91" s="2">
        <v>46013.0</v>
      </c>
      <c r="J91" s="1">
        <v>4500000.0</v>
      </c>
      <c r="K91" s="2">
        <v>45992.0</v>
      </c>
    </row>
    <row r="92">
      <c r="A92" s="1" t="s">
        <v>25</v>
      </c>
      <c r="B92" s="1" t="s">
        <v>26</v>
      </c>
      <c r="C92" s="1" t="s">
        <v>17</v>
      </c>
      <c r="D92" s="1">
        <v>20.0</v>
      </c>
      <c r="E92" s="1">
        <v>25.0</v>
      </c>
      <c r="F92" s="1">
        <v>4.0</v>
      </c>
      <c r="G92" s="1">
        <v>19.0</v>
      </c>
      <c r="H92" s="1" t="s">
        <v>27</v>
      </c>
      <c r="I92" s="2">
        <v>45786.0</v>
      </c>
      <c r="J92" s="1">
        <v>4500000.0</v>
      </c>
      <c r="K92" s="2">
        <v>45778.0</v>
      </c>
    </row>
    <row r="93">
      <c r="A93" s="1" t="s">
        <v>57</v>
      </c>
      <c r="B93" s="1" t="s">
        <v>58</v>
      </c>
      <c r="C93" s="1" t="s">
        <v>42</v>
      </c>
      <c r="D93" s="1">
        <v>42.0</v>
      </c>
      <c r="E93" s="1">
        <v>25.0</v>
      </c>
      <c r="F93" s="1">
        <v>4.0</v>
      </c>
      <c r="G93" s="1">
        <v>8.0</v>
      </c>
      <c r="H93" s="1" t="s">
        <v>59</v>
      </c>
      <c r="I93" s="2">
        <v>46029.0</v>
      </c>
      <c r="J93" s="1">
        <v>450000.0</v>
      </c>
      <c r="K93" s="2">
        <v>46023.0</v>
      </c>
    </row>
    <row r="94">
      <c r="A94" s="1" t="s">
        <v>28</v>
      </c>
      <c r="B94" s="1" t="s">
        <v>29</v>
      </c>
      <c r="C94" s="1" t="s">
        <v>23</v>
      </c>
      <c r="D94" s="1">
        <v>0.0</v>
      </c>
      <c r="E94" s="1">
        <v>35.0</v>
      </c>
      <c r="F94" s="1">
        <v>12.0</v>
      </c>
      <c r="G94" s="1">
        <v>9.0</v>
      </c>
      <c r="H94" s="1" t="s">
        <v>30</v>
      </c>
      <c r="I94" s="2">
        <v>45746.0</v>
      </c>
      <c r="J94" s="1">
        <v>1250000.0</v>
      </c>
      <c r="K94" s="2">
        <v>45717.0</v>
      </c>
    </row>
    <row r="95">
      <c r="A95" s="1" t="s">
        <v>38</v>
      </c>
      <c r="B95" s="1" t="s">
        <v>39</v>
      </c>
      <c r="C95" s="1" t="s">
        <v>23</v>
      </c>
      <c r="D95" s="1">
        <v>34.0</v>
      </c>
      <c r="E95" s="1">
        <v>45.0</v>
      </c>
      <c r="F95" s="1">
        <v>5.0</v>
      </c>
      <c r="G95" s="1">
        <v>4.0</v>
      </c>
      <c r="H95" s="1" t="s">
        <v>24</v>
      </c>
      <c r="I95" s="2">
        <v>45801.0</v>
      </c>
      <c r="J95" s="1">
        <v>450000.0</v>
      </c>
      <c r="K95" s="2">
        <v>45778.0</v>
      </c>
    </row>
    <row r="96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10.0</v>
      </c>
      <c r="G96" s="1">
        <v>7.0</v>
      </c>
      <c r="H96" s="1" t="s">
        <v>30</v>
      </c>
      <c r="I96" s="2">
        <v>46008.0</v>
      </c>
      <c r="J96" s="1">
        <v>1250000.0</v>
      </c>
      <c r="K96" s="2">
        <v>45992.0</v>
      </c>
    </row>
    <row r="97">
      <c r="A97" s="1" t="s">
        <v>31</v>
      </c>
      <c r="B97" s="1" t="s">
        <v>32</v>
      </c>
      <c r="C97" s="1" t="s">
        <v>13</v>
      </c>
      <c r="D97" s="1">
        <v>169.0</v>
      </c>
      <c r="E97" s="1">
        <v>40.0</v>
      </c>
      <c r="F97" s="1">
        <v>3.0</v>
      </c>
      <c r="G97" s="1">
        <v>4.0</v>
      </c>
      <c r="H97" s="1" t="s">
        <v>33</v>
      </c>
      <c r="I97" s="2">
        <v>46074.0</v>
      </c>
      <c r="J97" s="1">
        <v>550000.0</v>
      </c>
      <c r="K97" s="2">
        <v>46054.0</v>
      </c>
    </row>
    <row r="98">
      <c r="A98" s="1" t="s">
        <v>21</v>
      </c>
      <c r="B98" s="1" t="s">
        <v>22</v>
      </c>
      <c r="C98" s="1" t="s">
        <v>23</v>
      </c>
      <c r="D98" s="1">
        <v>15.0</v>
      </c>
      <c r="E98" s="1">
        <v>50.0</v>
      </c>
      <c r="F98" s="1">
        <v>7.0</v>
      </c>
      <c r="G98" s="1">
        <v>7.0</v>
      </c>
      <c r="H98" s="1" t="s">
        <v>24</v>
      </c>
      <c r="I98" s="2">
        <v>46032.0</v>
      </c>
      <c r="J98" s="1">
        <v>350000.0</v>
      </c>
      <c r="K98" s="2">
        <v>46023.0</v>
      </c>
    </row>
    <row r="99">
      <c r="A99" s="1" t="s">
        <v>48</v>
      </c>
      <c r="B99" s="1" t="s">
        <v>49</v>
      </c>
      <c r="C99" s="1" t="s">
        <v>36</v>
      </c>
      <c r="D99" s="1">
        <v>48.0</v>
      </c>
      <c r="E99" s="1">
        <v>120.0</v>
      </c>
      <c r="F99" s="1">
        <v>18.0</v>
      </c>
      <c r="G99" s="1">
        <v>6.0</v>
      </c>
      <c r="H99" s="1" t="s">
        <v>50</v>
      </c>
      <c r="I99" s="2">
        <v>46074.0</v>
      </c>
      <c r="J99" s="1">
        <v>55000.0</v>
      </c>
      <c r="K99" s="2">
        <v>46054.0</v>
      </c>
    </row>
    <row r="100">
      <c r="A100" s="1" t="s">
        <v>25</v>
      </c>
      <c r="B100" s="1" t="s">
        <v>26</v>
      </c>
      <c r="C100" s="1" t="s">
        <v>17</v>
      </c>
      <c r="D100" s="1">
        <v>0.0</v>
      </c>
      <c r="E100" s="1">
        <v>25.0</v>
      </c>
      <c r="F100" s="1">
        <v>3.0</v>
      </c>
      <c r="G100" s="1">
        <v>18.0</v>
      </c>
      <c r="H100" s="1" t="s">
        <v>27</v>
      </c>
      <c r="I100" s="2">
        <v>45663.0</v>
      </c>
      <c r="J100" s="1">
        <v>4500000.0</v>
      </c>
      <c r="K100" s="2">
        <v>45658.0</v>
      </c>
    </row>
    <row r="101">
      <c r="A101" s="1" t="s">
        <v>15</v>
      </c>
      <c r="B101" s="1" t="s">
        <v>16</v>
      </c>
      <c r="C101" s="1" t="s">
        <v>17</v>
      </c>
      <c r="D101" s="1">
        <v>0.0</v>
      </c>
      <c r="E101" s="1">
        <v>15.0</v>
      </c>
      <c r="F101" s="1">
        <v>3.0</v>
      </c>
      <c r="G101" s="1">
        <v>8.0</v>
      </c>
      <c r="H101" s="1" t="s">
        <v>18</v>
      </c>
      <c r="I101" s="2">
        <v>45979.0</v>
      </c>
      <c r="J101" s="1">
        <v>8500000.0</v>
      </c>
      <c r="K101" s="2">
        <v>45962.0</v>
      </c>
    </row>
    <row r="102">
      <c r="A102" s="1" t="s">
        <v>44</v>
      </c>
      <c r="B102" s="1" t="s">
        <v>45</v>
      </c>
      <c r="C102" s="1" t="s">
        <v>42</v>
      </c>
      <c r="D102" s="1">
        <v>53.0</v>
      </c>
      <c r="E102" s="1">
        <v>30.0</v>
      </c>
      <c r="F102" s="1">
        <v>5.0</v>
      </c>
      <c r="G102" s="1">
        <v>4.0</v>
      </c>
      <c r="H102" s="1" t="s">
        <v>43</v>
      </c>
      <c r="I102" s="2">
        <v>45730.0</v>
      </c>
      <c r="J102" s="1">
        <v>350000.0</v>
      </c>
      <c r="K102" s="2">
        <v>45717.0</v>
      </c>
    </row>
    <row r="103">
      <c r="A103" s="1" t="s">
        <v>40</v>
      </c>
      <c r="B103" s="1" t="s">
        <v>41</v>
      </c>
      <c r="C103" s="1" t="s">
        <v>42</v>
      </c>
      <c r="D103" s="1">
        <v>12.0</v>
      </c>
      <c r="E103" s="1">
        <v>15.0</v>
      </c>
      <c r="F103" s="1">
        <v>4.0</v>
      </c>
      <c r="G103" s="1">
        <v>10.0</v>
      </c>
      <c r="H103" s="1" t="s">
        <v>43</v>
      </c>
      <c r="I103" s="2">
        <v>45717.0</v>
      </c>
      <c r="J103" s="1">
        <v>1200000.0</v>
      </c>
      <c r="K103" s="2">
        <v>45717.0</v>
      </c>
    </row>
    <row r="104">
      <c r="A104" s="1" t="s">
        <v>28</v>
      </c>
      <c r="B104" s="1" t="s">
        <v>29</v>
      </c>
      <c r="C104" s="1" t="s">
        <v>23</v>
      </c>
      <c r="D104" s="1">
        <v>31.0</v>
      </c>
      <c r="E104" s="1">
        <v>35.0</v>
      </c>
      <c r="F104" s="1">
        <v>3.0</v>
      </c>
      <c r="G104" s="1">
        <v>6.0</v>
      </c>
      <c r="H104" s="1" t="s">
        <v>30</v>
      </c>
      <c r="I104" s="2">
        <v>45891.0</v>
      </c>
      <c r="J104" s="1">
        <v>1250000.0</v>
      </c>
      <c r="K104" s="2">
        <v>45870.0</v>
      </c>
    </row>
    <row r="105">
      <c r="A105" s="1" t="s">
        <v>21</v>
      </c>
      <c r="B105" s="1" t="s">
        <v>22</v>
      </c>
      <c r="C105" s="1" t="s">
        <v>23</v>
      </c>
      <c r="D105" s="1">
        <v>21.0</v>
      </c>
      <c r="E105" s="1">
        <v>50.0</v>
      </c>
      <c r="F105" s="1">
        <v>7.0</v>
      </c>
      <c r="G105" s="1">
        <v>3.0</v>
      </c>
      <c r="H105" s="1" t="s">
        <v>24</v>
      </c>
      <c r="I105" s="2">
        <v>45918.0</v>
      </c>
      <c r="J105" s="1">
        <v>350000.0</v>
      </c>
      <c r="K105" s="2">
        <v>45901.0</v>
      </c>
    </row>
    <row r="106">
      <c r="A106" s="1" t="s">
        <v>11</v>
      </c>
      <c r="B106" s="1" t="s">
        <v>12</v>
      </c>
      <c r="C106" s="1" t="s">
        <v>13</v>
      </c>
      <c r="D106" s="1">
        <v>250.0</v>
      </c>
      <c r="E106" s="1">
        <v>50.0</v>
      </c>
      <c r="F106" s="1">
        <v>1.0</v>
      </c>
      <c r="G106" s="1">
        <v>7.0</v>
      </c>
      <c r="H106" s="1" t="s">
        <v>14</v>
      </c>
      <c r="I106" s="2">
        <v>46050.0</v>
      </c>
      <c r="J106" s="1">
        <v>125000.0</v>
      </c>
      <c r="K106" s="2">
        <v>46023.0</v>
      </c>
    </row>
    <row r="107" hidden="1">
      <c r="A107" s="1" t="s">
        <v>60</v>
      </c>
      <c r="B107" s="1" t="s">
        <v>61</v>
      </c>
      <c r="C107" s="1" t="s">
        <v>17</v>
      </c>
      <c r="D107" s="1">
        <v>-19.0</v>
      </c>
      <c r="E107" s="1">
        <v>20.0</v>
      </c>
      <c r="F107" s="1">
        <v>2.0</v>
      </c>
      <c r="G107" s="1">
        <v>18.0</v>
      </c>
      <c r="H107" s="1" t="s">
        <v>27</v>
      </c>
      <c r="I107" s="2">
        <v>45884.0</v>
      </c>
      <c r="J107" s="1">
        <v>3200000.0</v>
      </c>
      <c r="K107" s="2">
        <v>45870.0</v>
      </c>
    </row>
    <row r="108">
      <c r="A108" s="1" t="s">
        <v>25</v>
      </c>
      <c r="B108" s="1" t="s">
        <v>26</v>
      </c>
      <c r="C108" s="1" t="s">
        <v>17</v>
      </c>
      <c r="D108" s="1">
        <v>32.0</v>
      </c>
      <c r="E108" s="1">
        <v>25.0</v>
      </c>
      <c r="F108" s="1">
        <v>4.0</v>
      </c>
      <c r="G108" s="1">
        <v>9.0</v>
      </c>
      <c r="H108" s="1" t="s">
        <v>27</v>
      </c>
      <c r="I108" s="2">
        <v>45708.0</v>
      </c>
      <c r="J108" s="1">
        <v>4500000.0</v>
      </c>
      <c r="K108" s="2">
        <v>45689.0</v>
      </c>
    </row>
    <row r="109" hidden="1">
      <c r="A109" s="1" t="s">
        <v>19</v>
      </c>
      <c r="B109" s="1" t="s">
        <v>20</v>
      </c>
      <c r="C109" s="1" t="s">
        <v>17</v>
      </c>
      <c r="D109" s="1">
        <v>-12.0</v>
      </c>
      <c r="E109" s="1">
        <v>30.0</v>
      </c>
      <c r="F109" s="1">
        <v>6.0</v>
      </c>
      <c r="G109" s="1">
        <v>7.0</v>
      </c>
      <c r="H109" s="1" t="s">
        <v>18</v>
      </c>
      <c r="I109" s="2">
        <v>45975.0</v>
      </c>
      <c r="J109" s="1">
        <v>1200000.0</v>
      </c>
      <c r="K109" s="2">
        <v>45962.0</v>
      </c>
    </row>
    <row r="110">
      <c r="A110" s="1" t="s">
        <v>40</v>
      </c>
      <c r="B110" s="1" t="s">
        <v>41</v>
      </c>
      <c r="C110" s="1" t="s">
        <v>42</v>
      </c>
      <c r="D110" s="1">
        <v>3.0</v>
      </c>
      <c r="E110" s="1">
        <v>15.0</v>
      </c>
      <c r="F110" s="1">
        <v>3.0</v>
      </c>
      <c r="G110" s="1">
        <v>8.0</v>
      </c>
      <c r="H110" s="1" t="s">
        <v>43</v>
      </c>
      <c r="I110" s="2">
        <v>45815.0</v>
      </c>
      <c r="J110" s="1">
        <v>1200000.0</v>
      </c>
      <c r="K110" s="2">
        <v>45809.0</v>
      </c>
    </row>
    <row r="111">
      <c r="A111" s="1" t="s">
        <v>51</v>
      </c>
      <c r="B111" s="1" t="s">
        <v>52</v>
      </c>
      <c r="C111" s="1" t="s">
        <v>36</v>
      </c>
      <c r="D111" s="1">
        <v>0.0</v>
      </c>
      <c r="E111" s="1">
        <v>60.0</v>
      </c>
      <c r="F111" s="1">
        <v>13.0</v>
      </c>
      <c r="G111" s="1">
        <v>4.0</v>
      </c>
      <c r="H111" s="1" t="s">
        <v>50</v>
      </c>
      <c r="I111" s="2">
        <v>46004.0</v>
      </c>
      <c r="J111" s="1">
        <v>175000.0</v>
      </c>
      <c r="K111" s="2">
        <v>45992.0</v>
      </c>
    </row>
    <row r="112">
      <c r="A112" s="1" t="s">
        <v>21</v>
      </c>
      <c r="B112" s="1" t="s">
        <v>22</v>
      </c>
      <c r="C112" s="1" t="s">
        <v>23</v>
      </c>
      <c r="D112" s="1">
        <v>26.0</v>
      </c>
      <c r="E112" s="1">
        <v>50.0</v>
      </c>
      <c r="F112" s="1">
        <v>8.0</v>
      </c>
      <c r="G112" s="1">
        <v>3.0</v>
      </c>
      <c r="H112" s="1" t="s">
        <v>24</v>
      </c>
      <c r="I112" s="2">
        <v>45884.0</v>
      </c>
      <c r="J112" s="1">
        <v>350000.0</v>
      </c>
      <c r="K112" s="2">
        <v>45870.0</v>
      </c>
    </row>
    <row r="113">
      <c r="A113" s="1" t="s">
        <v>46</v>
      </c>
      <c r="B113" s="1" t="s">
        <v>47</v>
      </c>
      <c r="C113" s="1" t="s">
        <v>23</v>
      </c>
      <c r="D113" s="1">
        <v>32.0</v>
      </c>
      <c r="E113" s="1">
        <v>40.0</v>
      </c>
      <c r="F113" s="1">
        <v>5.0</v>
      </c>
      <c r="G113" s="1">
        <v>5.0</v>
      </c>
      <c r="H113" s="1" t="s">
        <v>30</v>
      </c>
      <c r="I113" s="2">
        <v>45915.0</v>
      </c>
      <c r="J113" s="1">
        <v>550000.0</v>
      </c>
      <c r="K113" s="2">
        <v>45901.0</v>
      </c>
    </row>
    <row r="114">
      <c r="A114" s="1" t="s">
        <v>21</v>
      </c>
      <c r="B114" s="1" t="s">
        <v>22</v>
      </c>
      <c r="C114" s="1" t="s">
        <v>23</v>
      </c>
      <c r="D114" s="1">
        <v>28.0</v>
      </c>
      <c r="E114" s="1">
        <v>50.0</v>
      </c>
      <c r="F114" s="1">
        <v>7.0</v>
      </c>
      <c r="G114" s="1">
        <v>7.0</v>
      </c>
      <c r="H114" s="1" t="s">
        <v>24</v>
      </c>
      <c r="I114" s="2">
        <v>45939.0</v>
      </c>
      <c r="J114" s="1">
        <v>350000.0</v>
      </c>
      <c r="K114" s="2">
        <v>45931.0</v>
      </c>
    </row>
    <row r="115">
      <c r="A115" s="1" t="s">
        <v>60</v>
      </c>
      <c r="B115" s="1" t="s">
        <v>61</v>
      </c>
      <c r="C115" s="1" t="s">
        <v>17</v>
      </c>
      <c r="D115" s="1">
        <v>0.0</v>
      </c>
      <c r="E115" s="1">
        <v>20.0</v>
      </c>
      <c r="F115" s="1">
        <v>1.0</v>
      </c>
      <c r="G115" s="1">
        <v>23.0</v>
      </c>
      <c r="H115" s="1" t="s">
        <v>27</v>
      </c>
      <c r="I115" s="2">
        <v>45689.0</v>
      </c>
      <c r="J115" s="1">
        <v>3200000.0</v>
      </c>
      <c r="K115" s="2">
        <v>45689.0</v>
      </c>
    </row>
    <row r="116">
      <c r="A116" s="1" t="s">
        <v>31</v>
      </c>
      <c r="B116" s="1" t="s">
        <v>32</v>
      </c>
      <c r="C116" s="1" t="s">
        <v>13</v>
      </c>
      <c r="D116" s="1">
        <v>221.0</v>
      </c>
      <c r="E116" s="1">
        <v>40.0</v>
      </c>
      <c r="F116" s="1">
        <v>2.0</v>
      </c>
      <c r="G116" s="1">
        <v>5.0</v>
      </c>
      <c r="H116" s="1" t="s">
        <v>33</v>
      </c>
      <c r="I116" s="2">
        <v>45791.0</v>
      </c>
      <c r="J116" s="1">
        <v>550000.0</v>
      </c>
      <c r="K116" s="2">
        <v>45778.0</v>
      </c>
    </row>
    <row r="117">
      <c r="A117" s="1" t="s">
        <v>40</v>
      </c>
      <c r="B117" s="1" t="s">
        <v>41</v>
      </c>
      <c r="C117" s="1" t="s">
        <v>42</v>
      </c>
      <c r="D117" s="1">
        <v>22.0</v>
      </c>
      <c r="E117" s="1">
        <v>15.0</v>
      </c>
      <c r="F117" s="1">
        <v>3.0</v>
      </c>
      <c r="G117" s="1">
        <v>4.0</v>
      </c>
      <c r="H117" s="1" t="s">
        <v>43</v>
      </c>
      <c r="I117" s="2">
        <v>45919.0</v>
      </c>
      <c r="J117" s="1">
        <v>1200000.0</v>
      </c>
      <c r="K117" s="2">
        <v>45901.0</v>
      </c>
    </row>
    <row r="118">
      <c r="A118" s="1" t="s">
        <v>11</v>
      </c>
      <c r="B118" s="1" t="s">
        <v>12</v>
      </c>
      <c r="C118" s="1" t="s">
        <v>13</v>
      </c>
      <c r="D118" s="1">
        <v>185.0</v>
      </c>
      <c r="E118" s="1">
        <v>50.0</v>
      </c>
      <c r="F118" s="1">
        <v>2.0</v>
      </c>
      <c r="G118" s="1">
        <v>8.0</v>
      </c>
      <c r="H118" s="1" t="s">
        <v>14</v>
      </c>
      <c r="I118" s="2">
        <v>46078.0</v>
      </c>
      <c r="J118" s="1">
        <v>125000.0</v>
      </c>
      <c r="K118" s="2">
        <v>46054.0</v>
      </c>
    </row>
    <row r="119">
      <c r="A119" s="1" t="s">
        <v>64</v>
      </c>
      <c r="B119" s="1" t="s">
        <v>65</v>
      </c>
      <c r="C119" s="1" t="s">
        <v>42</v>
      </c>
      <c r="D119" s="1">
        <v>32.0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45865.0</v>
      </c>
      <c r="J119" s="1">
        <v>750000.0</v>
      </c>
      <c r="K119" s="2">
        <v>45839.0</v>
      </c>
    </row>
    <row r="120">
      <c r="A120" s="1" t="s">
        <v>25</v>
      </c>
      <c r="B120" s="1" t="s">
        <v>26</v>
      </c>
      <c r="C120" s="1" t="s">
        <v>17</v>
      </c>
      <c r="D120" s="1">
        <v>32.0</v>
      </c>
      <c r="E120" s="1">
        <v>25.0</v>
      </c>
      <c r="F120" s="1">
        <v>3.0</v>
      </c>
      <c r="G120" s="1">
        <v>8.0</v>
      </c>
      <c r="H120" s="1" t="s">
        <v>27</v>
      </c>
      <c r="I120" s="2">
        <v>45755.0</v>
      </c>
      <c r="J120" s="1">
        <v>4500000.0</v>
      </c>
      <c r="K120" s="2">
        <v>45748.0</v>
      </c>
    </row>
    <row r="121">
      <c r="A121" s="1" t="s">
        <v>48</v>
      </c>
      <c r="B121" s="1" t="s">
        <v>49</v>
      </c>
      <c r="C121" s="1" t="s">
        <v>36</v>
      </c>
      <c r="D121" s="1">
        <v>154.0</v>
      </c>
      <c r="E121" s="1">
        <v>120.0</v>
      </c>
      <c r="F121" s="1">
        <v>19.0</v>
      </c>
      <c r="G121" s="1">
        <v>6.0</v>
      </c>
      <c r="H121" s="1" t="s">
        <v>50</v>
      </c>
      <c r="I121" s="2">
        <v>45978.0</v>
      </c>
      <c r="J121" s="1">
        <v>55000.0</v>
      </c>
      <c r="K121" s="2">
        <v>45962.0</v>
      </c>
    </row>
    <row r="122">
      <c r="A122" s="1" t="s">
        <v>28</v>
      </c>
      <c r="B122" s="1" t="s">
        <v>29</v>
      </c>
      <c r="C122" s="1" t="s">
        <v>23</v>
      </c>
      <c r="D122" s="1">
        <v>18.0</v>
      </c>
      <c r="E122" s="1">
        <v>35.0</v>
      </c>
      <c r="F122" s="1">
        <v>7.0</v>
      </c>
      <c r="G122" s="1">
        <v>5.0</v>
      </c>
      <c r="H122" s="1" t="s">
        <v>30</v>
      </c>
      <c r="I122" s="2">
        <v>45859.0</v>
      </c>
      <c r="J122" s="1">
        <v>1250000.0</v>
      </c>
      <c r="K122" s="2">
        <v>45839.0</v>
      </c>
    </row>
    <row r="123">
      <c r="A123" s="1" t="s">
        <v>57</v>
      </c>
      <c r="B123" s="1" t="s">
        <v>58</v>
      </c>
      <c r="C123" s="1" t="s">
        <v>42</v>
      </c>
      <c r="D123" s="1">
        <v>14.0</v>
      </c>
      <c r="E123" s="1">
        <v>25.0</v>
      </c>
      <c r="F123" s="1">
        <v>5.0</v>
      </c>
      <c r="G123" s="1">
        <v>9.0</v>
      </c>
      <c r="H123" s="1" t="s">
        <v>59</v>
      </c>
      <c r="I123" s="2">
        <v>45816.0</v>
      </c>
      <c r="K123" s="2">
        <v>45809.0</v>
      </c>
    </row>
    <row r="124">
      <c r="A124" s="1" t="s">
        <v>44</v>
      </c>
      <c r="B124" s="1" t="s">
        <v>45</v>
      </c>
      <c r="C124" s="1" t="s">
        <v>42</v>
      </c>
      <c r="D124" s="1">
        <v>34.0</v>
      </c>
      <c r="E124" s="1">
        <v>30.0</v>
      </c>
      <c r="F124" s="1">
        <v>5.0</v>
      </c>
      <c r="G124" s="1">
        <v>5.0</v>
      </c>
      <c r="H124" s="1" t="s">
        <v>43</v>
      </c>
      <c r="I124" s="2">
        <v>46007.0</v>
      </c>
      <c r="J124" s="1">
        <v>350000.0</v>
      </c>
      <c r="K124" s="2">
        <v>45992.0</v>
      </c>
    </row>
    <row r="125">
      <c r="A125" s="1" t="s">
        <v>38</v>
      </c>
      <c r="B125" s="1" t="s">
        <v>39</v>
      </c>
      <c r="C125" s="1" t="s">
        <v>23</v>
      </c>
      <c r="D125" s="1">
        <v>0.0</v>
      </c>
      <c r="E125" s="1">
        <v>45.0</v>
      </c>
      <c r="F125" s="1">
        <v>13.0</v>
      </c>
      <c r="G125" s="1">
        <v>7.0</v>
      </c>
      <c r="H125" s="1" t="s">
        <v>24</v>
      </c>
      <c r="I125" s="2">
        <v>46015.0</v>
      </c>
      <c r="J125" s="1">
        <v>450000.0</v>
      </c>
      <c r="K125" s="2">
        <v>45992.0</v>
      </c>
    </row>
    <row r="126">
      <c r="A126" s="1" t="s">
        <v>34</v>
      </c>
      <c r="B126" s="1" t="s">
        <v>35</v>
      </c>
      <c r="C126" s="1" t="s">
        <v>36</v>
      </c>
      <c r="D126" s="1">
        <v>17.0</v>
      </c>
      <c r="E126" s="1">
        <v>80.0</v>
      </c>
      <c r="F126" s="1">
        <v>11.0</v>
      </c>
      <c r="G126" s="1">
        <v>5.0</v>
      </c>
      <c r="H126" s="1" t="s">
        <v>37</v>
      </c>
      <c r="I126" s="2">
        <v>45882.0</v>
      </c>
      <c r="J126" s="1">
        <v>65000.0</v>
      </c>
      <c r="K126" s="2">
        <v>45870.0</v>
      </c>
    </row>
    <row r="127">
      <c r="A127" s="1" t="s">
        <v>51</v>
      </c>
      <c r="B127" s="1" t="s">
        <v>52</v>
      </c>
      <c r="C127" s="1" t="s">
        <v>36</v>
      </c>
      <c r="D127" s="1">
        <v>0.0</v>
      </c>
      <c r="E127" s="1">
        <v>60.0</v>
      </c>
      <c r="F127" s="1">
        <v>14.0</v>
      </c>
      <c r="G127" s="1">
        <v>4.0</v>
      </c>
      <c r="H127" s="1" t="s">
        <v>50</v>
      </c>
      <c r="I127" s="2">
        <v>45741.0</v>
      </c>
      <c r="J127" s="1">
        <v>175000.0</v>
      </c>
      <c r="K127" s="2">
        <v>45717.0</v>
      </c>
    </row>
    <row r="128">
      <c r="A128" s="1" t="s">
        <v>40</v>
      </c>
      <c r="B128" s="1" t="s">
        <v>41</v>
      </c>
      <c r="C128" s="1" t="s">
        <v>42</v>
      </c>
      <c r="D128" s="1">
        <v>13.0</v>
      </c>
      <c r="E128" s="1">
        <v>15.0</v>
      </c>
      <c r="F128" s="1">
        <v>2.0</v>
      </c>
      <c r="G128" s="1">
        <v>7.0</v>
      </c>
      <c r="H128" s="1" t="s">
        <v>43</v>
      </c>
      <c r="I128" s="2">
        <v>45799.0</v>
      </c>
      <c r="J128" s="1">
        <v>1200000.0</v>
      </c>
      <c r="K128" s="2">
        <v>45778.0</v>
      </c>
    </row>
    <row r="129">
      <c r="A129" s="1" t="s">
        <v>34</v>
      </c>
      <c r="B129" s="1" t="s">
        <v>35</v>
      </c>
      <c r="C129" s="1" t="s">
        <v>36</v>
      </c>
      <c r="D129" s="1">
        <v>9.0</v>
      </c>
      <c r="E129" s="1">
        <v>80.0</v>
      </c>
      <c r="F129" s="1">
        <v>11.0</v>
      </c>
      <c r="G129" s="1">
        <v>4.0</v>
      </c>
      <c r="H129" s="1" t="s">
        <v>37</v>
      </c>
      <c r="I129" s="2">
        <v>46077.0</v>
      </c>
      <c r="J129" s="1">
        <v>65000.0</v>
      </c>
      <c r="K129" s="2">
        <v>46054.0</v>
      </c>
    </row>
    <row r="130">
      <c r="A130" s="1" t="s">
        <v>53</v>
      </c>
      <c r="B130" s="1" t="s">
        <v>54</v>
      </c>
      <c r="C130" s="1" t="s">
        <v>13</v>
      </c>
      <c r="D130" s="1">
        <v>202.0</v>
      </c>
      <c r="E130" s="1">
        <v>60.0</v>
      </c>
      <c r="F130" s="1">
        <v>2.0</v>
      </c>
      <c r="G130" s="1">
        <v>4.0</v>
      </c>
      <c r="H130" s="1" t="s">
        <v>14</v>
      </c>
      <c r="I130" s="2">
        <v>46019.0</v>
      </c>
      <c r="J130" s="1">
        <v>165000.0</v>
      </c>
      <c r="K130" s="2">
        <v>45992.0</v>
      </c>
    </row>
    <row r="131">
      <c r="A131" s="1" t="s">
        <v>53</v>
      </c>
      <c r="B131" s="1" t="s">
        <v>54</v>
      </c>
      <c r="C131" s="1" t="s">
        <v>13</v>
      </c>
      <c r="D131" s="1">
        <v>252.0</v>
      </c>
      <c r="E131" s="1">
        <v>60.0</v>
      </c>
      <c r="F131" s="1">
        <v>4.0</v>
      </c>
      <c r="G131" s="1">
        <v>7.0</v>
      </c>
      <c r="H131" s="1" t="s">
        <v>14</v>
      </c>
      <c r="I131" s="2">
        <v>45930.0</v>
      </c>
      <c r="J131" s="1">
        <v>165000.0</v>
      </c>
      <c r="K131" s="2">
        <v>45901.0</v>
      </c>
    </row>
    <row r="132">
      <c r="A132" s="1" t="s">
        <v>64</v>
      </c>
      <c r="B132" s="1" t="s">
        <v>65</v>
      </c>
      <c r="C132" s="1" t="s">
        <v>42</v>
      </c>
      <c r="D132" s="1">
        <v>20.0</v>
      </c>
      <c r="E132" s="1">
        <v>20.0</v>
      </c>
      <c r="F132" s="1">
        <v>2.0</v>
      </c>
      <c r="G132" s="1">
        <v>7.0</v>
      </c>
      <c r="H132" s="1" t="s">
        <v>59</v>
      </c>
      <c r="I132" s="2">
        <v>46027.0</v>
      </c>
      <c r="J132" s="1">
        <v>750000.0</v>
      </c>
      <c r="K132" s="2">
        <v>46023.0</v>
      </c>
    </row>
    <row r="133">
      <c r="A133" s="1" t="s">
        <v>31</v>
      </c>
      <c r="B133" s="1" t="s">
        <v>32</v>
      </c>
      <c r="C133" s="1" t="s">
        <v>13</v>
      </c>
      <c r="D133" s="1">
        <v>153.0</v>
      </c>
      <c r="E133" s="1">
        <v>40.0</v>
      </c>
      <c r="F133" s="1">
        <v>4.0</v>
      </c>
      <c r="G133" s="1">
        <v>5.0</v>
      </c>
      <c r="H133" s="1" t="s">
        <v>33</v>
      </c>
      <c r="I133" s="2">
        <v>46097.0</v>
      </c>
      <c r="J133" s="1">
        <v>550000.0</v>
      </c>
      <c r="K133" s="2">
        <v>46082.0</v>
      </c>
    </row>
    <row r="134">
      <c r="A134" s="1" t="s">
        <v>57</v>
      </c>
      <c r="B134" s="1" t="s">
        <v>58</v>
      </c>
      <c r="C134" s="1" t="s">
        <v>42</v>
      </c>
      <c r="D134" s="1">
        <v>41.0</v>
      </c>
      <c r="E134" s="1">
        <v>25.0</v>
      </c>
      <c r="F134" s="1">
        <v>4.0</v>
      </c>
      <c r="G134" s="1">
        <v>10.0</v>
      </c>
      <c r="H134" s="1" t="s">
        <v>59</v>
      </c>
      <c r="I134" s="2">
        <v>45801.0</v>
      </c>
      <c r="J134" s="1">
        <v>450000.0</v>
      </c>
      <c r="K134" s="2">
        <v>45778.0</v>
      </c>
    </row>
    <row r="135">
      <c r="A135" s="1" t="s">
        <v>62</v>
      </c>
      <c r="B135" s="1" t="s">
        <v>63</v>
      </c>
      <c r="C135" s="1" t="s">
        <v>13</v>
      </c>
      <c r="D135" s="1">
        <v>405.0</v>
      </c>
      <c r="E135" s="1">
        <v>80.0</v>
      </c>
      <c r="G135" s="1">
        <v>5.0</v>
      </c>
      <c r="H135" s="1" t="s">
        <v>33</v>
      </c>
      <c r="I135" s="2">
        <v>45663.0</v>
      </c>
      <c r="J135" s="1">
        <v>85000.0</v>
      </c>
      <c r="K135" s="2">
        <v>45658.0</v>
      </c>
    </row>
    <row r="136">
      <c r="A136" s="1" t="s">
        <v>64</v>
      </c>
      <c r="B136" s="1" t="s">
        <v>65</v>
      </c>
      <c r="C136" s="1" t="s">
        <v>42</v>
      </c>
      <c r="D136" s="1">
        <v>32.0</v>
      </c>
      <c r="E136" s="1">
        <v>20.0</v>
      </c>
      <c r="F136" s="1">
        <v>1.0</v>
      </c>
      <c r="G136" s="1">
        <v>8.0</v>
      </c>
      <c r="H136" s="1" t="s">
        <v>59</v>
      </c>
      <c r="I136" s="2">
        <v>45955.0</v>
      </c>
      <c r="J136" s="1">
        <v>750000.0</v>
      </c>
      <c r="K136" s="2">
        <v>45931.0</v>
      </c>
    </row>
    <row r="137">
      <c r="A137" s="1" t="s">
        <v>60</v>
      </c>
      <c r="B137" s="1" t="s">
        <v>61</v>
      </c>
      <c r="C137" s="1" t="s">
        <v>17</v>
      </c>
      <c r="D137" s="1">
        <v>0.0</v>
      </c>
      <c r="E137" s="1">
        <v>20.0</v>
      </c>
      <c r="F137" s="1">
        <v>3.0</v>
      </c>
      <c r="G137" s="1">
        <v>7.0</v>
      </c>
      <c r="H137" s="1" t="s">
        <v>27</v>
      </c>
      <c r="I137" s="2">
        <v>45919.0</v>
      </c>
      <c r="J137" s="1">
        <v>3200000.0</v>
      </c>
      <c r="K137" s="2">
        <v>45901.0</v>
      </c>
    </row>
    <row r="138">
      <c r="A138" s="1" t="s">
        <v>62</v>
      </c>
      <c r="B138" s="1" t="s">
        <v>63</v>
      </c>
      <c r="C138" s="1" t="s">
        <v>13</v>
      </c>
      <c r="D138" s="1">
        <v>255.0</v>
      </c>
      <c r="E138" s="1">
        <v>80.0</v>
      </c>
      <c r="F138" s="1">
        <v>4.0</v>
      </c>
      <c r="G138" s="1">
        <v>6.0</v>
      </c>
      <c r="H138" s="1" t="s">
        <v>33</v>
      </c>
      <c r="I138" s="2">
        <v>46001.0</v>
      </c>
      <c r="J138" s="1">
        <v>85000.0</v>
      </c>
      <c r="K138" s="2">
        <v>45992.0</v>
      </c>
    </row>
    <row r="139">
      <c r="A139" s="1" t="s">
        <v>31</v>
      </c>
      <c r="B139" s="1" t="s">
        <v>32</v>
      </c>
      <c r="C139" s="1" t="s">
        <v>13</v>
      </c>
      <c r="D139" s="1">
        <v>168.0</v>
      </c>
      <c r="E139" s="1">
        <v>40.0</v>
      </c>
      <c r="F139" s="1">
        <v>3.0</v>
      </c>
      <c r="G139" s="1">
        <v>5.0</v>
      </c>
      <c r="H139" s="1" t="s">
        <v>33</v>
      </c>
      <c r="I139" s="2">
        <v>45709.0</v>
      </c>
      <c r="J139" s="1">
        <v>550000.0</v>
      </c>
      <c r="K139" s="2">
        <v>45689.0</v>
      </c>
    </row>
    <row r="140">
      <c r="A140" s="1" t="s">
        <v>57</v>
      </c>
      <c r="B140" s="1" t="s">
        <v>58</v>
      </c>
      <c r="C140" s="1" t="s">
        <v>42</v>
      </c>
      <c r="D140" s="1">
        <v>58.0</v>
      </c>
      <c r="E140" s="1">
        <v>25.0</v>
      </c>
      <c r="F140" s="1">
        <v>1.0</v>
      </c>
      <c r="G140" s="1">
        <v>10.0</v>
      </c>
      <c r="H140" s="1" t="s">
        <v>59</v>
      </c>
      <c r="I140" s="2">
        <v>45952.0</v>
      </c>
      <c r="J140" s="1">
        <v>450000.0</v>
      </c>
      <c r="K140" s="2">
        <v>45931.0</v>
      </c>
    </row>
    <row r="141">
      <c r="A141" s="1" t="s">
        <v>46</v>
      </c>
      <c r="B141" s="1" t="s">
        <v>47</v>
      </c>
      <c r="C141" s="1" t="s">
        <v>23</v>
      </c>
      <c r="D141" s="1">
        <v>42.0</v>
      </c>
      <c r="E141" s="1">
        <v>40.0</v>
      </c>
      <c r="F141" s="1">
        <v>4.0</v>
      </c>
      <c r="G141" s="1">
        <v>7.0</v>
      </c>
      <c r="H141" s="1" t="s">
        <v>30</v>
      </c>
      <c r="I141" s="2">
        <v>45889.0</v>
      </c>
      <c r="J141" s="1">
        <v>550000.0</v>
      </c>
      <c r="K141" s="2">
        <v>45870.0</v>
      </c>
    </row>
    <row r="142">
      <c r="A142" s="1" t="s">
        <v>44</v>
      </c>
      <c r="B142" s="1" t="s">
        <v>45</v>
      </c>
      <c r="C142" s="1" t="s">
        <v>42</v>
      </c>
      <c r="D142" s="1">
        <v>35.0</v>
      </c>
      <c r="E142" s="1">
        <v>30.0</v>
      </c>
      <c r="F142" s="1">
        <v>5.0</v>
      </c>
      <c r="G142" s="1">
        <v>6.0</v>
      </c>
      <c r="H142" s="1" t="s">
        <v>43</v>
      </c>
      <c r="I142" s="2">
        <v>46048.0</v>
      </c>
      <c r="J142" s="1">
        <v>350000.0</v>
      </c>
      <c r="K142" s="2">
        <v>46023.0</v>
      </c>
    </row>
    <row r="143">
      <c r="A143" s="1" t="s">
        <v>46</v>
      </c>
      <c r="B143" s="1" t="s">
        <v>47</v>
      </c>
      <c r="C143" s="1" t="s">
        <v>23</v>
      </c>
      <c r="D143" s="1">
        <v>36.0</v>
      </c>
      <c r="E143" s="1">
        <v>40.0</v>
      </c>
      <c r="F143" s="1">
        <v>6.0</v>
      </c>
      <c r="G143" s="1">
        <v>4.0</v>
      </c>
      <c r="H143" s="1" t="s">
        <v>30</v>
      </c>
      <c r="I143" s="2">
        <v>46044.0</v>
      </c>
      <c r="J143" s="1">
        <v>550000.0</v>
      </c>
      <c r="K143" s="2">
        <v>46023.0</v>
      </c>
    </row>
    <row r="144">
      <c r="A144" s="1" t="s">
        <v>48</v>
      </c>
      <c r="B144" s="1" t="s">
        <v>49</v>
      </c>
      <c r="C144" s="1" t="s">
        <v>36</v>
      </c>
      <c r="D144" s="1">
        <v>87.0</v>
      </c>
      <c r="E144" s="1">
        <v>120.0</v>
      </c>
      <c r="F144" s="1">
        <v>18.0</v>
      </c>
      <c r="G144" s="1">
        <v>7.0</v>
      </c>
      <c r="H144" s="1" t="s">
        <v>50</v>
      </c>
      <c r="I144" s="2">
        <v>45748.0</v>
      </c>
      <c r="J144" s="1">
        <v>55000.0</v>
      </c>
      <c r="K144" s="2">
        <v>45748.0</v>
      </c>
    </row>
    <row r="145">
      <c r="A145" s="1" t="s">
        <v>51</v>
      </c>
      <c r="B145" s="1" t="s">
        <v>52</v>
      </c>
      <c r="C145" s="1" t="s">
        <v>36</v>
      </c>
      <c r="D145" s="1">
        <v>35.0</v>
      </c>
      <c r="E145" s="1">
        <v>60.0</v>
      </c>
      <c r="F145" s="1">
        <v>6.0</v>
      </c>
      <c r="G145" s="1">
        <v>7.0</v>
      </c>
      <c r="H145" s="1" t="s">
        <v>50</v>
      </c>
      <c r="I145" s="2">
        <v>46221.0</v>
      </c>
      <c r="J145" s="1">
        <v>175000.0</v>
      </c>
      <c r="K145" s="2">
        <v>46023.0</v>
      </c>
    </row>
    <row r="146">
      <c r="A146" s="1" t="s">
        <v>40</v>
      </c>
      <c r="B146" s="1" t="s">
        <v>41</v>
      </c>
      <c r="C146" s="1" t="s">
        <v>42</v>
      </c>
      <c r="D146" s="1">
        <v>32.0</v>
      </c>
      <c r="E146" s="1">
        <v>15.0</v>
      </c>
      <c r="F146" s="1">
        <v>1.0</v>
      </c>
      <c r="G146" s="1">
        <v>8.0</v>
      </c>
      <c r="H146" s="1" t="s">
        <v>43</v>
      </c>
      <c r="I146" s="2">
        <v>46079.0</v>
      </c>
      <c r="J146" s="1">
        <v>1200000.0</v>
      </c>
      <c r="K146" s="2">
        <v>46054.0</v>
      </c>
    </row>
    <row r="147">
      <c r="A147" s="1" t="s">
        <v>31</v>
      </c>
      <c r="B147" s="1" t="s">
        <v>32</v>
      </c>
      <c r="C147" s="1" t="s">
        <v>13</v>
      </c>
      <c r="D147" s="1">
        <v>139.0</v>
      </c>
      <c r="E147" s="1">
        <v>40.0</v>
      </c>
      <c r="F147" s="1">
        <v>2.0</v>
      </c>
      <c r="G147" s="1">
        <v>6.0</v>
      </c>
      <c r="H147" s="1" t="s">
        <v>33</v>
      </c>
      <c r="I147" s="2">
        <v>45845.0</v>
      </c>
      <c r="J147" s="1">
        <v>550000.0</v>
      </c>
      <c r="K147" s="2">
        <v>45839.0</v>
      </c>
    </row>
    <row r="148">
      <c r="A148" s="1" t="s">
        <v>31</v>
      </c>
      <c r="B148" s="1" t="s">
        <v>32</v>
      </c>
      <c r="C148" s="1" t="s">
        <v>13</v>
      </c>
      <c r="D148" s="1">
        <v>169.0</v>
      </c>
      <c r="E148" s="1">
        <v>40.0</v>
      </c>
      <c r="F148" s="1">
        <v>3.0</v>
      </c>
      <c r="G148" s="1">
        <v>4.0</v>
      </c>
      <c r="H148" s="1" t="s">
        <v>33</v>
      </c>
      <c r="I148" s="2">
        <v>46074.0</v>
      </c>
      <c r="J148" s="1">
        <v>550000.0</v>
      </c>
      <c r="K148" s="2">
        <v>46054.0</v>
      </c>
    </row>
    <row r="149">
      <c r="A149" s="1" t="s">
        <v>15</v>
      </c>
      <c r="B149" s="1" t="s">
        <v>16</v>
      </c>
      <c r="C149" s="1" t="s">
        <v>17</v>
      </c>
      <c r="D149" s="1">
        <v>25.0</v>
      </c>
      <c r="E149" s="1">
        <v>15.0</v>
      </c>
      <c r="F149" s="1">
        <v>2.0</v>
      </c>
      <c r="G149" s="1">
        <v>8.0</v>
      </c>
      <c r="H149" s="1" t="s">
        <v>18</v>
      </c>
      <c r="I149" s="2">
        <v>45718.0</v>
      </c>
      <c r="J149" s="1">
        <v>8500000.0</v>
      </c>
      <c r="K149" s="2">
        <v>45717.0</v>
      </c>
    </row>
    <row r="150">
      <c r="A150" s="1" t="s">
        <v>46</v>
      </c>
      <c r="B150" s="1" t="s">
        <v>47</v>
      </c>
      <c r="C150" s="1" t="s">
        <v>23</v>
      </c>
      <c r="D150" s="1">
        <v>0.0</v>
      </c>
      <c r="E150" s="1">
        <v>40.0</v>
      </c>
      <c r="F150" s="1">
        <v>8.0</v>
      </c>
      <c r="G150" s="1">
        <v>8.0</v>
      </c>
      <c r="H150" s="1" t="s">
        <v>30</v>
      </c>
      <c r="I150" s="2">
        <v>45964.0</v>
      </c>
      <c r="J150" s="1">
        <v>550000.0</v>
      </c>
      <c r="K150" s="2">
        <v>45962.0</v>
      </c>
    </row>
    <row r="151">
      <c r="A151" s="1" t="s">
        <v>21</v>
      </c>
      <c r="B151" s="1" t="s">
        <v>22</v>
      </c>
      <c r="C151" s="1" t="s">
        <v>23</v>
      </c>
      <c r="D151" s="1">
        <v>28.0</v>
      </c>
      <c r="E151" s="1">
        <v>50.0</v>
      </c>
      <c r="F151" s="1">
        <v>7.0</v>
      </c>
      <c r="G151" s="1">
        <v>7.0</v>
      </c>
      <c r="H151" s="1" t="s">
        <v>24</v>
      </c>
      <c r="I151" s="2">
        <v>45939.0</v>
      </c>
      <c r="J151" s="1">
        <v>350000.0</v>
      </c>
      <c r="K151" s="2">
        <v>45931.0</v>
      </c>
    </row>
    <row r="152">
      <c r="A152" s="1" t="s">
        <v>11</v>
      </c>
      <c r="B152" s="1" t="s">
        <v>12</v>
      </c>
      <c r="C152" s="1" t="s">
        <v>13</v>
      </c>
      <c r="D152" s="1">
        <v>230.0</v>
      </c>
      <c r="E152" s="1">
        <v>50.0</v>
      </c>
      <c r="F152" s="1">
        <v>1.0</v>
      </c>
      <c r="G152" s="1">
        <v>4.0</v>
      </c>
      <c r="H152" s="1" t="s">
        <v>14</v>
      </c>
      <c r="I152" s="2">
        <v>45939.0</v>
      </c>
      <c r="J152" s="1">
        <v>125000.0</v>
      </c>
      <c r="K152" s="2">
        <v>45931.0</v>
      </c>
    </row>
    <row r="153">
      <c r="A153" s="1" t="s">
        <v>64</v>
      </c>
      <c r="B153" s="1" t="s">
        <v>65</v>
      </c>
      <c r="C153" s="1" t="s">
        <v>42</v>
      </c>
      <c r="D153" s="1">
        <v>27.0</v>
      </c>
      <c r="E153" s="1">
        <v>20.0</v>
      </c>
      <c r="F153" s="1">
        <v>3.0</v>
      </c>
      <c r="G153" s="1">
        <v>9.0</v>
      </c>
      <c r="H153" s="1" t="s">
        <v>59</v>
      </c>
      <c r="I153" s="2">
        <v>45673.0</v>
      </c>
      <c r="J153" s="1">
        <v>750000.0</v>
      </c>
      <c r="K153" s="2">
        <v>45658.0</v>
      </c>
    </row>
    <row r="154">
      <c r="A154" s="1" t="s">
        <v>53</v>
      </c>
      <c r="B154" s="1" t="s">
        <v>54</v>
      </c>
      <c r="C154" s="1" t="s">
        <v>13</v>
      </c>
      <c r="D154" s="1">
        <v>305.0</v>
      </c>
      <c r="E154" s="1">
        <v>60.0</v>
      </c>
      <c r="F154" s="1">
        <v>4.0</v>
      </c>
      <c r="G154" s="1">
        <v>4.0</v>
      </c>
      <c r="H154" s="1" t="s">
        <v>14</v>
      </c>
      <c r="I154" s="2">
        <v>46068.0</v>
      </c>
      <c r="J154" s="1">
        <v>165000.0</v>
      </c>
      <c r="K154" s="2">
        <v>46054.0</v>
      </c>
    </row>
    <row r="155">
      <c r="A155" s="1" t="s">
        <v>34</v>
      </c>
      <c r="B155" s="1" t="s">
        <v>35</v>
      </c>
      <c r="C155" s="1" t="s">
        <v>36</v>
      </c>
      <c r="D155" s="1">
        <v>56.0</v>
      </c>
      <c r="E155" s="1">
        <v>80.0</v>
      </c>
      <c r="F155" s="1">
        <v>18.0</v>
      </c>
      <c r="G155" s="1">
        <v>5.0</v>
      </c>
      <c r="H155" s="1" t="s">
        <v>37</v>
      </c>
      <c r="I155" s="2">
        <v>46110.0</v>
      </c>
      <c r="J155" s="1">
        <v>65000.0</v>
      </c>
      <c r="K155" s="2">
        <v>46082.0</v>
      </c>
    </row>
    <row r="156">
      <c r="A156" s="1" t="s">
        <v>64</v>
      </c>
      <c r="B156" s="1" t="s">
        <v>65</v>
      </c>
      <c r="C156" s="1" t="s">
        <v>42</v>
      </c>
      <c r="D156" s="1">
        <v>42.0</v>
      </c>
      <c r="E156" s="1">
        <v>20.0</v>
      </c>
      <c r="F156" s="1">
        <v>1.0</v>
      </c>
      <c r="G156" s="1">
        <v>10.0</v>
      </c>
      <c r="H156" s="1" t="s">
        <v>59</v>
      </c>
      <c r="I156" s="2">
        <v>45884.0</v>
      </c>
      <c r="J156" s="1">
        <v>750000.0</v>
      </c>
      <c r="K156" s="2">
        <v>45870.0</v>
      </c>
    </row>
    <row r="157">
      <c r="A157" s="1" t="s">
        <v>21</v>
      </c>
      <c r="B157" s="1" t="s">
        <v>22</v>
      </c>
      <c r="C157" s="1" t="s">
        <v>23</v>
      </c>
      <c r="D157" s="1">
        <v>0.0</v>
      </c>
      <c r="E157" s="1">
        <v>50.0</v>
      </c>
      <c r="F157" s="1">
        <v>14.0</v>
      </c>
      <c r="G157" s="1">
        <v>5.0</v>
      </c>
      <c r="H157" s="1" t="s">
        <v>24</v>
      </c>
      <c r="I157" s="2">
        <v>46101.0</v>
      </c>
      <c r="J157" s="1">
        <v>350000.0</v>
      </c>
      <c r="K157" s="2">
        <v>46082.0</v>
      </c>
    </row>
    <row r="158">
      <c r="A158" s="1" t="s">
        <v>25</v>
      </c>
      <c r="B158" s="1" t="s">
        <v>26</v>
      </c>
      <c r="C158" s="1" t="s">
        <v>17</v>
      </c>
      <c r="D158" s="1">
        <v>23.0</v>
      </c>
      <c r="E158" s="1">
        <v>25.0</v>
      </c>
      <c r="F158" s="1">
        <v>6.0</v>
      </c>
      <c r="G158" s="1">
        <v>10.0</v>
      </c>
      <c r="H158" s="1" t="s">
        <v>27</v>
      </c>
      <c r="I158" s="2">
        <v>46109.0</v>
      </c>
      <c r="J158" s="1">
        <v>4500000.0</v>
      </c>
      <c r="K158" s="2">
        <v>46082.0</v>
      </c>
    </row>
    <row r="159">
      <c r="A159" s="1" t="s">
        <v>38</v>
      </c>
      <c r="B159" s="1" t="s">
        <v>39</v>
      </c>
      <c r="C159" s="1" t="s">
        <v>23</v>
      </c>
      <c r="D159" s="1">
        <v>17.0</v>
      </c>
      <c r="E159" s="1">
        <v>45.0</v>
      </c>
      <c r="F159" s="1">
        <v>7.0</v>
      </c>
      <c r="G159" s="1">
        <v>3.0</v>
      </c>
      <c r="H159" s="1" t="s">
        <v>24</v>
      </c>
      <c r="I159" s="2">
        <v>45910.0</v>
      </c>
      <c r="J159" s="1">
        <v>450000.0</v>
      </c>
      <c r="K159" s="2">
        <v>45901.0</v>
      </c>
    </row>
    <row r="160">
      <c r="A160" s="1" t="s">
        <v>48</v>
      </c>
      <c r="B160" s="1" t="s">
        <v>49</v>
      </c>
      <c r="C160" s="1" t="s">
        <v>36</v>
      </c>
      <c r="D160" s="1">
        <v>30.0</v>
      </c>
      <c r="E160" s="1">
        <v>120.0</v>
      </c>
      <c r="F160" s="1">
        <v>18.0</v>
      </c>
      <c r="G160" s="1">
        <v>4.0</v>
      </c>
      <c r="H160" s="1" t="s">
        <v>50</v>
      </c>
      <c r="I160" s="2">
        <v>46053.0</v>
      </c>
      <c r="J160" s="1">
        <v>55000.0</v>
      </c>
      <c r="K160" s="2">
        <v>46023.0</v>
      </c>
    </row>
    <row r="161">
      <c r="A161" s="1" t="s">
        <v>46</v>
      </c>
      <c r="B161" s="1" t="s">
        <v>47</v>
      </c>
      <c r="C161" s="1" t="s">
        <v>23</v>
      </c>
      <c r="D161" s="1">
        <v>0.0</v>
      </c>
      <c r="E161" s="1">
        <v>40.0</v>
      </c>
      <c r="F161" s="1">
        <v>9.0</v>
      </c>
      <c r="G161" s="1">
        <v>8.0</v>
      </c>
      <c r="H161" s="1" t="s">
        <v>30</v>
      </c>
      <c r="I161" s="2">
        <v>45730.0</v>
      </c>
      <c r="J161" s="1">
        <v>550000.0</v>
      </c>
      <c r="K161" s="2">
        <v>45717.0</v>
      </c>
    </row>
    <row r="162">
      <c r="A162" s="1" t="s">
        <v>55</v>
      </c>
      <c r="B162" s="1" t="s">
        <v>56</v>
      </c>
      <c r="C162" s="1" t="s">
        <v>36</v>
      </c>
      <c r="D162" s="1">
        <v>92.0</v>
      </c>
      <c r="E162" s="1">
        <v>100.0</v>
      </c>
      <c r="F162" s="1">
        <v>15.0</v>
      </c>
      <c r="G162" s="1">
        <v>5.0</v>
      </c>
      <c r="H162" s="1" t="s">
        <v>37</v>
      </c>
      <c r="I162" s="2">
        <v>45897.0</v>
      </c>
      <c r="J162" s="1">
        <v>85000.0</v>
      </c>
      <c r="K162" s="2">
        <v>45870.0</v>
      </c>
    </row>
    <row r="163">
      <c r="A163" s="1" t="s">
        <v>48</v>
      </c>
      <c r="B163" s="1" t="s">
        <v>49</v>
      </c>
      <c r="C163" s="1" t="s">
        <v>36</v>
      </c>
      <c r="D163" s="1">
        <v>39.0</v>
      </c>
      <c r="E163" s="1">
        <v>120.0</v>
      </c>
      <c r="F163" s="1">
        <v>19.0</v>
      </c>
      <c r="G163" s="1">
        <v>3.0</v>
      </c>
      <c r="H163" s="1" t="s">
        <v>50</v>
      </c>
      <c r="I163" s="2">
        <v>45936.0</v>
      </c>
      <c r="J163" s="1">
        <v>55000.0</v>
      </c>
      <c r="K163" s="2">
        <v>45931.0</v>
      </c>
    </row>
    <row r="164">
      <c r="A164" s="1" t="s">
        <v>64</v>
      </c>
      <c r="B164" s="1" t="s">
        <v>65</v>
      </c>
      <c r="C164" s="1" t="s">
        <v>42</v>
      </c>
      <c r="D164" s="1">
        <v>29.0</v>
      </c>
      <c r="E164" s="1">
        <v>20.0</v>
      </c>
      <c r="F164" s="1">
        <v>3.0</v>
      </c>
      <c r="G164" s="1">
        <v>9.0</v>
      </c>
      <c r="H164" s="1" t="s">
        <v>59</v>
      </c>
      <c r="I164" s="2">
        <v>46076.0</v>
      </c>
      <c r="J164" s="1">
        <v>750000.0</v>
      </c>
      <c r="K164" s="2">
        <v>46054.0</v>
      </c>
    </row>
    <row r="165">
      <c r="A165" s="1" t="s">
        <v>34</v>
      </c>
      <c r="B165" s="1" t="s">
        <v>35</v>
      </c>
      <c r="C165" s="1" t="s">
        <v>36</v>
      </c>
      <c r="D165" s="1">
        <v>40.0</v>
      </c>
      <c r="E165" s="1">
        <v>80.0</v>
      </c>
      <c r="F165" s="1">
        <v>12.0</v>
      </c>
      <c r="G165" s="1">
        <v>3.0</v>
      </c>
      <c r="H165" s="1" t="s">
        <v>37</v>
      </c>
      <c r="I165" s="2">
        <v>45673.0</v>
      </c>
      <c r="J165" s="1">
        <v>65000.0</v>
      </c>
      <c r="K165" s="2">
        <v>45658.0</v>
      </c>
    </row>
    <row r="166">
      <c r="A166" s="1" t="s">
        <v>11</v>
      </c>
      <c r="B166" s="1" t="s">
        <v>12</v>
      </c>
      <c r="C166" s="1" t="s">
        <v>13</v>
      </c>
      <c r="D166" s="1">
        <v>261.0</v>
      </c>
      <c r="E166" s="1">
        <v>50.0</v>
      </c>
      <c r="F166" s="1">
        <v>2.0</v>
      </c>
      <c r="G166" s="1">
        <v>5.0</v>
      </c>
      <c r="H166" s="1" t="s">
        <v>14</v>
      </c>
      <c r="I166" s="2">
        <v>45787.0</v>
      </c>
      <c r="J166" s="1">
        <v>125000.0</v>
      </c>
      <c r="K166" s="2">
        <v>45778.0</v>
      </c>
    </row>
    <row r="167">
      <c r="A167" s="1" t="s">
        <v>21</v>
      </c>
      <c r="B167" s="1" t="s">
        <v>22</v>
      </c>
      <c r="C167" s="1" t="s">
        <v>23</v>
      </c>
      <c r="D167" s="1">
        <v>42.0</v>
      </c>
      <c r="E167" s="1">
        <v>50.0</v>
      </c>
      <c r="F167" s="1">
        <v>6.0</v>
      </c>
      <c r="G167" s="1">
        <v>4.0</v>
      </c>
      <c r="H167" s="1" t="s">
        <v>24</v>
      </c>
      <c r="I167" s="2">
        <v>45817.0</v>
      </c>
      <c r="J167" s="1">
        <v>350000.0</v>
      </c>
      <c r="K167" s="2">
        <v>45809.0</v>
      </c>
    </row>
    <row r="168">
      <c r="A168" s="1" t="s">
        <v>53</v>
      </c>
      <c r="B168" s="1" t="s">
        <v>54</v>
      </c>
      <c r="C168" s="1" t="s">
        <v>13</v>
      </c>
      <c r="D168" s="1">
        <v>188.0</v>
      </c>
      <c r="E168" s="1">
        <v>60.0</v>
      </c>
      <c r="F168" s="1">
        <v>3.0</v>
      </c>
      <c r="G168" s="1">
        <v>4.0</v>
      </c>
      <c r="H168" s="1" t="s">
        <v>14</v>
      </c>
      <c r="I168" s="2">
        <v>45659.0</v>
      </c>
      <c r="J168" s="1">
        <v>165000.0</v>
      </c>
      <c r="K168" s="2">
        <v>45658.0</v>
      </c>
    </row>
    <row r="169">
      <c r="A169" s="1" t="s">
        <v>38</v>
      </c>
      <c r="B169" s="1" t="s">
        <v>39</v>
      </c>
      <c r="C169" s="1" t="s">
        <v>23</v>
      </c>
      <c r="D169" s="1">
        <v>0.0</v>
      </c>
      <c r="E169" s="1">
        <v>45.0</v>
      </c>
      <c r="F169" s="1">
        <v>12.0</v>
      </c>
      <c r="G169" s="1">
        <v>4.0</v>
      </c>
      <c r="H169" s="1" t="s">
        <v>24</v>
      </c>
      <c r="I169" s="2">
        <v>45983.0</v>
      </c>
      <c r="J169" s="1">
        <v>450000.0</v>
      </c>
      <c r="K169" s="2">
        <v>45962.0</v>
      </c>
    </row>
    <row r="170">
      <c r="A170" s="1" t="s">
        <v>11</v>
      </c>
      <c r="B170" s="1" t="s">
        <v>12</v>
      </c>
      <c r="C170" s="1" t="s">
        <v>13</v>
      </c>
      <c r="D170" s="1">
        <v>252.0</v>
      </c>
      <c r="E170" s="1">
        <v>50.0</v>
      </c>
      <c r="F170" s="1">
        <v>3.0</v>
      </c>
      <c r="G170" s="1">
        <v>7.0</v>
      </c>
      <c r="H170" s="1" t="s">
        <v>14</v>
      </c>
      <c r="I170" s="2">
        <v>45713.0</v>
      </c>
      <c r="J170" s="1">
        <v>125000.0</v>
      </c>
      <c r="K170" s="2">
        <v>45689.0</v>
      </c>
    </row>
    <row r="171">
      <c r="A171" s="1" t="s">
        <v>40</v>
      </c>
      <c r="B171" s="1" t="s">
        <v>41</v>
      </c>
      <c r="C171" s="1" t="s">
        <v>42</v>
      </c>
      <c r="D171" s="1">
        <v>13.0</v>
      </c>
      <c r="E171" s="1">
        <v>15.0</v>
      </c>
      <c r="F171" s="1">
        <v>3.0</v>
      </c>
      <c r="G171" s="1">
        <v>6.0</v>
      </c>
      <c r="H171" s="1" t="s">
        <v>43</v>
      </c>
      <c r="I171" s="2">
        <v>45949.0</v>
      </c>
      <c r="J171" s="1">
        <v>1200000.0</v>
      </c>
      <c r="K171" s="2">
        <v>45931.0</v>
      </c>
    </row>
    <row r="172">
      <c r="A172" s="1" t="s">
        <v>15</v>
      </c>
      <c r="B172" s="1" t="s">
        <v>16</v>
      </c>
      <c r="C172" s="1" t="s">
        <v>17</v>
      </c>
      <c r="D172" s="1">
        <v>28.0</v>
      </c>
      <c r="E172" s="1">
        <v>15.0</v>
      </c>
      <c r="F172" s="1">
        <v>1.0</v>
      </c>
      <c r="G172" s="1">
        <v>7.0</v>
      </c>
      <c r="H172" s="1" t="s">
        <v>18</v>
      </c>
      <c r="I172" s="2">
        <v>46041.0</v>
      </c>
      <c r="J172" s="1">
        <v>8500000.0</v>
      </c>
      <c r="K172" s="2">
        <v>46023.0</v>
      </c>
    </row>
    <row r="173">
      <c r="A173" s="1" t="s">
        <v>60</v>
      </c>
      <c r="B173" s="1" t="s">
        <v>61</v>
      </c>
      <c r="C173" s="1" t="s">
        <v>17</v>
      </c>
      <c r="D173" s="1">
        <v>33.0</v>
      </c>
      <c r="E173" s="1">
        <v>20.0</v>
      </c>
      <c r="F173" s="1">
        <v>1.0</v>
      </c>
      <c r="G173" s="1">
        <v>12.0</v>
      </c>
      <c r="H173" s="1" t="s">
        <v>27</v>
      </c>
      <c r="I173" s="2">
        <v>45817.0</v>
      </c>
      <c r="J173" s="1">
        <v>3200000.0</v>
      </c>
      <c r="K173" s="2">
        <v>45809.0</v>
      </c>
    </row>
    <row r="174">
      <c r="A174" s="1" t="s">
        <v>25</v>
      </c>
      <c r="B174" s="1" t="s">
        <v>26</v>
      </c>
      <c r="C174" s="1" t="s">
        <v>17</v>
      </c>
      <c r="D174" s="1">
        <v>15.0</v>
      </c>
      <c r="E174" s="1">
        <v>25.0</v>
      </c>
      <c r="F174" s="1">
        <v>4.0</v>
      </c>
      <c r="G174" s="1">
        <v>15.0</v>
      </c>
      <c r="H174" s="1" t="s">
        <v>27</v>
      </c>
      <c r="I174" s="2">
        <v>46070.0</v>
      </c>
      <c r="J174" s="1">
        <v>4500000.0</v>
      </c>
      <c r="K174" s="2">
        <v>46054.0</v>
      </c>
    </row>
    <row r="175">
      <c r="A175" s="1" t="s">
        <v>44</v>
      </c>
      <c r="B175" s="1" t="s">
        <v>45</v>
      </c>
      <c r="C175" s="1" t="s">
        <v>42</v>
      </c>
      <c r="D175" s="1">
        <v>39.0</v>
      </c>
      <c r="E175" s="1">
        <v>30.0</v>
      </c>
      <c r="F175" s="1">
        <v>6.0</v>
      </c>
      <c r="G175" s="1">
        <v>10.0</v>
      </c>
      <c r="H175" s="1" t="s">
        <v>43</v>
      </c>
      <c r="I175" s="2">
        <v>45838.0</v>
      </c>
      <c r="J175" s="1">
        <v>350000.0</v>
      </c>
      <c r="K175" s="2">
        <v>45809.0</v>
      </c>
    </row>
    <row r="176">
      <c r="A176" s="1" t="s">
        <v>57</v>
      </c>
      <c r="B176" s="1" t="s">
        <v>58</v>
      </c>
      <c r="C176" s="1" t="s">
        <v>42</v>
      </c>
      <c r="D176" s="1">
        <v>43.0</v>
      </c>
      <c r="E176" s="1">
        <v>25.0</v>
      </c>
      <c r="F176" s="1">
        <v>4.0</v>
      </c>
      <c r="G176" s="1">
        <v>7.0</v>
      </c>
      <c r="H176" s="1" t="s">
        <v>59</v>
      </c>
      <c r="I176" s="2">
        <v>45896.0</v>
      </c>
      <c r="J176" s="1">
        <v>450000.0</v>
      </c>
      <c r="K176" s="2">
        <v>45870.0</v>
      </c>
    </row>
    <row r="177">
      <c r="A177" s="1" t="s">
        <v>62</v>
      </c>
      <c r="B177" s="1" t="s">
        <v>63</v>
      </c>
      <c r="C177" s="1" t="s">
        <v>13</v>
      </c>
      <c r="D177" s="1">
        <v>472.0</v>
      </c>
      <c r="E177" s="1">
        <v>80.0</v>
      </c>
      <c r="F177" s="1">
        <v>3.0</v>
      </c>
      <c r="G177" s="1">
        <v>4.0</v>
      </c>
      <c r="H177" s="1" t="s">
        <v>33</v>
      </c>
      <c r="I177" s="2">
        <v>45900.0</v>
      </c>
      <c r="J177" s="1">
        <v>85000.0</v>
      </c>
      <c r="K177" s="2">
        <v>45870.0</v>
      </c>
    </row>
    <row r="178">
      <c r="A178" s="1" t="s">
        <v>64</v>
      </c>
      <c r="B178" s="1" t="s">
        <v>65</v>
      </c>
      <c r="C178" s="1" t="s">
        <v>42</v>
      </c>
      <c r="D178" s="1">
        <v>14.0</v>
      </c>
      <c r="E178" s="1">
        <v>20.0</v>
      </c>
      <c r="F178" s="1">
        <v>2.0</v>
      </c>
      <c r="G178" s="1">
        <v>8.0</v>
      </c>
      <c r="H178" s="1" t="s">
        <v>59</v>
      </c>
      <c r="I178" s="2">
        <v>45999.0</v>
      </c>
      <c r="J178" s="1">
        <v>750000.0</v>
      </c>
      <c r="K178" s="2">
        <v>45992.0</v>
      </c>
    </row>
    <row r="179">
      <c r="A179" s="1" t="s">
        <v>44</v>
      </c>
      <c r="B179" s="1" t="s">
        <v>45</v>
      </c>
      <c r="C179" s="1" t="s">
        <v>42</v>
      </c>
      <c r="D179" s="1">
        <v>57.0</v>
      </c>
      <c r="E179" s="1">
        <v>30.0</v>
      </c>
      <c r="F179" s="1">
        <v>5.0</v>
      </c>
      <c r="G179" s="1">
        <v>4.0</v>
      </c>
      <c r="H179" s="1" t="s">
        <v>43</v>
      </c>
      <c r="I179" s="2">
        <v>46098.0</v>
      </c>
      <c r="J179" s="1">
        <v>350000.0</v>
      </c>
      <c r="K179" s="2">
        <v>46082.0</v>
      </c>
    </row>
    <row r="180">
      <c r="A180" s="1" t="s">
        <v>19</v>
      </c>
      <c r="B180" s="1" t="s">
        <v>20</v>
      </c>
      <c r="C180" s="1" t="s">
        <v>17</v>
      </c>
      <c r="D180" s="1">
        <v>1.0</v>
      </c>
      <c r="E180" s="1">
        <v>30.0</v>
      </c>
      <c r="F180" s="1">
        <v>4.0</v>
      </c>
      <c r="G180" s="1">
        <v>5.0</v>
      </c>
      <c r="H180" s="1" t="s">
        <v>18</v>
      </c>
      <c r="I180" s="2">
        <v>45868.0</v>
      </c>
      <c r="J180" s="1">
        <v>1200000.0</v>
      </c>
      <c r="K180" s="2">
        <v>45839.0</v>
      </c>
    </row>
    <row r="181">
      <c r="A181" s="1" t="s">
        <v>28</v>
      </c>
      <c r="B181" s="1" t="s">
        <v>29</v>
      </c>
      <c r="C181" s="1" t="s">
        <v>23</v>
      </c>
      <c r="D181" s="1">
        <v>27.0</v>
      </c>
      <c r="E181" s="1">
        <v>35.0</v>
      </c>
      <c r="F181" s="1">
        <v>4.0</v>
      </c>
      <c r="G181" s="1">
        <v>5.0</v>
      </c>
      <c r="H181" s="1" t="s">
        <v>30</v>
      </c>
      <c r="I181" s="2">
        <v>45817.0</v>
      </c>
      <c r="J181" s="1">
        <v>1250000.0</v>
      </c>
      <c r="K181" s="2">
        <v>45809.0</v>
      </c>
    </row>
    <row r="182">
      <c r="A182" s="1" t="s">
        <v>53</v>
      </c>
      <c r="B182" s="1" t="s">
        <v>54</v>
      </c>
      <c r="C182" s="1" t="s">
        <v>13</v>
      </c>
      <c r="D182" s="1">
        <v>240.0</v>
      </c>
      <c r="E182" s="1">
        <v>60.0</v>
      </c>
      <c r="F182" s="1">
        <v>2.0</v>
      </c>
      <c r="G182" s="1">
        <v>6.0</v>
      </c>
      <c r="H182" s="1" t="s">
        <v>14</v>
      </c>
      <c r="I182" s="2">
        <v>46187.0</v>
      </c>
      <c r="J182" s="1">
        <v>165000.0</v>
      </c>
      <c r="K182" s="2">
        <v>45962.0</v>
      </c>
    </row>
    <row r="183">
      <c r="A183" s="1" t="s">
        <v>44</v>
      </c>
      <c r="B183" s="1" t="s">
        <v>45</v>
      </c>
      <c r="C183" s="1" t="s">
        <v>42</v>
      </c>
      <c r="D183" s="1">
        <v>60.0</v>
      </c>
      <c r="E183" s="1">
        <v>30.0</v>
      </c>
      <c r="F183" s="1">
        <v>4.0</v>
      </c>
      <c r="G183" s="1">
        <v>9.0</v>
      </c>
      <c r="H183" s="1" t="s">
        <v>43</v>
      </c>
      <c r="I183" s="2">
        <v>46062.0</v>
      </c>
      <c r="J183" s="1">
        <v>350000.0</v>
      </c>
      <c r="K183" s="2">
        <v>46054.0</v>
      </c>
    </row>
    <row r="184">
      <c r="A184" s="1" t="s">
        <v>11</v>
      </c>
      <c r="B184" s="1" t="s">
        <v>12</v>
      </c>
      <c r="C184" s="1" t="s">
        <v>13</v>
      </c>
      <c r="D184" s="1">
        <v>216.0</v>
      </c>
      <c r="E184" s="1">
        <v>50.0</v>
      </c>
      <c r="F184" s="1">
        <v>1.0</v>
      </c>
      <c r="G184" s="1">
        <v>8.0</v>
      </c>
      <c r="H184" s="1" t="s">
        <v>14</v>
      </c>
      <c r="I184" s="2">
        <v>45905.0</v>
      </c>
      <c r="J184" s="1">
        <v>125000.0</v>
      </c>
      <c r="K184" s="2">
        <v>45901.0</v>
      </c>
    </row>
    <row r="185" hidden="1">
      <c r="A185" s="1" t="s">
        <v>60</v>
      </c>
      <c r="B185" s="1" t="s">
        <v>61</v>
      </c>
      <c r="C185" s="1" t="s">
        <v>17</v>
      </c>
      <c r="D185" s="1">
        <v>-17.0</v>
      </c>
      <c r="E185" s="1">
        <v>20.0</v>
      </c>
      <c r="F185" s="1">
        <v>5.0</v>
      </c>
      <c r="G185" s="1">
        <v>22.0</v>
      </c>
      <c r="H185" s="1" t="s">
        <v>27</v>
      </c>
      <c r="I185" s="2">
        <v>45998.0</v>
      </c>
      <c r="J185" s="1">
        <v>3200000.0</v>
      </c>
      <c r="K185" s="2">
        <v>45992.0</v>
      </c>
    </row>
    <row r="186">
      <c r="A186" s="1" t="s">
        <v>38</v>
      </c>
      <c r="B186" s="1" t="s">
        <v>39</v>
      </c>
      <c r="C186" s="1" t="s">
        <v>23</v>
      </c>
      <c r="D186" s="1">
        <v>0.0</v>
      </c>
      <c r="E186" s="1">
        <v>45.0</v>
      </c>
      <c r="F186" s="1">
        <v>14.0</v>
      </c>
      <c r="G186" s="1">
        <v>6.0</v>
      </c>
      <c r="H186" s="1" t="s">
        <v>24</v>
      </c>
      <c r="I186" s="2">
        <v>46107.0</v>
      </c>
      <c r="J186" s="1">
        <v>450000.0</v>
      </c>
      <c r="K186" s="2">
        <v>46082.0</v>
      </c>
    </row>
    <row r="187">
      <c r="A187" s="1" t="s">
        <v>11</v>
      </c>
      <c r="B187" s="1" t="s">
        <v>12</v>
      </c>
      <c r="C187" s="1" t="s">
        <v>13</v>
      </c>
      <c r="D187" s="1">
        <v>157.0</v>
      </c>
      <c r="E187" s="1">
        <v>50.0</v>
      </c>
      <c r="F187" s="1">
        <v>1.0</v>
      </c>
      <c r="G187" s="1">
        <v>4.0</v>
      </c>
      <c r="H187" s="1" t="s">
        <v>14</v>
      </c>
      <c r="I187" s="2">
        <v>45823.0</v>
      </c>
      <c r="J187" s="1">
        <v>125000.0</v>
      </c>
      <c r="K187" s="2">
        <v>45809.0</v>
      </c>
    </row>
    <row r="188">
      <c r="A188" s="1" t="s">
        <v>57</v>
      </c>
      <c r="B188" s="1" t="s">
        <v>58</v>
      </c>
      <c r="C188" s="1" t="s">
        <v>42</v>
      </c>
      <c r="D188" s="1">
        <v>42.0</v>
      </c>
      <c r="E188" s="1">
        <v>25.0</v>
      </c>
      <c r="F188" s="1">
        <v>5.0</v>
      </c>
      <c r="G188" s="1">
        <v>10.0</v>
      </c>
      <c r="H188" s="1" t="s">
        <v>59</v>
      </c>
      <c r="I188" s="2">
        <v>45711.0</v>
      </c>
      <c r="J188" s="1">
        <v>450000.0</v>
      </c>
      <c r="K188" s="2">
        <v>45689.0</v>
      </c>
    </row>
    <row r="189">
      <c r="A189" s="1" t="s">
        <v>25</v>
      </c>
      <c r="B189" s="1" t="s">
        <v>26</v>
      </c>
      <c r="C189" s="1" t="s">
        <v>17</v>
      </c>
      <c r="D189" s="1">
        <v>0.0</v>
      </c>
      <c r="E189" s="1">
        <v>25.0</v>
      </c>
      <c r="F189" s="1">
        <v>8.0</v>
      </c>
      <c r="G189" s="1">
        <v>10.0</v>
      </c>
      <c r="H189" s="1" t="s">
        <v>27</v>
      </c>
      <c r="I189" s="2">
        <v>46013.0</v>
      </c>
      <c r="J189" s="1">
        <v>4500000.0</v>
      </c>
      <c r="K189" s="2">
        <v>45992.0</v>
      </c>
    </row>
    <row r="190">
      <c r="A190" s="1" t="s">
        <v>40</v>
      </c>
      <c r="B190" s="1" t="s">
        <v>41</v>
      </c>
      <c r="C190" s="1" t="s">
        <v>42</v>
      </c>
      <c r="D190" s="1">
        <v>22.0</v>
      </c>
      <c r="E190" s="1">
        <v>15.0</v>
      </c>
      <c r="F190" s="1">
        <v>3.0</v>
      </c>
      <c r="G190" s="1">
        <v>4.0</v>
      </c>
      <c r="H190" s="1" t="s">
        <v>43</v>
      </c>
      <c r="I190" s="2">
        <v>45919.0</v>
      </c>
      <c r="J190" s="1">
        <v>1200000.0</v>
      </c>
      <c r="K190" s="2">
        <v>45901.0</v>
      </c>
    </row>
    <row r="191">
      <c r="A191" s="1" t="s">
        <v>57</v>
      </c>
      <c r="B191" s="1" t="s">
        <v>58</v>
      </c>
      <c r="C191" s="1" t="s">
        <v>42</v>
      </c>
      <c r="D191" s="1">
        <v>21.0</v>
      </c>
      <c r="E191" s="1">
        <v>25.0</v>
      </c>
      <c r="F191" s="1">
        <v>3.0</v>
      </c>
      <c r="G191" s="1">
        <v>9.0</v>
      </c>
      <c r="H191" s="1" t="s">
        <v>59</v>
      </c>
      <c r="I191" s="2">
        <v>45854.0</v>
      </c>
      <c r="J191" s="1">
        <v>450000.0</v>
      </c>
      <c r="K191" s="2">
        <v>45839.0</v>
      </c>
    </row>
    <row r="192">
      <c r="A192" s="1" t="s">
        <v>51</v>
      </c>
      <c r="B192" s="1" t="s">
        <v>52</v>
      </c>
      <c r="C192" s="1" t="s">
        <v>36</v>
      </c>
      <c r="D192" s="1">
        <v>12.0</v>
      </c>
      <c r="E192" s="1">
        <v>60.0</v>
      </c>
      <c r="F192" s="1">
        <v>10.0</v>
      </c>
      <c r="H192" s="1" t="s">
        <v>50</v>
      </c>
      <c r="I192" s="2">
        <v>45965.0</v>
      </c>
      <c r="J192" s="1">
        <v>175000.0</v>
      </c>
      <c r="K192" s="2">
        <v>45962.0</v>
      </c>
    </row>
    <row r="193">
      <c r="A193" s="1" t="s">
        <v>15</v>
      </c>
      <c r="B193" s="1" t="s">
        <v>16</v>
      </c>
      <c r="C193" s="1" t="s">
        <v>17</v>
      </c>
      <c r="D193" s="1">
        <v>17.0</v>
      </c>
      <c r="E193" s="1">
        <v>15.0</v>
      </c>
      <c r="F193" s="1">
        <v>1.0</v>
      </c>
      <c r="G193" s="1">
        <v>6.0</v>
      </c>
      <c r="H193" s="1" t="s">
        <v>18</v>
      </c>
      <c r="I193" s="2">
        <v>45665.0</v>
      </c>
      <c r="J193" s="1">
        <v>8500000.0</v>
      </c>
      <c r="K193" s="2">
        <v>45658.0</v>
      </c>
    </row>
    <row r="194">
      <c r="A194" s="1" t="s">
        <v>51</v>
      </c>
      <c r="B194" s="1" t="s">
        <v>52</v>
      </c>
      <c r="C194" s="1" t="s">
        <v>36</v>
      </c>
      <c r="D194" s="1">
        <v>34.0</v>
      </c>
      <c r="E194" s="1">
        <v>60.0</v>
      </c>
      <c r="F194" s="1">
        <v>7.0</v>
      </c>
      <c r="G194" s="1">
        <v>6.0</v>
      </c>
      <c r="H194" s="1" t="s">
        <v>50</v>
      </c>
      <c r="I194" s="2">
        <v>45934.0</v>
      </c>
      <c r="J194" s="1">
        <v>175000.0</v>
      </c>
      <c r="K194" s="2">
        <v>45931.0</v>
      </c>
    </row>
    <row r="195">
      <c r="A195" s="1" t="s">
        <v>51</v>
      </c>
      <c r="B195" s="1" t="s">
        <v>52</v>
      </c>
      <c r="C195" s="1" t="s">
        <v>36</v>
      </c>
      <c r="D195" s="1">
        <v>21.0</v>
      </c>
      <c r="E195" s="1">
        <v>60.0</v>
      </c>
      <c r="F195" s="1">
        <v>9.0</v>
      </c>
      <c r="G195" s="1">
        <v>4.0</v>
      </c>
      <c r="H195" s="1" t="s">
        <v>50</v>
      </c>
      <c r="I195" s="2">
        <v>46067.0</v>
      </c>
      <c r="J195" s="1">
        <v>175000.0</v>
      </c>
      <c r="K195" s="2">
        <v>46054.0</v>
      </c>
    </row>
    <row r="196">
      <c r="A196" s="1" t="s">
        <v>28</v>
      </c>
      <c r="B196" s="1" t="s">
        <v>29</v>
      </c>
      <c r="C196" s="1" t="s">
        <v>23</v>
      </c>
      <c r="D196" s="1">
        <v>0.0</v>
      </c>
      <c r="E196" s="1">
        <v>35.0</v>
      </c>
      <c r="F196" s="1">
        <v>9.0</v>
      </c>
      <c r="G196" s="1">
        <v>6.0</v>
      </c>
      <c r="H196" s="1" t="s">
        <v>30</v>
      </c>
      <c r="I196" s="2">
        <v>45973.0</v>
      </c>
      <c r="J196" s="1">
        <v>1250000.0</v>
      </c>
      <c r="K196" s="2">
        <v>45962.0</v>
      </c>
    </row>
    <row r="197">
      <c r="A197" s="1" t="s">
        <v>31</v>
      </c>
      <c r="B197" s="1" t="s">
        <v>32</v>
      </c>
      <c r="C197" s="1" t="s">
        <v>13</v>
      </c>
      <c r="D197" s="1">
        <v>150.0</v>
      </c>
      <c r="E197" s="1">
        <v>40.0</v>
      </c>
      <c r="F197" s="1">
        <v>4.0</v>
      </c>
      <c r="G197" s="1">
        <v>4.0</v>
      </c>
      <c r="H197" s="1" t="s">
        <v>33</v>
      </c>
      <c r="I197" s="2">
        <v>46040.0</v>
      </c>
      <c r="J197" s="1">
        <v>550000.0</v>
      </c>
      <c r="K197" s="2">
        <v>46023.0</v>
      </c>
    </row>
    <row r="198">
      <c r="A198" s="1" t="s">
        <v>34</v>
      </c>
      <c r="B198" s="1" t="s">
        <v>35</v>
      </c>
      <c r="C198" s="1" t="s">
        <v>36</v>
      </c>
      <c r="D198" s="1">
        <v>18.0</v>
      </c>
      <c r="E198" s="1">
        <v>80.0</v>
      </c>
      <c r="F198" s="1">
        <v>10.0</v>
      </c>
      <c r="G198" s="1">
        <v>4.0</v>
      </c>
      <c r="H198" s="1" t="s">
        <v>37</v>
      </c>
      <c r="I198" s="2">
        <v>46024.0</v>
      </c>
      <c r="J198" s="1">
        <v>65000.0</v>
      </c>
      <c r="K198" s="2">
        <v>46023.0</v>
      </c>
    </row>
    <row r="199">
      <c r="A199" s="1" t="s">
        <v>28</v>
      </c>
      <c r="B199" s="1" t="s">
        <v>29</v>
      </c>
      <c r="C199" s="1" t="s">
        <v>23</v>
      </c>
      <c r="D199" s="1">
        <v>27.0</v>
      </c>
      <c r="E199" s="1">
        <v>35.0</v>
      </c>
      <c r="F199" s="1">
        <v>8.0</v>
      </c>
      <c r="G199" s="1">
        <v>6.0</v>
      </c>
      <c r="H199" s="1" t="s">
        <v>30</v>
      </c>
      <c r="I199" s="2">
        <v>46054.0</v>
      </c>
      <c r="J199" s="1">
        <v>1250000.0</v>
      </c>
      <c r="K199" s="2">
        <v>46054.0</v>
      </c>
    </row>
    <row r="200">
      <c r="A200" s="1" t="s">
        <v>44</v>
      </c>
      <c r="B200" s="1" t="s">
        <v>45</v>
      </c>
      <c r="C200" s="1" t="s">
        <v>42</v>
      </c>
      <c r="D200" s="1">
        <v>39.0</v>
      </c>
      <c r="E200" s="1">
        <v>30.0</v>
      </c>
      <c r="F200" s="1">
        <v>6.0</v>
      </c>
      <c r="G200" s="1">
        <v>10.0</v>
      </c>
      <c r="H200" s="1" t="s">
        <v>43</v>
      </c>
      <c r="I200" s="2">
        <v>45854.0</v>
      </c>
      <c r="J200" s="1">
        <v>350000.0</v>
      </c>
      <c r="K200" s="2">
        <v>45839.0</v>
      </c>
    </row>
    <row r="201">
      <c r="A201" s="1" t="s">
        <v>28</v>
      </c>
      <c r="B201" s="1" t="s">
        <v>29</v>
      </c>
      <c r="C201" s="1" t="s">
        <v>23</v>
      </c>
      <c r="D201" s="1">
        <v>10.0</v>
      </c>
      <c r="E201" s="1">
        <v>35.0</v>
      </c>
      <c r="F201" s="1">
        <v>7.0</v>
      </c>
      <c r="G201" s="1">
        <v>3.0</v>
      </c>
      <c r="H201" s="1" t="s">
        <v>30</v>
      </c>
      <c r="I201" s="2">
        <v>45929.0</v>
      </c>
      <c r="J201" s="1">
        <v>1250000.0</v>
      </c>
      <c r="K201" s="2">
        <v>45901.0</v>
      </c>
    </row>
    <row r="202">
      <c r="A202" s="1" t="s">
        <v>60</v>
      </c>
      <c r="B202" s="1" t="s">
        <v>61</v>
      </c>
      <c r="C202" s="1" t="s">
        <v>17</v>
      </c>
      <c r="D202" s="1">
        <v>7.0</v>
      </c>
      <c r="E202" s="1">
        <v>20.0</v>
      </c>
      <c r="F202" s="1">
        <v>2.0</v>
      </c>
      <c r="G202" s="1">
        <v>13.0</v>
      </c>
      <c r="H202" s="1" t="s">
        <v>27</v>
      </c>
      <c r="I202" s="2">
        <v>45861.0</v>
      </c>
      <c r="J202" s="1">
        <v>3200000.0</v>
      </c>
      <c r="K202" s="2">
        <v>45839.0</v>
      </c>
    </row>
    <row r="203">
      <c r="A203" s="1" t="s">
        <v>21</v>
      </c>
      <c r="B203" s="1" t="s">
        <v>22</v>
      </c>
      <c r="C203" s="1" t="s">
        <v>23</v>
      </c>
      <c r="D203" s="1">
        <v>13.0</v>
      </c>
      <c r="E203" s="1">
        <v>50.0</v>
      </c>
      <c r="F203" s="1">
        <v>8.0</v>
      </c>
      <c r="G203" s="1">
        <v>4.0</v>
      </c>
      <c r="H203" s="1" t="s">
        <v>24</v>
      </c>
      <c r="I203" s="2">
        <v>45691.0</v>
      </c>
      <c r="J203" s="1">
        <v>350000.0</v>
      </c>
      <c r="K203" s="2">
        <v>45689.0</v>
      </c>
    </row>
    <row r="204" hidden="1">
      <c r="A204" s="1" t="s">
        <v>40</v>
      </c>
      <c r="B204" s="1" t="s">
        <v>41</v>
      </c>
      <c r="C204" s="1" t="s">
        <v>42</v>
      </c>
      <c r="E204" s="1">
        <v>15.0</v>
      </c>
      <c r="F204" s="1">
        <v>2.0</v>
      </c>
      <c r="G204" s="1">
        <v>4.0</v>
      </c>
      <c r="H204" s="1" t="s">
        <v>43</v>
      </c>
      <c r="I204" s="2">
        <v>45688.0</v>
      </c>
      <c r="J204" s="1">
        <v>1200000.0</v>
      </c>
      <c r="K204" s="2">
        <v>45658.0</v>
      </c>
    </row>
    <row r="205">
      <c r="A205" s="1" t="s">
        <v>55</v>
      </c>
      <c r="B205" s="1" t="s">
        <v>56</v>
      </c>
      <c r="C205" s="1" t="s">
        <v>36</v>
      </c>
      <c r="D205" s="1">
        <v>19.0</v>
      </c>
      <c r="E205" s="1">
        <v>100.0</v>
      </c>
      <c r="F205" s="1">
        <v>16.0</v>
      </c>
      <c r="G205" s="1">
        <v>4.0</v>
      </c>
      <c r="H205" s="1" t="s">
        <v>37</v>
      </c>
      <c r="I205" s="2">
        <v>45965.0</v>
      </c>
      <c r="J205" s="1">
        <v>85000.0</v>
      </c>
      <c r="K205" s="2">
        <v>45962.0</v>
      </c>
    </row>
    <row r="206">
      <c r="A206" s="1" t="s">
        <v>55</v>
      </c>
      <c r="B206" s="1" t="s">
        <v>56</v>
      </c>
      <c r="C206" s="1" t="s">
        <v>36</v>
      </c>
      <c r="D206" s="1">
        <v>36.0</v>
      </c>
      <c r="E206" s="1">
        <v>100.0</v>
      </c>
      <c r="F206" s="1">
        <v>16.0</v>
      </c>
      <c r="G206" s="1">
        <v>5.0</v>
      </c>
      <c r="H206" s="1" t="s">
        <v>37</v>
      </c>
      <c r="I206" s="2">
        <v>45851.0</v>
      </c>
      <c r="J206" s="1">
        <v>85000.0</v>
      </c>
      <c r="K206" s="2">
        <v>45839.0</v>
      </c>
    </row>
    <row r="207">
      <c r="A207" s="1" t="s">
        <v>34</v>
      </c>
      <c r="B207" s="1" t="s">
        <v>35</v>
      </c>
      <c r="C207" s="1" t="s">
        <v>36</v>
      </c>
      <c r="D207" s="1">
        <v>33.0</v>
      </c>
      <c r="E207" s="1">
        <v>80.0</v>
      </c>
      <c r="F207" s="1">
        <v>13.0</v>
      </c>
      <c r="G207" s="1">
        <v>4.0</v>
      </c>
      <c r="H207" s="1" t="s">
        <v>37</v>
      </c>
      <c r="I207" s="2">
        <v>45697.0</v>
      </c>
      <c r="J207" s="1">
        <v>65000.0</v>
      </c>
      <c r="K207" s="2">
        <v>45689.0</v>
      </c>
    </row>
    <row r="208">
      <c r="A208" s="1" t="s">
        <v>15</v>
      </c>
      <c r="B208" s="1" t="s">
        <v>16</v>
      </c>
      <c r="C208" s="1" t="s">
        <v>17</v>
      </c>
      <c r="D208" s="1">
        <v>0.0</v>
      </c>
      <c r="E208" s="1">
        <v>15.0</v>
      </c>
      <c r="F208" s="1">
        <v>2.0</v>
      </c>
      <c r="G208" s="1">
        <v>8.0</v>
      </c>
      <c r="H208" s="1" t="s">
        <v>18</v>
      </c>
      <c r="I208" s="2">
        <v>45994.0</v>
      </c>
      <c r="J208" s="1">
        <v>8500000.0</v>
      </c>
      <c r="K208" s="2">
        <v>45992.0</v>
      </c>
    </row>
    <row r="209">
      <c r="A209" s="1" t="s">
        <v>19</v>
      </c>
      <c r="B209" s="1" t="s">
        <v>20</v>
      </c>
      <c r="C209" s="1" t="s">
        <v>17</v>
      </c>
      <c r="D209" s="1">
        <v>34.0</v>
      </c>
      <c r="E209" s="1">
        <v>30.0</v>
      </c>
      <c r="F209" s="1">
        <v>4.0</v>
      </c>
      <c r="G209" s="1">
        <v>5.0</v>
      </c>
      <c r="H209" s="1" t="s">
        <v>18</v>
      </c>
      <c r="I209" s="2">
        <v>46083.0</v>
      </c>
      <c r="J209" s="1">
        <v>1200000.0</v>
      </c>
      <c r="K209" s="2">
        <v>46082.0</v>
      </c>
    </row>
    <row r="210">
      <c r="A210" s="1" t="s">
        <v>62</v>
      </c>
      <c r="B210" s="1" t="s">
        <v>63</v>
      </c>
      <c r="C210" s="1" t="s">
        <v>13</v>
      </c>
      <c r="D210" s="1">
        <v>427.0</v>
      </c>
      <c r="E210" s="1">
        <v>80.0</v>
      </c>
      <c r="F210" s="1">
        <v>2.0</v>
      </c>
      <c r="G210" s="1">
        <v>5.0</v>
      </c>
      <c r="H210" s="1" t="s">
        <v>33</v>
      </c>
      <c r="I210" s="2">
        <v>45838.0</v>
      </c>
      <c r="J210" s="1">
        <v>85000.0</v>
      </c>
      <c r="K210" s="2">
        <v>45809.0</v>
      </c>
    </row>
    <row r="211">
      <c r="A211" s="1" t="s">
        <v>51</v>
      </c>
      <c r="B211" s="1" t="s">
        <v>52</v>
      </c>
      <c r="C211" s="1" t="s">
        <v>36</v>
      </c>
      <c r="D211" s="1">
        <v>14.0</v>
      </c>
      <c r="E211" s="1">
        <v>60.0</v>
      </c>
      <c r="F211" s="1">
        <v>8.0</v>
      </c>
      <c r="G211" s="1">
        <v>6.0</v>
      </c>
      <c r="H211" s="1" t="s">
        <v>50</v>
      </c>
      <c r="I211" s="2">
        <v>45930.0</v>
      </c>
      <c r="J211" s="1">
        <v>175000.0</v>
      </c>
      <c r="K211" s="2">
        <v>45901.0</v>
      </c>
    </row>
    <row r="212">
      <c r="A212" s="1" t="s">
        <v>25</v>
      </c>
      <c r="B212" s="1" t="s">
        <v>26</v>
      </c>
      <c r="C212" s="1" t="s">
        <v>17</v>
      </c>
      <c r="D212" s="1">
        <v>32.0</v>
      </c>
      <c r="E212" s="1">
        <v>25.0</v>
      </c>
      <c r="F212" s="1">
        <v>6.0</v>
      </c>
      <c r="G212" s="1">
        <v>17.0</v>
      </c>
      <c r="H212" s="1" t="s">
        <v>27</v>
      </c>
      <c r="I212" s="2">
        <v>46026.0</v>
      </c>
      <c r="J212" s="1">
        <v>4500000.0</v>
      </c>
      <c r="K212" s="2">
        <v>46023.0</v>
      </c>
    </row>
    <row r="213" hidden="1">
      <c r="A213" s="1" t="s">
        <v>11</v>
      </c>
      <c r="B213" s="1" t="s">
        <v>12</v>
      </c>
      <c r="C213" s="1" t="s">
        <v>13</v>
      </c>
      <c r="E213" s="1">
        <v>50.0</v>
      </c>
      <c r="F213" s="1">
        <v>1.0</v>
      </c>
      <c r="G213" s="1">
        <v>7.0</v>
      </c>
      <c r="H213" s="1" t="s">
        <v>14</v>
      </c>
      <c r="I213" s="2">
        <v>45885.0</v>
      </c>
      <c r="J213" s="1">
        <v>125000.0</v>
      </c>
      <c r="K213" s="2">
        <v>45870.0</v>
      </c>
    </row>
    <row r="214">
      <c r="A214" s="1" t="s">
        <v>15</v>
      </c>
      <c r="B214" s="1" t="s">
        <v>16</v>
      </c>
      <c r="C214" s="1" t="s">
        <v>17</v>
      </c>
      <c r="D214" s="1">
        <v>28.0</v>
      </c>
      <c r="E214" s="1">
        <v>15.0</v>
      </c>
      <c r="F214" s="1">
        <v>1.0</v>
      </c>
      <c r="G214" s="1">
        <v>6.0</v>
      </c>
      <c r="H214" s="1" t="s">
        <v>18</v>
      </c>
      <c r="I214" s="2">
        <v>45800.0</v>
      </c>
      <c r="J214" s="1">
        <v>8500000.0</v>
      </c>
      <c r="K214" s="2">
        <v>45778.0</v>
      </c>
    </row>
    <row r="215">
      <c r="A215" s="1" t="s">
        <v>64</v>
      </c>
      <c r="B215" s="1" t="s">
        <v>65</v>
      </c>
      <c r="C215" s="1" t="s">
        <v>42</v>
      </c>
      <c r="D215" s="1">
        <v>21.0</v>
      </c>
      <c r="E215" s="1">
        <v>20.0</v>
      </c>
      <c r="F215" s="1">
        <v>2.0</v>
      </c>
      <c r="G215" s="1">
        <v>9.0</v>
      </c>
      <c r="H215" s="1" t="s">
        <v>59</v>
      </c>
      <c r="I215" s="2">
        <v>45724.0</v>
      </c>
      <c r="J215" s="1">
        <v>750000.0</v>
      </c>
      <c r="K215" s="2">
        <v>45717.0</v>
      </c>
    </row>
    <row r="216">
      <c r="A216" s="1" t="s">
        <v>60</v>
      </c>
      <c r="B216" s="1" t="s">
        <v>61</v>
      </c>
      <c r="C216" s="1" t="s">
        <v>17</v>
      </c>
      <c r="D216" s="1">
        <v>12.0</v>
      </c>
      <c r="E216" s="1">
        <v>20.0</v>
      </c>
      <c r="F216" s="1">
        <v>2.0</v>
      </c>
      <c r="G216" s="1">
        <v>16.0</v>
      </c>
      <c r="H216" s="1" t="s">
        <v>27</v>
      </c>
      <c r="I216" s="2">
        <v>45724.0</v>
      </c>
      <c r="J216" s="1">
        <v>3200000.0</v>
      </c>
      <c r="K216" s="2">
        <v>45717.0</v>
      </c>
    </row>
    <row r="217">
      <c r="A217" s="1" t="s">
        <v>48</v>
      </c>
      <c r="B217" s="1" t="s">
        <v>49</v>
      </c>
      <c r="C217" s="1" t="s">
        <v>36</v>
      </c>
      <c r="D217" s="1">
        <v>72.0</v>
      </c>
      <c r="E217" s="1">
        <v>120.0</v>
      </c>
      <c r="F217" s="1">
        <v>18.0</v>
      </c>
      <c r="G217" s="1">
        <v>7.0</v>
      </c>
      <c r="H217" s="1" t="s">
        <v>50</v>
      </c>
      <c r="I217" s="2">
        <v>45815.0</v>
      </c>
      <c r="J217" s="1">
        <v>55000.0</v>
      </c>
      <c r="K217" s="2">
        <v>45809.0</v>
      </c>
    </row>
    <row r="218">
      <c r="A218" s="1" t="s">
        <v>40</v>
      </c>
      <c r="B218" s="1" t="s">
        <v>41</v>
      </c>
      <c r="C218" s="1" t="s">
        <v>42</v>
      </c>
      <c r="D218" s="1">
        <v>33.0</v>
      </c>
      <c r="E218" s="1">
        <v>15.0</v>
      </c>
      <c r="F218" s="1">
        <v>2.0</v>
      </c>
      <c r="G218" s="1">
        <v>10.0</v>
      </c>
      <c r="H218" s="1" t="s">
        <v>43</v>
      </c>
      <c r="I218" s="2">
        <v>46032.0</v>
      </c>
      <c r="J218" s="1">
        <v>1200000.0</v>
      </c>
      <c r="K218" s="2">
        <v>46023.0</v>
      </c>
    </row>
    <row r="219">
      <c r="A219" s="1" t="s">
        <v>53</v>
      </c>
      <c r="B219" s="1" t="s">
        <v>54</v>
      </c>
      <c r="C219" s="1" t="s">
        <v>13</v>
      </c>
      <c r="D219" s="1">
        <v>246.0</v>
      </c>
      <c r="E219" s="1">
        <v>60.0</v>
      </c>
      <c r="F219" s="1">
        <v>3.0</v>
      </c>
      <c r="G219" s="1">
        <v>7.0</v>
      </c>
      <c r="H219" s="1" t="s">
        <v>14</v>
      </c>
      <c r="I219" s="2">
        <v>46049.0</v>
      </c>
      <c r="J219" s="1">
        <v>165000.0</v>
      </c>
      <c r="K219" s="2">
        <v>46023.0</v>
      </c>
    </row>
    <row r="220">
      <c r="A220" s="1" t="s">
        <v>34</v>
      </c>
      <c r="B220" s="1" t="s">
        <v>35</v>
      </c>
      <c r="C220" s="1" t="s">
        <v>36</v>
      </c>
      <c r="D220" s="1">
        <v>64.0</v>
      </c>
      <c r="E220" s="1">
        <v>80.0</v>
      </c>
      <c r="F220" s="1">
        <v>13.0</v>
      </c>
      <c r="G220" s="1">
        <v>5.0</v>
      </c>
      <c r="H220" s="1" t="s">
        <v>37</v>
      </c>
      <c r="I220" s="2">
        <v>45970.0</v>
      </c>
      <c r="J220" s="1">
        <v>65000.0</v>
      </c>
      <c r="K220" s="2">
        <v>45962.0</v>
      </c>
    </row>
    <row r="221">
      <c r="A221" s="1" t="s">
        <v>57</v>
      </c>
      <c r="B221" s="1" t="s">
        <v>58</v>
      </c>
      <c r="C221" s="1" t="s">
        <v>42</v>
      </c>
      <c r="D221" s="1">
        <v>37.0</v>
      </c>
      <c r="E221" s="1">
        <v>25.0</v>
      </c>
      <c r="F221" s="1">
        <v>1.0</v>
      </c>
      <c r="G221" s="1">
        <v>9.0</v>
      </c>
      <c r="H221" s="1" t="s">
        <v>59</v>
      </c>
      <c r="I221" s="2">
        <v>45775.0</v>
      </c>
      <c r="J221" s="1">
        <v>450000.0</v>
      </c>
      <c r="K221" s="2">
        <v>45748.0</v>
      </c>
    </row>
    <row r="222">
      <c r="A222" s="1" t="s">
        <v>21</v>
      </c>
      <c r="B222" s="1" t="s">
        <v>22</v>
      </c>
      <c r="C222" s="1" t="s">
        <v>23</v>
      </c>
      <c r="D222" s="1">
        <v>0.0</v>
      </c>
      <c r="E222" s="1">
        <v>50.0</v>
      </c>
      <c r="F222" s="1">
        <v>13.0</v>
      </c>
      <c r="G222" s="1">
        <v>3.0</v>
      </c>
      <c r="H222" s="1" t="s">
        <v>24</v>
      </c>
      <c r="I222" s="2">
        <v>45747.0</v>
      </c>
      <c r="J222" s="1">
        <v>350000.0</v>
      </c>
      <c r="K222" s="2">
        <v>45717.0</v>
      </c>
    </row>
    <row r="223">
      <c r="A223" s="1" t="s">
        <v>53</v>
      </c>
      <c r="B223" s="1" t="s">
        <v>54</v>
      </c>
      <c r="C223" s="1" t="s">
        <v>13</v>
      </c>
      <c r="D223" s="1">
        <v>230.0</v>
      </c>
      <c r="E223" s="1">
        <v>60.0</v>
      </c>
      <c r="F223" s="1">
        <v>2.0</v>
      </c>
      <c r="G223" s="1">
        <v>8.0</v>
      </c>
      <c r="H223" s="1" t="s">
        <v>14</v>
      </c>
      <c r="I223" s="2">
        <v>45817.0</v>
      </c>
      <c r="J223" s="1">
        <v>165000.0</v>
      </c>
      <c r="K223" s="2">
        <v>45809.0</v>
      </c>
    </row>
    <row r="224">
      <c r="A224" s="1" t="s">
        <v>57</v>
      </c>
      <c r="B224" s="1" t="s">
        <v>58</v>
      </c>
      <c r="C224" s="1" t="s">
        <v>42</v>
      </c>
      <c r="D224" s="1">
        <v>52.0</v>
      </c>
      <c r="E224" s="1">
        <v>25.0</v>
      </c>
      <c r="F224" s="1">
        <v>4.0</v>
      </c>
      <c r="G224" s="1">
        <v>9.0</v>
      </c>
      <c r="H224" s="1" t="s">
        <v>59</v>
      </c>
      <c r="I224" s="2">
        <v>45671.0</v>
      </c>
      <c r="J224" s="1">
        <v>450000.0</v>
      </c>
      <c r="K224" s="2">
        <v>45658.0</v>
      </c>
    </row>
    <row r="225">
      <c r="A225" s="1" t="s">
        <v>64</v>
      </c>
      <c r="B225" s="1" t="s">
        <v>65</v>
      </c>
      <c r="C225" s="1" t="s">
        <v>42</v>
      </c>
      <c r="D225" s="1">
        <v>47.0</v>
      </c>
      <c r="E225" s="1">
        <v>20.0</v>
      </c>
      <c r="F225" s="1">
        <v>4.0</v>
      </c>
      <c r="G225" s="1">
        <v>9.0</v>
      </c>
      <c r="H225" s="1" t="s">
        <v>59</v>
      </c>
      <c r="I225" s="2">
        <v>45909.0</v>
      </c>
      <c r="J225" s="1">
        <v>750000.0</v>
      </c>
      <c r="K225" s="2">
        <v>45901.0</v>
      </c>
    </row>
    <row r="226">
      <c r="A226" s="1" t="s">
        <v>31</v>
      </c>
      <c r="B226" s="1" t="s">
        <v>32</v>
      </c>
      <c r="C226" s="1" t="s">
        <v>13</v>
      </c>
      <c r="D226" s="1">
        <v>153.0</v>
      </c>
      <c r="E226" s="1">
        <v>40.0</v>
      </c>
      <c r="F226" s="1">
        <v>4.0</v>
      </c>
      <c r="G226" s="1">
        <v>5.0</v>
      </c>
      <c r="H226" s="1" t="s">
        <v>33</v>
      </c>
      <c r="I226" s="2">
        <v>46097.0</v>
      </c>
      <c r="J226" s="1">
        <v>550000.0</v>
      </c>
      <c r="K226" s="2">
        <v>46082.0</v>
      </c>
    </row>
    <row r="227">
      <c r="A227" s="1" t="s">
        <v>15</v>
      </c>
      <c r="B227" s="1" t="s">
        <v>16</v>
      </c>
      <c r="C227" s="1" t="s">
        <v>17</v>
      </c>
      <c r="D227" s="1">
        <v>19.0</v>
      </c>
      <c r="E227" s="1">
        <v>15.0</v>
      </c>
      <c r="F227" s="1">
        <v>3.0</v>
      </c>
      <c r="G227" s="1">
        <v>5.0</v>
      </c>
      <c r="H227" s="1" t="s">
        <v>18</v>
      </c>
      <c r="I227" s="2">
        <v>45903.0</v>
      </c>
      <c r="J227" s="1">
        <v>8500000.0</v>
      </c>
      <c r="K227" s="2">
        <v>45901.0</v>
      </c>
    </row>
    <row r="228">
      <c r="A228" s="1" t="s">
        <v>21</v>
      </c>
      <c r="B228" s="1" t="s">
        <v>22</v>
      </c>
      <c r="C228" s="1" t="s">
        <v>23</v>
      </c>
      <c r="D228" s="1">
        <v>0.0</v>
      </c>
      <c r="E228" s="1">
        <v>50.0</v>
      </c>
      <c r="F228" s="1">
        <v>12.0</v>
      </c>
      <c r="G228" s="1">
        <v>5.0</v>
      </c>
      <c r="H228" s="1" t="s">
        <v>24</v>
      </c>
      <c r="I228" s="2">
        <v>45971.0</v>
      </c>
      <c r="J228" s="1">
        <v>350000.0</v>
      </c>
      <c r="K228" s="2">
        <v>45962.0</v>
      </c>
    </row>
    <row r="229">
      <c r="A229" s="1" t="s">
        <v>51</v>
      </c>
      <c r="B229" s="1" t="s">
        <v>52</v>
      </c>
      <c r="C229" s="1" t="s">
        <v>36</v>
      </c>
      <c r="D229" s="1">
        <v>37.0</v>
      </c>
      <c r="E229" s="1">
        <v>60.0</v>
      </c>
      <c r="F229" s="1">
        <v>8.0</v>
      </c>
      <c r="G229" s="1">
        <v>5.0</v>
      </c>
      <c r="H229" s="1" t="s">
        <v>50</v>
      </c>
      <c r="I229" s="2">
        <v>45795.0</v>
      </c>
      <c r="J229" s="1">
        <v>175000.0</v>
      </c>
      <c r="K229" s="2">
        <v>45778.0</v>
      </c>
    </row>
    <row r="230">
      <c r="A230" s="1" t="s">
        <v>21</v>
      </c>
      <c r="B230" s="1" t="s">
        <v>22</v>
      </c>
      <c r="C230" s="1" t="s">
        <v>23</v>
      </c>
      <c r="D230" s="1">
        <v>49.0</v>
      </c>
      <c r="E230" s="1">
        <v>50.0</v>
      </c>
      <c r="F230" s="1">
        <v>5.0</v>
      </c>
      <c r="H230" s="1" t="s">
        <v>24</v>
      </c>
      <c r="I230" s="2">
        <v>45784.0</v>
      </c>
      <c r="J230" s="1">
        <v>350000.0</v>
      </c>
      <c r="K230" s="2">
        <v>45778.0</v>
      </c>
    </row>
    <row r="231">
      <c r="A231" s="1" t="s">
        <v>60</v>
      </c>
      <c r="B231" s="1" t="s">
        <v>61</v>
      </c>
      <c r="C231" s="1" t="s">
        <v>17</v>
      </c>
      <c r="D231" s="1">
        <v>22.0</v>
      </c>
      <c r="E231" s="1">
        <v>20.0</v>
      </c>
      <c r="F231" s="1">
        <v>4.0</v>
      </c>
      <c r="G231" s="1">
        <v>8.0</v>
      </c>
      <c r="H231" s="1" t="s">
        <v>27</v>
      </c>
      <c r="I231" s="2">
        <v>46103.0</v>
      </c>
      <c r="J231" s="1">
        <v>3200000.0</v>
      </c>
      <c r="K231" s="2">
        <v>46082.0</v>
      </c>
    </row>
    <row r="232">
      <c r="A232" s="1" t="s">
        <v>55</v>
      </c>
      <c r="B232" s="1" t="s">
        <v>56</v>
      </c>
      <c r="C232" s="1" t="s">
        <v>36</v>
      </c>
      <c r="D232" s="1">
        <v>58.0</v>
      </c>
      <c r="E232" s="1">
        <v>100.0</v>
      </c>
      <c r="F232" s="1">
        <v>14.0</v>
      </c>
      <c r="G232" s="1">
        <v>3.0</v>
      </c>
      <c r="H232" s="1" t="s">
        <v>37</v>
      </c>
      <c r="I232" s="2">
        <v>45951.0</v>
      </c>
      <c r="J232" s="1">
        <v>85000.0</v>
      </c>
      <c r="K232" s="2">
        <v>45931.0</v>
      </c>
    </row>
    <row r="233">
      <c r="A233" s="1" t="s">
        <v>40</v>
      </c>
      <c r="B233" s="1" t="s">
        <v>41</v>
      </c>
      <c r="C233" s="1" t="s">
        <v>42</v>
      </c>
      <c r="D233" s="1">
        <v>14.0</v>
      </c>
      <c r="E233" s="1">
        <v>15.0</v>
      </c>
      <c r="F233" s="1">
        <v>2.0</v>
      </c>
      <c r="G233" s="1">
        <v>5.0</v>
      </c>
      <c r="H233" s="1" t="s">
        <v>43</v>
      </c>
      <c r="I233" s="2">
        <v>45858.0</v>
      </c>
      <c r="J233" s="1">
        <v>1200000.0</v>
      </c>
      <c r="K233" s="2">
        <v>45839.0</v>
      </c>
    </row>
    <row r="234">
      <c r="A234" s="1" t="s">
        <v>60</v>
      </c>
      <c r="B234" s="1" t="s">
        <v>61</v>
      </c>
      <c r="C234" s="1" t="s">
        <v>17</v>
      </c>
      <c r="D234" s="1">
        <v>0.0</v>
      </c>
      <c r="E234" s="1">
        <v>20.0</v>
      </c>
      <c r="F234" s="1">
        <v>4.0</v>
      </c>
      <c r="G234" s="1">
        <v>17.0</v>
      </c>
      <c r="H234" s="1" t="s">
        <v>27</v>
      </c>
      <c r="I234" s="2">
        <v>45964.0</v>
      </c>
      <c r="J234" s="1">
        <v>3200000.0</v>
      </c>
      <c r="K234" s="2">
        <v>45962.0</v>
      </c>
    </row>
    <row r="235">
      <c r="A235" s="1" t="s">
        <v>64</v>
      </c>
      <c r="B235" s="1" t="s">
        <v>65</v>
      </c>
      <c r="C235" s="1" t="s">
        <v>42</v>
      </c>
      <c r="D235" s="1">
        <v>26.0</v>
      </c>
      <c r="E235" s="1">
        <v>20.0</v>
      </c>
      <c r="F235" s="1">
        <v>2.0</v>
      </c>
      <c r="G235" s="1">
        <v>10.0</v>
      </c>
      <c r="H235" s="1" t="s">
        <v>59</v>
      </c>
      <c r="I235" s="2">
        <v>45762.0</v>
      </c>
      <c r="J235" s="1">
        <v>750000.0</v>
      </c>
      <c r="K235" s="2">
        <v>45748.0</v>
      </c>
    </row>
    <row r="236">
      <c r="A236" s="1" t="s">
        <v>48</v>
      </c>
      <c r="B236" s="1" t="s">
        <v>49</v>
      </c>
      <c r="C236" s="1" t="s">
        <v>36</v>
      </c>
      <c r="D236" s="1">
        <v>12.0</v>
      </c>
      <c r="E236" s="1">
        <v>120.0</v>
      </c>
      <c r="F236" s="1">
        <v>21.0</v>
      </c>
      <c r="G236" s="1">
        <v>5.0</v>
      </c>
      <c r="H236" s="1" t="s">
        <v>50</v>
      </c>
      <c r="I236" s="2">
        <v>45706.0</v>
      </c>
      <c r="J236" s="1">
        <v>55000.0</v>
      </c>
      <c r="K236" s="2">
        <v>45689.0</v>
      </c>
    </row>
    <row r="237">
      <c r="A237" s="1" t="s">
        <v>53</v>
      </c>
      <c r="B237" s="1" t="s">
        <v>54</v>
      </c>
      <c r="C237" s="1" t="s">
        <v>13</v>
      </c>
      <c r="D237" s="1">
        <v>292.0</v>
      </c>
      <c r="E237" s="1">
        <v>60.0</v>
      </c>
      <c r="F237" s="1">
        <v>3.0</v>
      </c>
      <c r="G237" s="1">
        <v>8.0</v>
      </c>
      <c r="H237" s="1" t="s">
        <v>14</v>
      </c>
      <c r="I237" s="2">
        <v>45869.0</v>
      </c>
      <c r="J237" s="1">
        <v>165000.0</v>
      </c>
      <c r="K237" s="2">
        <v>45839.0</v>
      </c>
    </row>
    <row r="238">
      <c r="A238" s="1" t="s">
        <v>40</v>
      </c>
      <c r="B238" s="1" t="s">
        <v>41</v>
      </c>
      <c r="C238" s="1" t="s">
        <v>42</v>
      </c>
      <c r="D238" s="1">
        <v>18.0</v>
      </c>
      <c r="E238" s="1">
        <v>15.0</v>
      </c>
      <c r="F238" s="1">
        <v>3.0</v>
      </c>
      <c r="G238" s="1">
        <v>5.0</v>
      </c>
      <c r="H238" s="1" t="s">
        <v>43</v>
      </c>
      <c r="I238" s="2">
        <v>45774.0</v>
      </c>
      <c r="J238" s="1">
        <v>1200000.0</v>
      </c>
      <c r="K238" s="2">
        <v>45748.0</v>
      </c>
    </row>
    <row r="239">
      <c r="A239" s="1" t="s">
        <v>25</v>
      </c>
      <c r="B239" s="1" t="s">
        <v>26</v>
      </c>
      <c r="C239" s="1" t="s">
        <v>17</v>
      </c>
      <c r="D239" s="1">
        <v>29.0</v>
      </c>
      <c r="E239" s="1">
        <v>25.0</v>
      </c>
      <c r="F239" s="1">
        <v>4.0</v>
      </c>
      <c r="G239" s="1">
        <v>11.0</v>
      </c>
      <c r="H239" s="1" t="s">
        <v>27</v>
      </c>
      <c r="I239" s="2">
        <v>45917.0</v>
      </c>
      <c r="J239" s="1">
        <v>4500000.0</v>
      </c>
      <c r="K239" s="2">
        <v>45901.0</v>
      </c>
    </row>
    <row r="240">
      <c r="A240" s="1" t="s">
        <v>48</v>
      </c>
      <c r="B240" s="1" t="s">
        <v>49</v>
      </c>
      <c r="C240" s="1" t="s">
        <v>36</v>
      </c>
      <c r="D240" s="1">
        <v>68.0</v>
      </c>
      <c r="E240" s="1">
        <v>120.0</v>
      </c>
      <c r="F240" s="1">
        <v>16.0</v>
      </c>
      <c r="G240" s="1">
        <v>6.0</v>
      </c>
      <c r="H240" s="1" t="s">
        <v>50</v>
      </c>
      <c r="I240" s="2">
        <v>45672.0</v>
      </c>
      <c r="J240" s="1">
        <v>55000.0</v>
      </c>
      <c r="K240" s="2">
        <v>45658.0</v>
      </c>
    </row>
    <row r="241">
      <c r="A241" s="1" t="s">
        <v>46</v>
      </c>
      <c r="B241" s="1" t="s">
        <v>47</v>
      </c>
      <c r="C241" s="1" t="s">
        <v>23</v>
      </c>
      <c r="D241" s="1">
        <v>35.0</v>
      </c>
      <c r="E241" s="1">
        <v>40.0</v>
      </c>
      <c r="F241" s="1">
        <v>4.0</v>
      </c>
      <c r="G241" s="1">
        <v>5.0</v>
      </c>
      <c r="H241" s="1" t="s">
        <v>30</v>
      </c>
      <c r="I241" s="2">
        <v>46161.0</v>
      </c>
      <c r="J241" s="1">
        <v>550000.0</v>
      </c>
      <c r="K241" s="2">
        <v>45809.0</v>
      </c>
    </row>
    <row r="242">
      <c r="A242" s="1" t="s">
        <v>38</v>
      </c>
      <c r="B242" s="1" t="s">
        <v>39</v>
      </c>
      <c r="C242" s="1" t="s">
        <v>23</v>
      </c>
      <c r="D242" s="1">
        <v>15.0</v>
      </c>
      <c r="E242" s="1">
        <v>45.0</v>
      </c>
      <c r="F242" s="1">
        <v>7.0</v>
      </c>
      <c r="G242" s="1">
        <v>4.0</v>
      </c>
      <c r="H242" s="1" t="s">
        <v>24</v>
      </c>
      <c r="I242" s="2">
        <v>45856.0</v>
      </c>
      <c r="J242" s="1">
        <v>450000.0</v>
      </c>
      <c r="K242" s="2">
        <v>45839.0</v>
      </c>
    </row>
    <row r="243">
      <c r="A243" s="1" t="s">
        <v>11</v>
      </c>
      <c r="B243" s="1" t="s">
        <v>12</v>
      </c>
      <c r="C243" s="1" t="s">
        <v>13</v>
      </c>
      <c r="D243" s="1">
        <v>172.0</v>
      </c>
      <c r="E243" s="1">
        <v>50.0</v>
      </c>
      <c r="F243" s="1">
        <v>2.0</v>
      </c>
      <c r="G243" s="1">
        <v>6.0</v>
      </c>
      <c r="H243" s="1" t="s">
        <v>14</v>
      </c>
      <c r="I243" s="2">
        <v>46018.0</v>
      </c>
      <c r="J243" s="1">
        <v>125000.0</v>
      </c>
      <c r="K243" s="2">
        <v>45992.0</v>
      </c>
    </row>
    <row r="244">
      <c r="A244" s="1" t="s">
        <v>62</v>
      </c>
      <c r="B244" s="1" t="s">
        <v>63</v>
      </c>
      <c r="C244" s="1" t="s">
        <v>13</v>
      </c>
      <c r="D244" s="1">
        <v>392.0</v>
      </c>
      <c r="E244" s="1">
        <v>80.0</v>
      </c>
      <c r="F244" s="1">
        <v>3.0</v>
      </c>
      <c r="G244" s="1">
        <v>6.0</v>
      </c>
      <c r="H244" s="1" t="s">
        <v>33</v>
      </c>
      <c r="I244" s="2">
        <v>46030.0</v>
      </c>
      <c r="J244" s="1">
        <v>85000.0</v>
      </c>
      <c r="K244" s="2">
        <v>46023.0</v>
      </c>
    </row>
    <row r="245">
      <c r="A245" s="1" t="s">
        <v>53</v>
      </c>
      <c r="B245" s="1" t="s">
        <v>54</v>
      </c>
      <c r="C245" s="1" t="s">
        <v>13</v>
      </c>
      <c r="D245" s="1">
        <v>205.0</v>
      </c>
      <c r="E245" s="1">
        <v>60.0</v>
      </c>
      <c r="F245" s="1">
        <v>4.0</v>
      </c>
      <c r="G245" s="1">
        <v>7.0</v>
      </c>
      <c r="H245" s="1" t="s">
        <v>14</v>
      </c>
      <c r="I245" s="2">
        <v>45739.0</v>
      </c>
      <c r="J245" s="1">
        <v>165000.0</v>
      </c>
      <c r="K245" s="2">
        <v>45717.0</v>
      </c>
    </row>
    <row r="246">
      <c r="A246" s="1" t="s">
        <v>60</v>
      </c>
      <c r="B246" s="1" t="s">
        <v>61</v>
      </c>
      <c r="C246" s="1" t="s">
        <v>17</v>
      </c>
      <c r="D246" s="1">
        <v>7.0</v>
      </c>
      <c r="E246" s="1">
        <v>20.0</v>
      </c>
      <c r="F246" s="1">
        <v>2.0</v>
      </c>
      <c r="G246" s="1">
        <v>7.0</v>
      </c>
      <c r="H246" s="1" t="s">
        <v>27</v>
      </c>
      <c r="I246" s="2">
        <v>45933.0</v>
      </c>
      <c r="J246" s="1">
        <v>3200000.0</v>
      </c>
      <c r="K246" s="2">
        <v>45931.0</v>
      </c>
    </row>
    <row r="247">
      <c r="A247" s="1" t="s">
        <v>55</v>
      </c>
      <c r="B247" s="1" t="s">
        <v>56</v>
      </c>
      <c r="C247" s="1" t="s">
        <v>36</v>
      </c>
      <c r="D247" s="1">
        <v>60.0</v>
      </c>
      <c r="E247" s="1">
        <v>100.0</v>
      </c>
      <c r="F247" s="1">
        <v>22.0</v>
      </c>
      <c r="G247" s="1">
        <v>5.0</v>
      </c>
      <c r="H247" s="1" t="s">
        <v>37</v>
      </c>
      <c r="I247" s="2">
        <v>46109.0</v>
      </c>
      <c r="J247" s="1">
        <v>85000.0</v>
      </c>
      <c r="K247" s="2">
        <v>46082.0</v>
      </c>
    </row>
    <row r="248">
      <c r="A248" s="1" t="s">
        <v>11</v>
      </c>
      <c r="B248" s="1" t="s">
        <v>12</v>
      </c>
      <c r="C248" s="1" t="s">
        <v>13</v>
      </c>
      <c r="D248" s="1">
        <v>230.0</v>
      </c>
      <c r="E248" s="1">
        <v>50.0</v>
      </c>
      <c r="F248" s="1">
        <v>1.0</v>
      </c>
      <c r="G248" s="1">
        <v>4.0</v>
      </c>
      <c r="H248" s="1" t="s">
        <v>14</v>
      </c>
      <c r="I248" s="2">
        <v>45939.0</v>
      </c>
      <c r="J248" s="1">
        <v>125000.0</v>
      </c>
      <c r="K248" s="2">
        <v>45931.0</v>
      </c>
    </row>
    <row r="249">
      <c r="A249" s="1" t="s">
        <v>34</v>
      </c>
      <c r="B249" s="1" t="s">
        <v>35</v>
      </c>
      <c r="C249" s="1" t="s">
        <v>36</v>
      </c>
      <c r="D249" s="1">
        <v>0.0</v>
      </c>
      <c r="E249" s="1">
        <v>80.0</v>
      </c>
      <c r="F249" s="1">
        <v>17.0</v>
      </c>
      <c r="G249" s="1">
        <v>5.0</v>
      </c>
      <c r="H249" s="1" t="s">
        <v>37</v>
      </c>
      <c r="I249" s="2">
        <v>46012.0</v>
      </c>
      <c r="J249" s="1">
        <v>65000.0</v>
      </c>
      <c r="K249" s="2">
        <v>45992.0</v>
      </c>
    </row>
    <row r="250">
      <c r="A250" s="1" t="s">
        <v>62</v>
      </c>
      <c r="B250" s="1" t="s">
        <v>63</v>
      </c>
      <c r="C250" s="1" t="s">
        <v>13</v>
      </c>
      <c r="D250" s="1">
        <v>302.0</v>
      </c>
      <c r="E250" s="1">
        <v>80.0</v>
      </c>
      <c r="F250" s="1">
        <v>3.0</v>
      </c>
      <c r="G250" s="1">
        <v>5.0</v>
      </c>
      <c r="H250" s="1" t="s">
        <v>33</v>
      </c>
      <c r="I250" s="2">
        <v>45797.0</v>
      </c>
      <c r="J250" s="1">
        <v>85000.0</v>
      </c>
      <c r="K250" s="2">
        <v>45778.0</v>
      </c>
    </row>
    <row r="251">
      <c r="A251" s="1" t="s">
        <v>15</v>
      </c>
      <c r="B251" s="1" t="s">
        <v>16</v>
      </c>
      <c r="C251" s="1" t="s">
        <v>17</v>
      </c>
      <c r="D251" s="1">
        <v>9.0</v>
      </c>
      <c r="E251" s="1">
        <v>15.0</v>
      </c>
      <c r="F251" s="1">
        <v>1.0</v>
      </c>
      <c r="G251" s="1">
        <v>6.0</v>
      </c>
      <c r="H251" s="1" t="s">
        <v>18</v>
      </c>
      <c r="I251" s="2">
        <v>46109.0</v>
      </c>
      <c r="J251" s="1">
        <v>8500000.0</v>
      </c>
      <c r="K251" s="2">
        <v>46082.0</v>
      </c>
    </row>
    <row r="252">
      <c r="A252" s="1" t="s">
        <v>19</v>
      </c>
      <c r="B252" s="1" t="s">
        <v>20</v>
      </c>
      <c r="C252" s="1" t="s">
        <v>17</v>
      </c>
      <c r="D252" s="1">
        <v>26.0</v>
      </c>
      <c r="E252" s="1">
        <v>30.0</v>
      </c>
      <c r="F252" s="1">
        <v>2.0</v>
      </c>
      <c r="G252" s="1">
        <v>9.0</v>
      </c>
      <c r="H252" s="1" t="s">
        <v>18</v>
      </c>
      <c r="I252" s="2">
        <v>45731.0</v>
      </c>
      <c r="J252" s="1">
        <v>1200000.0</v>
      </c>
      <c r="K252" s="2">
        <v>45717.0</v>
      </c>
    </row>
    <row r="253">
      <c r="A253" s="1" t="s">
        <v>28</v>
      </c>
      <c r="B253" s="1" t="s">
        <v>29</v>
      </c>
      <c r="C253" s="1" t="s">
        <v>23</v>
      </c>
      <c r="D253" s="1">
        <v>20.0</v>
      </c>
      <c r="E253" s="1">
        <v>35.0</v>
      </c>
      <c r="F253" s="1">
        <v>5.0</v>
      </c>
      <c r="G253" s="1">
        <v>8.0</v>
      </c>
      <c r="H253" s="1" t="s">
        <v>30</v>
      </c>
      <c r="I253" s="2">
        <v>45784.0</v>
      </c>
      <c r="J253" s="1">
        <v>1250000.0</v>
      </c>
      <c r="K253" s="2">
        <v>45778.0</v>
      </c>
    </row>
    <row r="254">
      <c r="A254" s="1" t="s">
        <v>51</v>
      </c>
      <c r="B254" s="1" t="s">
        <v>52</v>
      </c>
      <c r="C254" s="1" t="s">
        <v>36</v>
      </c>
      <c r="D254" s="1">
        <v>15.0</v>
      </c>
      <c r="E254" s="1">
        <v>60.0</v>
      </c>
      <c r="F254" s="1">
        <v>7.0</v>
      </c>
      <c r="G254" s="1">
        <v>5.0</v>
      </c>
      <c r="H254" s="1" t="s">
        <v>50</v>
      </c>
      <c r="I254" s="2">
        <v>45827.0</v>
      </c>
      <c r="J254" s="1">
        <v>175000.0</v>
      </c>
      <c r="K254" s="2">
        <v>45809.0</v>
      </c>
    </row>
    <row r="255" hidden="1">
      <c r="A255" s="1" t="s">
        <v>11</v>
      </c>
      <c r="B255" s="1" t="s">
        <v>12</v>
      </c>
      <c r="C255" s="1" t="s">
        <v>13</v>
      </c>
      <c r="D255" s="1">
        <v>-15.0</v>
      </c>
      <c r="E255" s="1">
        <v>50.0</v>
      </c>
      <c r="F255" s="1">
        <v>3.0</v>
      </c>
      <c r="G255" s="1">
        <v>6.0</v>
      </c>
      <c r="H255" s="1" t="s">
        <v>14</v>
      </c>
      <c r="I255" s="2">
        <v>45734.0</v>
      </c>
      <c r="J255" s="1">
        <v>125000.0</v>
      </c>
      <c r="K255" s="2">
        <v>45717.0</v>
      </c>
    </row>
    <row r="256">
      <c r="A256" s="1" t="s">
        <v>51</v>
      </c>
      <c r="B256" s="1" t="s">
        <v>52</v>
      </c>
      <c r="C256" s="1" t="s">
        <v>36</v>
      </c>
      <c r="D256" s="1">
        <v>0.0</v>
      </c>
      <c r="E256" s="1">
        <v>60.0</v>
      </c>
      <c r="F256" s="1">
        <v>11.0</v>
      </c>
      <c r="G256" s="1">
        <v>5.0</v>
      </c>
      <c r="H256" s="1" t="s">
        <v>50</v>
      </c>
      <c r="I256" s="2">
        <v>46083.0</v>
      </c>
      <c r="J256" s="1">
        <v>175000.0</v>
      </c>
      <c r="K256" s="2">
        <v>46082.0</v>
      </c>
    </row>
    <row r="257">
      <c r="A257" s="1" t="s">
        <v>62</v>
      </c>
      <c r="B257" s="1" t="s">
        <v>63</v>
      </c>
      <c r="C257" s="1" t="s">
        <v>13</v>
      </c>
      <c r="D257" s="1">
        <v>386.0</v>
      </c>
      <c r="E257" s="1">
        <v>80.0</v>
      </c>
      <c r="F257" s="1">
        <v>3.0</v>
      </c>
      <c r="G257" s="1">
        <v>6.0</v>
      </c>
      <c r="H257" s="1" t="s">
        <v>33</v>
      </c>
      <c r="I257" s="2">
        <v>45852.0</v>
      </c>
      <c r="J257" s="1">
        <v>85000.0</v>
      </c>
      <c r="K257" s="2">
        <v>45839.0</v>
      </c>
    </row>
    <row r="258">
      <c r="A258" s="1" t="s">
        <v>40</v>
      </c>
      <c r="B258" s="1" t="s">
        <v>41</v>
      </c>
      <c r="C258" s="1" t="s">
        <v>42</v>
      </c>
      <c r="D258" s="1">
        <v>9.0</v>
      </c>
      <c r="E258" s="1">
        <v>15.0</v>
      </c>
      <c r="F258" s="1">
        <v>1.0</v>
      </c>
      <c r="G258" s="1">
        <v>8.0</v>
      </c>
      <c r="H258" s="1" t="s">
        <v>43</v>
      </c>
      <c r="I258" s="2">
        <v>46014.0</v>
      </c>
      <c r="J258" s="1">
        <v>1200000.0</v>
      </c>
      <c r="K258" s="2">
        <v>45992.0</v>
      </c>
    </row>
    <row r="259">
      <c r="A259" s="1" t="s">
        <v>60</v>
      </c>
      <c r="B259" s="1" t="s">
        <v>61</v>
      </c>
      <c r="C259" s="1" t="s">
        <v>17</v>
      </c>
      <c r="D259" s="1">
        <v>27.0</v>
      </c>
      <c r="E259" s="1">
        <v>20.0</v>
      </c>
      <c r="F259" s="1">
        <v>2.0</v>
      </c>
      <c r="G259" s="1">
        <v>13.0</v>
      </c>
      <c r="H259" s="1" t="s">
        <v>27</v>
      </c>
      <c r="I259" s="2">
        <v>46057.0</v>
      </c>
      <c r="J259" s="1">
        <v>3200000.0</v>
      </c>
      <c r="K259" s="2">
        <v>46054.0</v>
      </c>
    </row>
    <row r="260">
      <c r="A260" s="1" t="s">
        <v>53</v>
      </c>
      <c r="B260" s="1" t="s">
        <v>54</v>
      </c>
      <c r="C260" s="1" t="s">
        <v>13</v>
      </c>
      <c r="D260" s="1">
        <v>292.0</v>
      </c>
      <c r="E260" s="1">
        <v>60.0</v>
      </c>
      <c r="F260" s="1">
        <v>3.0</v>
      </c>
      <c r="G260" s="1">
        <v>6.0</v>
      </c>
      <c r="H260" s="1" t="s">
        <v>14</v>
      </c>
      <c r="I260" s="2">
        <v>45888.0</v>
      </c>
      <c r="J260" s="1">
        <v>165000.0</v>
      </c>
      <c r="K260" s="2">
        <v>45870.0</v>
      </c>
    </row>
    <row r="261">
      <c r="A261" s="1" t="s">
        <v>31</v>
      </c>
      <c r="B261" s="1" t="s">
        <v>32</v>
      </c>
      <c r="C261" s="1" t="s">
        <v>13</v>
      </c>
      <c r="D261" s="1">
        <v>186.0</v>
      </c>
      <c r="E261" s="1">
        <v>40.0</v>
      </c>
      <c r="F261" s="1">
        <v>2.0</v>
      </c>
      <c r="G261" s="1">
        <v>4.0</v>
      </c>
      <c r="H261" s="1" t="s">
        <v>33</v>
      </c>
      <c r="I261" s="2">
        <v>45971.0</v>
      </c>
      <c r="J261" s="1">
        <v>550000.0</v>
      </c>
      <c r="K261" s="2">
        <v>45962.0</v>
      </c>
    </row>
    <row r="262">
      <c r="A262" s="1" t="s">
        <v>34</v>
      </c>
      <c r="B262" s="1" t="s">
        <v>35</v>
      </c>
      <c r="C262" s="1" t="s">
        <v>36</v>
      </c>
      <c r="D262" s="1">
        <v>35.0</v>
      </c>
      <c r="E262" s="1">
        <v>80.0</v>
      </c>
      <c r="F262" s="1">
        <v>13.0</v>
      </c>
      <c r="G262" s="1">
        <v>4.0</v>
      </c>
      <c r="H262" s="1" t="s">
        <v>37</v>
      </c>
      <c r="I262" s="2">
        <v>45800.0</v>
      </c>
      <c r="J262" s="1">
        <v>65000.0</v>
      </c>
      <c r="K262" s="2">
        <v>45778.0</v>
      </c>
    </row>
    <row r="263">
      <c r="A263" s="1" t="s">
        <v>46</v>
      </c>
      <c r="B263" s="1" t="s">
        <v>47</v>
      </c>
      <c r="C263" s="1" t="s">
        <v>23</v>
      </c>
      <c r="D263" s="1">
        <v>14.0</v>
      </c>
      <c r="E263" s="1">
        <v>40.0</v>
      </c>
      <c r="F263" s="1">
        <v>4.0</v>
      </c>
      <c r="G263" s="1">
        <v>8.0</v>
      </c>
      <c r="H263" s="1" t="s">
        <v>30</v>
      </c>
      <c r="I263" s="2">
        <v>45687.0</v>
      </c>
      <c r="J263" s="1">
        <v>550000.0</v>
      </c>
      <c r="K263" s="2">
        <v>45658.0</v>
      </c>
    </row>
    <row r="264">
      <c r="A264" s="1" t="s">
        <v>19</v>
      </c>
      <c r="B264" s="1" t="s">
        <v>20</v>
      </c>
      <c r="C264" s="1" t="s">
        <v>17</v>
      </c>
      <c r="D264" s="1">
        <v>31.0</v>
      </c>
      <c r="E264" s="1">
        <v>30.0</v>
      </c>
      <c r="F264" s="1">
        <v>3.0</v>
      </c>
      <c r="G264" s="1">
        <v>8.0</v>
      </c>
      <c r="H264" s="1" t="s">
        <v>18</v>
      </c>
      <c r="I264" s="2">
        <v>45929.0</v>
      </c>
      <c r="J264" s="1">
        <v>1200000.0</v>
      </c>
      <c r="K264" s="2">
        <v>45901.0</v>
      </c>
    </row>
    <row r="265">
      <c r="A265" s="1" t="s">
        <v>15</v>
      </c>
      <c r="B265" s="1" t="s">
        <v>16</v>
      </c>
      <c r="C265" s="1" t="s">
        <v>17</v>
      </c>
      <c r="D265" s="1">
        <v>13.0</v>
      </c>
      <c r="E265" s="1">
        <v>15.0</v>
      </c>
      <c r="F265" s="1">
        <v>1.0</v>
      </c>
      <c r="G265" s="1">
        <v>5.0</v>
      </c>
      <c r="H265" s="1" t="s">
        <v>18</v>
      </c>
      <c r="I265" s="2">
        <v>45710.0</v>
      </c>
      <c r="J265" s="1">
        <v>8500000.0</v>
      </c>
      <c r="K265" s="2">
        <v>45689.0</v>
      </c>
    </row>
    <row r="266">
      <c r="A266" s="1" t="s">
        <v>19</v>
      </c>
      <c r="B266" s="1" t="s">
        <v>20</v>
      </c>
      <c r="C266" s="1" t="s">
        <v>17</v>
      </c>
      <c r="D266" s="1">
        <v>26.0</v>
      </c>
      <c r="E266" s="1">
        <v>30.0</v>
      </c>
      <c r="F266" s="1">
        <v>4.0</v>
      </c>
      <c r="G266" s="1">
        <v>8.0</v>
      </c>
      <c r="H266" s="1" t="s">
        <v>18</v>
      </c>
      <c r="I266" s="2">
        <v>45803.0</v>
      </c>
      <c r="J266" s="1">
        <v>1200000.0</v>
      </c>
      <c r="K266" s="2">
        <v>45778.0</v>
      </c>
    </row>
    <row r="267">
      <c r="A267" s="1" t="s">
        <v>38</v>
      </c>
      <c r="B267" s="1" t="s">
        <v>39</v>
      </c>
      <c r="C267" s="1" t="s">
        <v>23</v>
      </c>
      <c r="D267" s="1">
        <v>36.0</v>
      </c>
      <c r="E267" s="1">
        <v>45.0</v>
      </c>
      <c r="F267" s="1">
        <v>4.0</v>
      </c>
      <c r="G267" s="1">
        <v>3.0</v>
      </c>
      <c r="H267" s="1" t="s">
        <v>24</v>
      </c>
      <c r="I267" s="2">
        <v>45812.0</v>
      </c>
      <c r="J267" s="1">
        <v>450000.0</v>
      </c>
      <c r="K267" s="2">
        <v>45809.0</v>
      </c>
    </row>
    <row r="268">
      <c r="A268" s="1" t="s">
        <v>62</v>
      </c>
      <c r="B268" s="1" t="s">
        <v>63</v>
      </c>
      <c r="C268" s="1" t="s">
        <v>13</v>
      </c>
      <c r="D268" s="1">
        <v>264.0</v>
      </c>
      <c r="E268" s="1">
        <v>80.0</v>
      </c>
      <c r="F268" s="1">
        <v>3.0</v>
      </c>
      <c r="G268" s="1">
        <v>5.0</v>
      </c>
      <c r="H268" s="1" t="s">
        <v>33</v>
      </c>
      <c r="I268" s="2">
        <v>45984.0</v>
      </c>
      <c r="J268" s="1">
        <v>85000.0</v>
      </c>
      <c r="K268" s="2">
        <v>45962.0</v>
      </c>
    </row>
    <row r="269">
      <c r="A269" s="1" t="s">
        <v>60</v>
      </c>
      <c r="B269" s="1" t="s">
        <v>61</v>
      </c>
      <c r="C269" s="1" t="s">
        <v>17</v>
      </c>
      <c r="D269" s="1">
        <v>38.0</v>
      </c>
      <c r="E269" s="1">
        <v>20.0</v>
      </c>
      <c r="F269" s="1">
        <v>2.0</v>
      </c>
      <c r="G269" s="1">
        <v>11.0</v>
      </c>
      <c r="H269" s="1" t="s">
        <v>27</v>
      </c>
      <c r="I269" s="2">
        <v>45782.0</v>
      </c>
      <c r="J269" s="1">
        <v>3200000.0</v>
      </c>
      <c r="K269" s="2">
        <v>45778.0</v>
      </c>
    </row>
    <row r="270">
      <c r="A270" s="1" t="s">
        <v>34</v>
      </c>
      <c r="B270" s="1" t="s">
        <v>35</v>
      </c>
      <c r="C270" s="1" t="s">
        <v>36</v>
      </c>
      <c r="D270" s="1">
        <v>46.0</v>
      </c>
      <c r="E270" s="1">
        <v>80.0</v>
      </c>
      <c r="F270" s="1">
        <v>13.0</v>
      </c>
      <c r="G270" s="1">
        <v>5.0</v>
      </c>
      <c r="H270" s="1" t="s">
        <v>37</v>
      </c>
      <c r="I270" s="2">
        <v>45924.0</v>
      </c>
      <c r="J270" s="1">
        <v>65000.0</v>
      </c>
      <c r="K270" s="2">
        <v>45901.0</v>
      </c>
    </row>
    <row r="271">
      <c r="A271" s="1" t="s">
        <v>28</v>
      </c>
      <c r="B271" s="1" t="s">
        <v>29</v>
      </c>
      <c r="C271" s="1" t="s">
        <v>23</v>
      </c>
      <c r="D271" s="1">
        <v>27.0</v>
      </c>
      <c r="E271" s="1">
        <v>35.0</v>
      </c>
      <c r="F271" s="1">
        <v>5.0</v>
      </c>
      <c r="G271" s="1">
        <v>3.0</v>
      </c>
      <c r="H271" s="1" t="s">
        <v>30</v>
      </c>
      <c r="I271" s="2">
        <v>45701.0</v>
      </c>
      <c r="J271" s="1">
        <v>1250000.0</v>
      </c>
      <c r="K271" s="2">
        <v>45689.0</v>
      </c>
    </row>
    <row r="272">
      <c r="A272" s="1" t="s">
        <v>19</v>
      </c>
      <c r="B272" s="1" t="s">
        <v>20</v>
      </c>
      <c r="C272" s="1" t="s">
        <v>17</v>
      </c>
      <c r="D272" s="1">
        <v>44.0</v>
      </c>
      <c r="E272" s="1">
        <v>30.0</v>
      </c>
      <c r="F272" s="1">
        <v>4.0</v>
      </c>
      <c r="G272" s="1">
        <v>8.0</v>
      </c>
      <c r="H272" s="1" t="s">
        <v>18</v>
      </c>
      <c r="I272" s="2">
        <v>45885.0</v>
      </c>
      <c r="J272" s="1">
        <v>1200000.0</v>
      </c>
      <c r="K272" s="2">
        <v>45870.0</v>
      </c>
    </row>
    <row r="273">
      <c r="A273" s="1" t="s">
        <v>34</v>
      </c>
      <c r="B273" s="1" t="s">
        <v>35</v>
      </c>
      <c r="C273" s="1" t="s">
        <v>36</v>
      </c>
      <c r="D273" s="1">
        <v>34.0</v>
      </c>
      <c r="E273" s="1">
        <v>80.0</v>
      </c>
      <c r="F273" s="1">
        <v>9.0</v>
      </c>
      <c r="G273" s="1">
        <v>3.0</v>
      </c>
      <c r="H273" s="1" t="s">
        <v>37</v>
      </c>
      <c r="I273" s="2">
        <v>45950.0</v>
      </c>
      <c r="J273" s="1">
        <v>65000.0</v>
      </c>
      <c r="K273" s="2">
        <v>45931.0</v>
      </c>
    </row>
    <row r="274">
      <c r="A274" s="1" t="s">
        <v>55</v>
      </c>
      <c r="B274" s="1" t="s">
        <v>56</v>
      </c>
      <c r="C274" s="1" t="s">
        <v>36</v>
      </c>
      <c r="D274" s="1">
        <v>145.0</v>
      </c>
      <c r="E274" s="1">
        <v>100.0</v>
      </c>
      <c r="F274" s="1">
        <v>17.0</v>
      </c>
      <c r="G274" s="1">
        <v>4.0</v>
      </c>
      <c r="H274" s="1" t="s">
        <v>37</v>
      </c>
      <c r="I274" s="2">
        <v>45711.0</v>
      </c>
      <c r="J274" s="1">
        <v>85000.0</v>
      </c>
      <c r="K274" s="2">
        <v>45689.0</v>
      </c>
    </row>
    <row r="275">
      <c r="A275" s="1" t="s">
        <v>15</v>
      </c>
      <c r="B275" s="1" t="s">
        <v>16</v>
      </c>
      <c r="C275" s="1" t="s">
        <v>17</v>
      </c>
      <c r="D275" s="1">
        <v>15.0</v>
      </c>
      <c r="E275" s="1">
        <v>15.0</v>
      </c>
      <c r="F275" s="1">
        <v>1.0</v>
      </c>
      <c r="G275" s="1">
        <v>5.0</v>
      </c>
      <c r="H275" s="1" t="s">
        <v>18</v>
      </c>
      <c r="I275" s="2">
        <v>46055.0</v>
      </c>
      <c r="J275" s="1">
        <v>8500000.0</v>
      </c>
      <c r="K275" s="2">
        <v>46054.0</v>
      </c>
    </row>
    <row r="276">
      <c r="A276" s="1" t="s">
        <v>38</v>
      </c>
      <c r="B276" s="1" t="s">
        <v>39</v>
      </c>
      <c r="C276" s="1" t="s">
        <v>23</v>
      </c>
      <c r="D276" s="1">
        <v>12.0</v>
      </c>
      <c r="E276" s="1">
        <v>45.0</v>
      </c>
      <c r="F276" s="1">
        <v>8.0</v>
      </c>
      <c r="G276" s="1">
        <v>6.0</v>
      </c>
      <c r="H276" s="1" t="s">
        <v>24</v>
      </c>
      <c r="I276" s="2">
        <v>46054.0</v>
      </c>
      <c r="J276" s="1">
        <v>450000.0</v>
      </c>
      <c r="K276" s="2">
        <v>46054.0</v>
      </c>
    </row>
    <row r="277">
      <c r="A277" s="1" t="s">
        <v>51</v>
      </c>
      <c r="B277" s="1" t="s">
        <v>52</v>
      </c>
      <c r="C277" s="1" t="s">
        <v>36</v>
      </c>
      <c r="D277" s="1">
        <v>19.0</v>
      </c>
      <c r="E277" s="1">
        <v>60.0</v>
      </c>
      <c r="F277" s="1">
        <v>6.0</v>
      </c>
      <c r="G277" s="1">
        <v>6.0</v>
      </c>
      <c r="H277" s="1" t="s">
        <v>50</v>
      </c>
      <c r="I277" s="2">
        <v>45775.0</v>
      </c>
      <c r="J277" s="1">
        <v>175000.0</v>
      </c>
      <c r="K277" s="2">
        <v>45748.0</v>
      </c>
    </row>
    <row r="278">
      <c r="A278" s="1" t="s">
        <v>44</v>
      </c>
      <c r="B278" s="1" t="s">
        <v>45</v>
      </c>
      <c r="C278" s="1" t="s">
        <v>42</v>
      </c>
      <c r="D278" s="1">
        <v>22.0</v>
      </c>
      <c r="E278" s="1">
        <v>30.0</v>
      </c>
      <c r="F278" s="1">
        <v>6.0</v>
      </c>
      <c r="H278" s="1" t="s">
        <v>43</v>
      </c>
      <c r="I278" s="2">
        <v>45702.0</v>
      </c>
      <c r="J278" s="1">
        <v>350000.0</v>
      </c>
      <c r="K278" s="2">
        <v>45689.0</v>
      </c>
    </row>
    <row r="279">
      <c r="A279" s="1" t="s">
        <v>44</v>
      </c>
      <c r="B279" s="1" t="s">
        <v>45</v>
      </c>
      <c r="C279" s="1" t="s">
        <v>42</v>
      </c>
      <c r="D279" s="1">
        <v>59.0</v>
      </c>
      <c r="E279" s="1">
        <v>30.0</v>
      </c>
      <c r="F279" s="1">
        <v>3.0</v>
      </c>
      <c r="G279" s="1">
        <v>6.0</v>
      </c>
      <c r="H279" s="1" t="s">
        <v>43</v>
      </c>
      <c r="I279" s="2">
        <v>45880.0</v>
      </c>
      <c r="J279" s="1">
        <v>350000.0</v>
      </c>
      <c r="K279" s="2">
        <v>45870.0</v>
      </c>
    </row>
    <row r="280">
      <c r="A280" s="1" t="s">
        <v>64</v>
      </c>
      <c r="B280" s="1" t="s">
        <v>65</v>
      </c>
      <c r="C280" s="1" t="s">
        <v>42</v>
      </c>
      <c r="D280" s="1">
        <v>41.0</v>
      </c>
      <c r="E280" s="1">
        <v>20.0</v>
      </c>
      <c r="F280" s="1">
        <v>3.0</v>
      </c>
      <c r="G280" s="1">
        <v>9.0</v>
      </c>
      <c r="H280" s="1" t="s">
        <v>59</v>
      </c>
      <c r="I280" s="2">
        <v>46092.0</v>
      </c>
      <c r="J280" s="1">
        <v>750000.0</v>
      </c>
      <c r="K280" s="2">
        <v>46082.0</v>
      </c>
    </row>
    <row r="281">
      <c r="A281" s="1" t="s">
        <v>48</v>
      </c>
      <c r="B281" s="1" t="s">
        <v>49</v>
      </c>
      <c r="C281" s="1" t="s">
        <v>36</v>
      </c>
      <c r="D281" s="1">
        <v>121.0</v>
      </c>
      <c r="E281" s="1">
        <v>120.0</v>
      </c>
      <c r="F281" s="1">
        <v>27.0</v>
      </c>
      <c r="H281" s="1" t="s">
        <v>50</v>
      </c>
      <c r="I281" s="2">
        <v>46095.0</v>
      </c>
      <c r="J281" s="1">
        <v>55000.0</v>
      </c>
      <c r="K281" s="2">
        <v>46082.0</v>
      </c>
    </row>
    <row r="282">
      <c r="A282" s="1" t="s">
        <v>55</v>
      </c>
      <c r="B282" s="1" t="s">
        <v>56</v>
      </c>
      <c r="C282" s="1" t="s">
        <v>36</v>
      </c>
      <c r="D282" s="1">
        <v>125.0</v>
      </c>
      <c r="E282" s="1">
        <v>100.0</v>
      </c>
      <c r="F282" s="1">
        <v>14.0</v>
      </c>
      <c r="G282" s="1">
        <v>4.0</v>
      </c>
      <c r="H282" s="1" t="s">
        <v>37</v>
      </c>
      <c r="I282" s="2">
        <v>45775.0</v>
      </c>
      <c r="J282" s="1">
        <v>85000.0</v>
      </c>
      <c r="K282" s="2">
        <v>45748.0</v>
      </c>
    </row>
    <row r="283">
      <c r="A283" s="1" t="s">
        <v>19</v>
      </c>
      <c r="B283" s="1" t="s">
        <v>20</v>
      </c>
      <c r="C283" s="1" t="s">
        <v>17</v>
      </c>
      <c r="D283" s="1">
        <v>42.0</v>
      </c>
      <c r="E283" s="1">
        <v>30.0</v>
      </c>
      <c r="F283" s="1">
        <v>4.0</v>
      </c>
      <c r="G283" s="1">
        <v>7.0</v>
      </c>
      <c r="H283" s="1" t="s">
        <v>18</v>
      </c>
      <c r="I283" s="2">
        <v>45960.0</v>
      </c>
      <c r="J283" s="1">
        <v>1200000.0</v>
      </c>
      <c r="K283" s="2">
        <v>45931.0</v>
      </c>
    </row>
    <row r="284">
      <c r="A284" s="1" t="s">
        <v>19</v>
      </c>
      <c r="B284" s="1" t="s">
        <v>20</v>
      </c>
      <c r="C284" s="1" t="s">
        <v>17</v>
      </c>
      <c r="D284" s="1">
        <v>21.0</v>
      </c>
      <c r="E284" s="1">
        <v>30.0</v>
      </c>
      <c r="F284" s="1">
        <v>4.0</v>
      </c>
      <c r="G284" s="1">
        <v>9.0</v>
      </c>
      <c r="H284" s="1" t="s">
        <v>18</v>
      </c>
      <c r="I284" s="2">
        <v>46197.0</v>
      </c>
      <c r="J284" s="1">
        <v>1200000.0</v>
      </c>
      <c r="K284" s="2">
        <v>45809.0</v>
      </c>
    </row>
    <row r="285">
      <c r="A285" s="1" t="s">
        <v>44</v>
      </c>
      <c r="B285" s="1" t="s">
        <v>45</v>
      </c>
      <c r="C285" s="1" t="s">
        <v>42</v>
      </c>
      <c r="D285" s="1">
        <v>41.0</v>
      </c>
      <c r="E285" s="1">
        <v>30.0</v>
      </c>
      <c r="F285" s="1">
        <v>6.0</v>
      </c>
      <c r="G285" s="1">
        <v>10.0</v>
      </c>
      <c r="H285" s="1" t="s">
        <v>43</v>
      </c>
      <c r="I285" s="2">
        <v>45945.0</v>
      </c>
      <c r="J285" s="1">
        <v>350000.0</v>
      </c>
      <c r="K285" s="2">
        <v>45931.0</v>
      </c>
    </row>
    <row r="286">
      <c r="A286" s="1" t="s">
        <v>31</v>
      </c>
      <c r="B286" s="1" t="s">
        <v>32</v>
      </c>
      <c r="C286" s="1" t="s">
        <v>13</v>
      </c>
      <c r="D286" s="1">
        <v>172.0</v>
      </c>
      <c r="E286" s="1">
        <v>40.0</v>
      </c>
      <c r="F286" s="1">
        <v>2.0</v>
      </c>
      <c r="G286" s="1">
        <v>6.0</v>
      </c>
      <c r="H286" s="1" t="s">
        <v>33</v>
      </c>
      <c r="I286" s="2">
        <v>45955.0</v>
      </c>
      <c r="J286" s="1">
        <v>550000.0</v>
      </c>
      <c r="K286" s="2">
        <v>45931.0</v>
      </c>
    </row>
    <row r="287">
      <c r="A287" s="1" t="s">
        <v>46</v>
      </c>
      <c r="B287" s="1" t="s">
        <v>47</v>
      </c>
      <c r="C287" s="1" t="s">
        <v>23</v>
      </c>
      <c r="D287" s="1">
        <v>36.0</v>
      </c>
      <c r="E287" s="1">
        <v>40.0</v>
      </c>
      <c r="F287" s="1">
        <v>6.0</v>
      </c>
      <c r="G287" s="1">
        <v>4.0</v>
      </c>
      <c r="H287" s="1" t="s">
        <v>30</v>
      </c>
      <c r="I287" s="2">
        <v>46044.0</v>
      </c>
      <c r="J287" s="1">
        <v>550000.0</v>
      </c>
      <c r="K287" s="2">
        <v>46023.0</v>
      </c>
    </row>
    <row r="288">
      <c r="A288" s="1" t="s">
        <v>31</v>
      </c>
      <c r="B288" s="1" t="s">
        <v>32</v>
      </c>
      <c r="C288" s="1" t="s">
        <v>13</v>
      </c>
      <c r="D288" s="1">
        <v>160.0</v>
      </c>
      <c r="E288" s="1">
        <v>40.0</v>
      </c>
      <c r="F288" s="1">
        <v>3.0</v>
      </c>
      <c r="G288" s="1">
        <v>6.0</v>
      </c>
      <c r="H288" s="1" t="s">
        <v>33</v>
      </c>
      <c r="I288" s="2">
        <v>45887.0</v>
      </c>
      <c r="J288" s="1">
        <v>550000.0</v>
      </c>
      <c r="K288" s="2">
        <v>45870.0</v>
      </c>
    </row>
    <row r="289">
      <c r="A289" s="1" t="s">
        <v>44</v>
      </c>
      <c r="B289" s="1" t="s">
        <v>45</v>
      </c>
      <c r="C289" s="1" t="s">
        <v>42</v>
      </c>
      <c r="D289" s="1">
        <v>45.0</v>
      </c>
      <c r="E289" s="1">
        <v>30.0</v>
      </c>
      <c r="F289" s="1">
        <v>5.0</v>
      </c>
      <c r="G289" s="1">
        <v>5.0</v>
      </c>
      <c r="H289" s="1" t="s">
        <v>43</v>
      </c>
      <c r="I289" s="2">
        <v>45801.0</v>
      </c>
      <c r="J289" s="1">
        <v>350000.0</v>
      </c>
      <c r="K289" s="2">
        <v>45778.0</v>
      </c>
    </row>
    <row r="290">
      <c r="A290" s="1" t="s">
        <v>19</v>
      </c>
      <c r="B290" s="1" t="s">
        <v>20</v>
      </c>
      <c r="C290" s="1" t="s">
        <v>17</v>
      </c>
      <c r="D290" s="1">
        <v>52.0</v>
      </c>
      <c r="E290" s="1">
        <v>30.0</v>
      </c>
      <c r="F290" s="1">
        <v>5.0</v>
      </c>
      <c r="G290" s="1">
        <v>5.0</v>
      </c>
      <c r="H290" s="1" t="s">
        <v>18</v>
      </c>
      <c r="I290" s="2">
        <v>46321.0</v>
      </c>
      <c r="J290" s="1">
        <v>1200000.0</v>
      </c>
      <c r="K290" s="2">
        <v>46054.0</v>
      </c>
    </row>
    <row r="291">
      <c r="A291" s="1" t="s">
        <v>19</v>
      </c>
      <c r="B291" s="1" t="s">
        <v>20</v>
      </c>
      <c r="C291" s="1" t="s">
        <v>17</v>
      </c>
      <c r="D291" s="1">
        <v>51.0</v>
      </c>
      <c r="E291" s="1">
        <v>30.0</v>
      </c>
      <c r="F291" s="1">
        <v>4.0</v>
      </c>
      <c r="G291" s="1">
        <v>6.0</v>
      </c>
      <c r="H291" s="1" t="s">
        <v>18</v>
      </c>
      <c r="I291" s="2">
        <v>45775.0</v>
      </c>
      <c r="J291" s="1">
        <v>1200000.0</v>
      </c>
      <c r="K291" s="2">
        <v>45748.0</v>
      </c>
    </row>
    <row r="292">
      <c r="A292" s="1" t="s">
        <v>11</v>
      </c>
      <c r="B292" s="1" t="s">
        <v>12</v>
      </c>
      <c r="C292" s="1" t="s">
        <v>13</v>
      </c>
      <c r="D292" s="1">
        <v>290.0</v>
      </c>
      <c r="E292" s="1">
        <v>50.0</v>
      </c>
      <c r="F292" s="1">
        <v>3.0</v>
      </c>
      <c r="G292" s="1">
        <v>6.0</v>
      </c>
      <c r="H292" s="1" t="s">
        <v>14</v>
      </c>
      <c r="I292" s="2">
        <v>45991.0</v>
      </c>
      <c r="J292" s="1">
        <v>125000.0</v>
      </c>
      <c r="K292" s="2">
        <v>45962.0</v>
      </c>
    </row>
    <row r="293">
      <c r="A293" s="1" t="s">
        <v>55</v>
      </c>
      <c r="B293" s="1" t="s">
        <v>56</v>
      </c>
      <c r="C293" s="1" t="s">
        <v>36</v>
      </c>
      <c r="D293" s="1">
        <v>57.0</v>
      </c>
      <c r="E293" s="1">
        <v>100.0</v>
      </c>
      <c r="F293" s="1">
        <v>15.0</v>
      </c>
      <c r="G293" s="1">
        <v>4.0</v>
      </c>
      <c r="H293" s="1" t="s">
        <v>37</v>
      </c>
      <c r="I293" s="2">
        <v>46034.0</v>
      </c>
      <c r="J293" s="1">
        <v>85000.0</v>
      </c>
      <c r="K293" s="2">
        <v>46023.0</v>
      </c>
    </row>
    <row r="294">
      <c r="A294" s="1" t="s">
        <v>25</v>
      </c>
      <c r="B294" s="1" t="s">
        <v>26</v>
      </c>
      <c r="C294" s="1" t="s">
        <v>17</v>
      </c>
      <c r="D294" s="1">
        <v>11.0</v>
      </c>
      <c r="E294" s="1">
        <v>25.0</v>
      </c>
      <c r="F294" s="1">
        <v>7.0</v>
      </c>
      <c r="G294" s="1">
        <v>14.0</v>
      </c>
      <c r="H294" s="1" t="s">
        <v>27</v>
      </c>
      <c r="I294" s="2">
        <v>45862.0</v>
      </c>
      <c r="J294" s="1">
        <v>4500000.0</v>
      </c>
      <c r="K294" s="2">
        <v>45839.0</v>
      </c>
    </row>
    <row r="295">
      <c r="A295" s="1" t="s">
        <v>40</v>
      </c>
      <c r="B295" s="1" t="s">
        <v>41</v>
      </c>
      <c r="C295" s="1" t="s">
        <v>42</v>
      </c>
      <c r="D295" s="1">
        <v>21.0</v>
      </c>
      <c r="E295" s="1">
        <v>15.0</v>
      </c>
      <c r="F295" s="1">
        <v>1.0</v>
      </c>
      <c r="G295" s="1">
        <v>9.0</v>
      </c>
      <c r="H295" s="1" t="s">
        <v>43</v>
      </c>
      <c r="I295" s="2">
        <v>45968.0</v>
      </c>
      <c r="J295" s="1">
        <v>1200000.0</v>
      </c>
      <c r="K295" s="2">
        <v>45962.0</v>
      </c>
    </row>
    <row r="296">
      <c r="A296" s="1" t="s">
        <v>51</v>
      </c>
      <c r="B296" s="1" t="s">
        <v>52</v>
      </c>
      <c r="C296" s="1" t="s">
        <v>36</v>
      </c>
      <c r="D296" s="1">
        <v>44.0</v>
      </c>
      <c r="E296" s="1">
        <v>60.0</v>
      </c>
      <c r="F296" s="1">
        <v>6.0</v>
      </c>
      <c r="G296" s="1">
        <v>6.0</v>
      </c>
      <c r="H296" s="1" t="s">
        <v>50</v>
      </c>
      <c r="I296" s="2">
        <v>45839.0</v>
      </c>
      <c r="J296" s="1">
        <v>175000.0</v>
      </c>
      <c r="K296" s="2">
        <v>45839.0</v>
      </c>
    </row>
    <row r="297">
      <c r="A297" s="1" t="s">
        <v>31</v>
      </c>
      <c r="B297" s="1" t="s">
        <v>32</v>
      </c>
      <c r="C297" s="1" t="s">
        <v>13</v>
      </c>
      <c r="D297" s="1">
        <v>127.0</v>
      </c>
      <c r="E297" s="1">
        <v>40.0</v>
      </c>
      <c r="F297" s="1">
        <v>3.0</v>
      </c>
      <c r="G297" s="1">
        <v>4.0</v>
      </c>
      <c r="H297" s="1" t="s">
        <v>33</v>
      </c>
      <c r="I297" s="2">
        <v>46001.0</v>
      </c>
      <c r="J297" s="1">
        <v>550000.0</v>
      </c>
      <c r="K297" s="2">
        <v>45992.0</v>
      </c>
    </row>
    <row r="298">
      <c r="A298" s="1" t="s">
        <v>48</v>
      </c>
      <c r="B298" s="1" t="s">
        <v>49</v>
      </c>
      <c r="C298" s="1" t="s">
        <v>36</v>
      </c>
      <c r="D298" s="1">
        <v>170.0</v>
      </c>
      <c r="E298" s="1">
        <v>120.0</v>
      </c>
      <c r="F298" s="1">
        <v>17.0</v>
      </c>
      <c r="G298" s="1">
        <v>3.0</v>
      </c>
      <c r="H298" s="1" t="s">
        <v>50</v>
      </c>
      <c r="I298" s="2">
        <v>45905.0</v>
      </c>
      <c r="J298" s="1">
        <v>55000.0</v>
      </c>
      <c r="K298" s="2">
        <v>45901.0</v>
      </c>
    </row>
    <row r="299">
      <c r="A299" s="1" t="s">
        <v>34</v>
      </c>
      <c r="B299" s="1" t="s">
        <v>35</v>
      </c>
      <c r="C299" s="1" t="s">
        <v>36</v>
      </c>
      <c r="D299" s="1">
        <v>0.0</v>
      </c>
      <c r="E299" s="1">
        <v>80.0</v>
      </c>
      <c r="F299" s="1">
        <v>18.0</v>
      </c>
      <c r="G299" s="1">
        <v>4.0</v>
      </c>
      <c r="H299" s="1" t="s">
        <v>37</v>
      </c>
      <c r="I299" s="2">
        <v>45745.0</v>
      </c>
      <c r="J299" s="1">
        <v>65000.0</v>
      </c>
      <c r="K299" s="2">
        <v>45717.0</v>
      </c>
    </row>
    <row r="300">
      <c r="A300" s="1" t="s">
        <v>57</v>
      </c>
      <c r="B300" s="1" t="s">
        <v>58</v>
      </c>
      <c r="C300" s="1" t="s">
        <v>42</v>
      </c>
      <c r="D300" s="1">
        <v>44.0</v>
      </c>
      <c r="E300" s="1">
        <v>25.0</v>
      </c>
      <c r="F300" s="1">
        <v>4.0</v>
      </c>
      <c r="G300" s="1">
        <v>8.0</v>
      </c>
      <c r="H300" s="1" t="s">
        <v>59</v>
      </c>
      <c r="I300" s="2">
        <v>46108.0</v>
      </c>
      <c r="J300" s="1">
        <v>450000.0</v>
      </c>
      <c r="K300" s="2">
        <v>46082.0</v>
      </c>
    </row>
    <row r="301">
      <c r="A301" s="1" t="s">
        <v>64</v>
      </c>
      <c r="B301" s="1" t="s">
        <v>65</v>
      </c>
      <c r="C301" s="1" t="s">
        <v>42</v>
      </c>
      <c r="D301" s="1">
        <v>27.0</v>
      </c>
      <c r="E301" s="1">
        <v>20.0</v>
      </c>
      <c r="F301" s="1">
        <v>3.0</v>
      </c>
      <c r="G301" s="1">
        <v>8.0</v>
      </c>
      <c r="H301" s="1" t="s">
        <v>59</v>
      </c>
      <c r="I301" s="2">
        <v>45976.0</v>
      </c>
      <c r="J301" s="1">
        <v>750000.0</v>
      </c>
      <c r="K301" s="2">
        <v>45962.0</v>
      </c>
    </row>
    <row r="302">
      <c r="A302" s="1" t="s">
        <v>40</v>
      </c>
      <c r="B302" s="1" t="s">
        <v>41</v>
      </c>
      <c r="C302" s="1" t="s">
        <v>42</v>
      </c>
      <c r="D302" s="1">
        <v>22.0</v>
      </c>
      <c r="E302" s="1">
        <v>15.0</v>
      </c>
      <c r="F302" s="1">
        <v>2.0</v>
      </c>
      <c r="G302" s="1">
        <v>5.0</v>
      </c>
      <c r="H302" s="1" t="s">
        <v>43</v>
      </c>
      <c r="I302" s="2">
        <v>45709.0</v>
      </c>
      <c r="J302" s="1">
        <v>1200000.0</v>
      </c>
      <c r="K302" s="2">
        <v>45689.0</v>
      </c>
    </row>
    <row r="303">
      <c r="A303" s="1" t="s">
        <v>28</v>
      </c>
      <c r="B303" s="1" t="s">
        <v>29</v>
      </c>
      <c r="C303" s="1" t="s">
        <v>23</v>
      </c>
      <c r="D303" s="1">
        <v>18.0</v>
      </c>
      <c r="E303" s="1">
        <v>35.0</v>
      </c>
      <c r="F303" s="1">
        <v>5.0</v>
      </c>
      <c r="G303" s="1">
        <v>4.0</v>
      </c>
      <c r="H303" s="1" t="s">
        <v>30</v>
      </c>
      <c r="I303" s="2">
        <v>45949.0</v>
      </c>
      <c r="J303" s="1">
        <v>1250000.0</v>
      </c>
      <c r="K303" s="2">
        <v>45931.0</v>
      </c>
    </row>
    <row r="304">
      <c r="A304" s="1" t="s">
        <v>38</v>
      </c>
      <c r="B304" s="1" t="s">
        <v>39</v>
      </c>
      <c r="C304" s="1" t="s">
        <v>23</v>
      </c>
      <c r="D304" s="1">
        <v>17.0</v>
      </c>
      <c r="E304" s="1">
        <v>45.0</v>
      </c>
      <c r="F304" s="1">
        <v>8.0</v>
      </c>
      <c r="G304" s="1">
        <v>4.0</v>
      </c>
      <c r="H304" s="1" t="s">
        <v>24</v>
      </c>
      <c r="I304" s="2">
        <v>46050.0</v>
      </c>
      <c r="J304" s="1">
        <v>450000.0</v>
      </c>
      <c r="K304" s="2">
        <v>46023.0</v>
      </c>
    </row>
    <row r="305">
      <c r="A305" s="1" t="s">
        <v>53</v>
      </c>
      <c r="B305" s="1" t="s">
        <v>54</v>
      </c>
      <c r="C305" s="1" t="s">
        <v>13</v>
      </c>
      <c r="D305" s="1">
        <v>273.0</v>
      </c>
      <c r="E305" s="1">
        <v>60.0</v>
      </c>
      <c r="F305" s="1">
        <v>1.0</v>
      </c>
      <c r="G305" s="1">
        <v>4.0</v>
      </c>
      <c r="H305" s="1" t="s">
        <v>14</v>
      </c>
      <c r="I305" s="2">
        <v>45806.0</v>
      </c>
      <c r="J305" s="1">
        <v>165000.0</v>
      </c>
      <c r="K305" s="2">
        <v>45778.0</v>
      </c>
    </row>
    <row r="306">
      <c r="A306" s="1" t="s">
        <v>64</v>
      </c>
      <c r="B306" s="1" t="s">
        <v>65</v>
      </c>
      <c r="C306" s="1" t="s">
        <v>42</v>
      </c>
      <c r="D306" s="1">
        <v>40.0</v>
      </c>
      <c r="E306" s="1">
        <v>20.0</v>
      </c>
      <c r="F306" s="1">
        <v>1.0</v>
      </c>
      <c r="G306" s="1">
        <v>7.0</v>
      </c>
      <c r="H306" s="1" t="s">
        <v>59</v>
      </c>
      <c r="I306" s="2">
        <v>45693.0</v>
      </c>
      <c r="J306" s="1">
        <v>750000.0</v>
      </c>
      <c r="K306" s="2">
        <v>45689.0</v>
      </c>
    </row>
    <row r="307">
      <c r="A307" s="1" t="s">
        <v>38</v>
      </c>
      <c r="B307" s="1" t="s">
        <v>39</v>
      </c>
      <c r="C307" s="1" t="s">
        <v>23</v>
      </c>
      <c r="D307" s="1">
        <v>17.0</v>
      </c>
      <c r="E307" s="1">
        <v>45.0</v>
      </c>
      <c r="F307" s="1">
        <v>8.0</v>
      </c>
      <c r="G307" s="1">
        <v>4.0</v>
      </c>
      <c r="H307" s="1" t="s">
        <v>24</v>
      </c>
      <c r="I307" s="2">
        <v>46050.0</v>
      </c>
      <c r="J307" s="1">
        <v>450000.0</v>
      </c>
      <c r="K307" s="2">
        <v>46023.0</v>
      </c>
    </row>
    <row r="308">
      <c r="A308" s="1" t="s">
        <v>25</v>
      </c>
      <c r="B308" s="1" t="s">
        <v>26</v>
      </c>
      <c r="C308" s="1" t="s">
        <v>17</v>
      </c>
      <c r="D308" s="1">
        <v>5.0</v>
      </c>
      <c r="E308" s="1">
        <v>25.0</v>
      </c>
      <c r="F308" s="1">
        <v>7.0</v>
      </c>
      <c r="G308" s="1">
        <v>19.0</v>
      </c>
      <c r="H308" s="1" t="s">
        <v>27</v>
      </c>
      <c r="I308" s="2">
        <v>45837.0</v>
      </c>
      <c r="J308" s="1">
        <v>4500000.0</v>
      </c>
      <c r="K308" s="2">
        <v>45809.0</v>
      </c>
    </row>
    <row r="309">
      <c r="A309" s="1" t="s">
        <v>31</v>
      </c>
      <c r="B309" s="1" t="s">
        <v>32</v>
      </c>
      <c r="C309" s="1" t="s">
        <v>13</v>
      </c>
      <c r="D309" s="1">
        <v>129.0</v>
      </c>
      <c r="E309" s="1">
        <v>40.0</v>
      </c>
      <c r="F309" s="1">
        <v>4.0</v>
      </c>
      <c r="G309" s="1">
        <v>6.0</v>
      </c>
      <c r="H309" s="1" t="s">
        <v>33</v>
      </c>
      <c r="I309" s="2">
        <v>45916.0</v>
      </c>
      <c r="J309" s="1">
        <v>550000.0</v>
      </c>
      <c r="K309" s="2">
        <v>45901.0</v>
      </c>
    </row>
    <row r="310">
      <c r="A310" s="1" t="s">
        <v>21</v>
      </c>
      <c r="B310" s="1" t="s">
        <v>22</v>
      </c>
      <c r="C310" s="1" t="s">
        <v>23</v>
      </c>
      <c r="D310" s="1">
        <v>0.0</v>
      </c>
      <c r="E310" s="1">
        <v>50.0</v>
      </c>
      <c r="F310" s="1">
        <v>14.0</v>
      </c>
      <c r="G310" s="1">
        <v>7.0</v>
      </c>
      <c r="H310" s="1" t="s">
        <v>24</v>
      </c>
      <c r="I310" s="2">
        <v>46014.0</v>
      </c>
      <c r="J310" s="1">
        <v>350000.0</v>
      </c>
      <c r="K310" s="2">
        <v>45992.0</v>
      </c>
    </row>
    <row r="311">
      <c r="A311" s="1" t="s">
        <v>46</v>
      </c>
      <c r="B311" s="1" t="s">
        <v>47</v>
      </c>
      <c r="C311" s="1" t="s">
        <v>23</v>
      </c>
      <c r="D311" s="1">
        <v>9.0</v>
      </c>
      <c r="E311" s="1">
        <v>40.0</v>
      </c>
      <c r="F311" s="1">
        <v>5.0</v>
      </c>
      <c r="G311" s="1">
        <v>8.0</v>
      </c>
      <c r="H311" s="1" t="s">
        <v>30</v>
      </c>
      <c r="I311" s="2">
        <v>45698.0</v>
      </c>
      <c r="J311" s="1">
        <v>550000.0</v>
      </c>
      <c r="K311" s="2">
        <v>45689.0</v>
      </c>
    </row>
    <row r="312">
      <c r="A312" s="1" t="s">
        <v>51</v>
      </c>
      <c r="B312" s="1" t="s">
        <v>52</v>
      </c>
      <c r="C312" s="1" t="s">
        <v>36</v>
      </c>
      <c r="D312" s="1">
        <v>20.0</v>
      </c>
      <c r="E312" s="1">
        <v>60.0</v>
      </c>
      <c r="F312" s="1">
        <v>9.0</v>
      </c>
      <c r="G312" s="1">
        <v>5.0</v>
      </c>
      <c r="H312" s="1" t="s">
        <v>50</v>
      </c>
      <c r="I312" s="2">
        <v>45687.0</v>
      </c>
      <c r="J312" s="1">
        <v>175000.0</v>
      </c>
      <c r="K312" s="2">
        <v>45658.0</v>
      </c>
    </row>
    <row r="313">
      <c r="A313" s="1" t="s">
        <v>28</v>
      </c>
      <c r="B313" s="1" t="s">
        <v>29</v>
      </c>
      <c r="C313" s="1" t="s">
        <v>23</v>
      </c>
      <c r="D313" s="1">
        <v>16.0</v>
      </c>
      <c r="E313" s="1">
        <v>35.0</v>
      </c>
      <c r="F313" s="1">
        <v>7.0</v>
      </c>
      <c r="G313" s="1">
        <v>5.0</v>
      </c>
      <c r="H313" s="1" t="s">
        <v>30</v>
      </c>
      <c r="I313" s="2">
        <v>46024.0</v>
      </c>
      <c r="J313" s="1">
        <v>1250000.0</v>
      </c>
      <c r="K313" s="2">
        <v>46023.0</v>
      </c>
    </row>
  </sheetData>
  <autoFilter ref="$A$1:$K$313">
    <filterColumn colId="3">
      <customFilters>
        <customFilter operator="greaterThanOrEqual" val="0"/>
      </custom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</row>
    <row r="3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</row>
    <row r="4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</row>
    <row r="5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</row>
    <row r="6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</row>
    <row r="7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</row>
    <row r="8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</row>
    <row r="9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</row>
    <row r="10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</row>
    <row r="1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</row>
    <row r="12">
      <c r="A12" s="1" t="s">
        <v>44</v>
      </c>
      <c r="B12" s="1" t="s">
        <v>45</v>
      </c>
      <c r="C12" s="1" t="s">
        <v>42</v>
      </c>
      <c r="D12" s="1">
        <v>54.0</v>
      </c>
      <c r="E12" s="1">
        <v>30.0</v>
      </c>
      <c r="F12" s="1">
        <v>6.0</v>
      </c>
      <c r="G12" s="1">
        <v>8.0</v>
      </c>
      <c r="H12" s="1" t="s">
        <v>43</v>
      </c>
      <c r="I12" s="2">
        <v>45983.0</v>
      </c>
      <c r="J12" s="1">
        <v>350000.0</v>
      </c>
      <c r="K12" s="2">
        <v>45962.0</v>
      </c>
    </row>
    <row r="13">
      <c r="A13" s="1" t="s">
        <v>46</v>
      </c>
      <c r="B13" s="1" t="s">
        <v>47</v>
      </c>
      <c r="C13" s="1" t="s">
        <v>23</v>
      </c>
      <c r="D13" s="1">
        <v>0.0</v>
      </c>
      <c r="E13" s="1">
        <v>40.0</v>
      </c>
      <c r="F13" s="1">
        <v>7.0</v>
      </c>
      <c r="G13" s="1">
        <v>4.0</v>
      </c>
      <c r="H13" s="1" t="s">
        <v>30</v>
      </c>
      <c r="I13" s="2">
        <v>45761.0</v>
      </c>
      <c r="J13" s="1">
        <v>550000.0</v>
      </c>
      <c r="K13" s="2">
        <v>45748.0</v>
      </c>
    </row>
    <row r="14">
      <c r="A14" s="1" t="s">
        <v>44</v>
      </c>
      <c r="B14" s="1" t="s">
        <v>45</v>
      </c>
      <c r="C14" s="1" t="s">
        <v>42</v>
      </c>
      <c r="D14" s="1">
        <v>41.0</v>
      </c>
      <c r="E14" s="1">
        <v>30.0</v>
      </c>
      <c r="F14" s="1">
        <v>4.0</v>
      </c>
      <c r="G14" s="1">
        <v>10.0</v>
      </c>
      <c r="H14" s="1" t="s">
        <v>43</v>
      </c>
      <c r="I14" s="2">
        <v>45930.0</v>
      </c>
      <c r="J14" s="1">
        <v>350000.0</v>
      </c>
      <c r="K14" s="2">
        <v>45901.0</v>
      </c>
    </row>
    <row r="15">
      <c r="A15" s="1" t="s">
        <v>48</v>
      </c>
      <c r="B15" s="1" t="s">
        <v>49</v>
      </c>
      <c r="C15" s="1" t="s">
        <v>36</v>
      </c>
      <c r="D15" s="1">
        <v>33.0</v>
      </c>
      <c r="E15" s="1">
        <v>120.0</v>
      </c>
      <c r="F15" s="1">
        <v>18.0</v>
      </c>
      <c r="G15" s="1">
        <v>7.0</v>
      </c>
      <c r="H15" s="1" t="s">
        <v>50</v>
      </c>
      <c r="I15" s="2">
        <v>45878.0</v>
      </c>
      <c r="J15" s="1">
        <v>55000.0</v>
      </c>
      <c r="K15" s="2">
        <v>45870.0</v>
      </c>
    </row>
    <row r="16">
      <c r="A16" s="1" t="s">
        <v>15</v>
      </c>
      <c r="B16" s="1" t="s">
        <v>16</v>
      </c>
      <c r="C16" s="1" t="s">
        <v>17</v>
      </c>
      <c r="D16" s="1">
        <v>26.0</v>
      </c>
      <c r="E16" s="1">
        <v>15.0</v>
      </c>
      <c r="F16" s="1">
        <v>3.0</v>
      </c>
      <c r="G16" s="1">
        <v>8.0</v>
      </c>
      <c r="H16" s="1" t="s">
        <v>18</v>
      </c>
      <c r="I16" s="2">
        <v>45816.0</v>
      </c>
      <c r="J16" s="1">
        <v>8500000.0</v>
      </c>
      <c r="K16" s="2">
        <v>45809.0</v>
      </c>
    </row>
    <row r="17">
      <c r="A17" s="1" t="s">
        <v>11</v>
      </c>
      <c r="B17" s="1" t="s">
        <v>12</v>
      </c>
      <c r="C17" s="1" t="s">
        <v>13</v>
      </c>
      <c r="D17" s="1">
        <v>139.0</v>
      </c>
      <c r="E17" s="1">
        <v>50.0</v>
      </c>
      <c r="F17" s="1">
        <v>1.0</v>
      </c>
      <c r="G17" s="1">
        <v>7.0</v>
      </c>
      <c r="H17" s="1" t="s">
        <v>14</v>
      </c>
      <c r="I17" s="2">
        <v>46317.0</v>
      </c>
      <c r="J17" s="1">
        <v>125000.0</v>
      </c>
      <c r="K17" s="2">
        <v>45839.0</v>
      </c>
    </row>
    <row r="18">
      <c r="A18" s="1" t="s">
        <v>44</v>
      </c>
      <c r="B18" s="1" t="s">
        <v>45</v>
      </c>
      <c r="C18" s="1" t="s">
        <v>42</v>
      </c>
      <c r="D18" s="1">
        <v>49.0</v>
      </c>
      <c r="E18" s="1">
        <v>30.0</v>
      </c>
      <c r="F18" s="1">
        <v>6.0</v>
      </c>
      <c r="G18" s="1">
        <v>9.0</v>
      </c>
      <c r="H18" s="1" t="s">
        <v>43</v>
      </c>
      <c r="I18" s="2">
        <v>45669.0</v>
      </c>
      <c r="J18" s="1">
        <v>350000.0</v>
      </c>
      <c r="K18" s="2">
        <v>45658.0</v>
      </c>
    </row>
    <row r="19">
      <c r="A19" s="1" t="s">
        <v>48</v>
      </c>
      <c r="B19" s="1" t="s">
        <v>49</v>
      </c>
      <c r="C19" s="1" t="s">
        <v>36</v>
      </c>
      <c r="D19" s="1">
        <v>0.0</v>
      </c>
      <c r="E19" s="1">
        <v>120.0</v>
      </c>
      <c r="F19" s="1">
        <v>27.0</v>
      </c>
      <c r="G19" s="1">
        <v>7.0</v>
      </c>
      <c r="H19" s="1" t="s">
        <v>50</v>
      </c>
      <c r="I19" s="2">
        <v>46010.0</v>
      </c>
      <c r="J19" s="1">
        <v>55000.0</v>
      </c>
      <c r="K19" s="2">
        <v>45992.0</v>
      </c>
    </row>
    <row r="20">
      <c r="A20" s="1" t="s">
        <v>21</v>
      </c>
      <c r="B20" s="1" t="s">
        <v>22</v>
      </c>
      <c r="C20" s="1" t="s">
        <v>23</v>
      </c>
      <c r="D20" s="1">
        <v>14.0</v>
      </c>
      <c r="E20" s="1">
        <v>50.0</v>
      </c>
      <c r="F20" s="1">
        <v>11.0</v>
      </c>
      <c r="G20" s="1">
        <v>4.0</v>
      </c>
      <c r="H20" s="1" t="s">
        <v>24</v>
      </c>
      <c r="I20" s="2">
        <v>46062.0</v>
      </c>
      <c r="J20" s="1">
        <v>350000.0</v>
      </c>
      <c r="K20" s="2">
        <v>46054.0</v>
      </c>
    </row>
    <row r="21">
      <c r="A21" s="1" t="s">
        <v>51</v>
      </c>
      <c r="B21" s="1" t="s">
        <v>52</v>
      </c>
      <c r="C21" s="1" t="s">
        <v>36</v>
      </c>
      <c r="D21" s="1">
        <v>0.0</v>
      </c>
      <c r="E21" s="1">
        <v>60.0</v>
      </c>
      <c r="F21" s="1">
        <v>13.0</v>
      </c>
      <c r="G21" s="1">
        <v>4.0</v>
      </c>
      <c r="H21" s="1" t="s">
        <v>50</v>
      </c>
      <c r="I21" s="2">
        <v>46004.0</v>
      </c>
      <c r="J21" s="1">
        <v>175000.0</v>
      </c>
      <c r="K21" s="2">
        <v>45992.0</v>
      </c>
    </row>
    <row r="22">
      <c r="A22" s="1" t="s">
        <v>53</v>
      </c>
      <c r="B22" s="1" t="s">
        <v>54</v>
      </c>
      <c r="C22" s="1" t="s">
        <v>13</v>
      </c>
      <c r="D22" s="1">
        <v>191.0</v>
      </c>
      <c r="E22" s="1">
        <v>60.0</v>
      </c>
      <c r="F22" s="1">
        <v>3.0</v>
      </c>
      <c r="G22" s="1">
        <v>8.0</v>
      </c>
      <c r="H22" s="1" t="s">
        <v>14</v>
      </c>
      <c r="I22" s="2">
        <v>45944.0</v>
      </c>
      <c r="J22" s="1">
        <v>165000.0</v>
      </c>
      <c r="K22" s="2">
        <v>45931.0</v>
      </c>
    </row>
    <row r="23">
      <c r="A23" s="1" t="s">
        <v>55</v>
      </c>
      <c r="B23" s="1" t="s">
        <v>56</v>
      </c>
      <c r="C23" s="1" t="s">
        <v>36</v>
      </c>
      <c r="D23" s="1">
        <v>0.0</v>
      </c>
      <c r="E23" s="1">
        <v>100.0</v>
      </c>
      <c r="F23" s="1">
        <v>24.0</v>
      </c>
      <c r="G23" s="1">
        <v>4.0</v>
      </c>
      <c r="H23" s="1" t="s">
        <v>37</v>
      </c>
      <c r="I23" s="2">
        <v>45747.0</v>
      </c>
      <c r="J23" s="1">
        <v>85000.0</v>
      </c>
      <c r="K23" s="2">
        <v>45717.0</v>
      </c>
    </row>
    <row r="24">
      <c r="A24" s="1" t="s">
        <v>38</v>
      </c>
      <c r="B24" s="1" t="s">
        <v>39</v>
      </c>
      <c r="C24" s="1" t="s">
        <v>23</v>
      </c>
      <c r="D24" s="1">
        <v>23.0</v>
      </c>
      <c r="E24" s="1">
        <v>45.0</v>
      </c>
      <c r="F24" s="1">
        <v>6.0</v>
      </c>
      <c r="G24" s="1">
        <v>6.0</v>
      </c>
      <c r="H24" s="1" t="s">
        <v>24</v>
      </c>
      <c r="I24" s="2">
        <v>45697.0</v>
      </c>
      <c r="J24" s="1">
        <v>450000.0</v>
      </c>
      <c r="K24" s="2">
        <v>45689.0</v>
      </c>
    </row>
    <row r="25">
      <c r="A25" s="1" t="s">
        <v>57</v>
      </c>
      <c r="B25" s="1" t="s">
        <v>58</v>
      </c>
      <c r="C25" s="1" t="s">
        <v>42</v>
      </c>
      <c r="D25" s="1">
        <v>50.0</v>
      </c>
      <c r="E25" s="1">
        <v>25.0</v>
      </c>
      <c r="F25" s="1">
        <v>3.0</v>
      </c>
      <c r="G25" s="1">
        <v>7.0</v>
      </c>
      <c r="H25" s="1" t="s">
        <v>59</v>
      </c>
      <c r="I25" s="2">
        <v>45920.0</v>
      </c>
      <c r="J25" s="1">
        <v>450000.0</v>
      </c>
      <c r="K25" s="2">
        <v>45901.0</v>
      </c>
    </row>
    <row r="26">
      <c r="A26" s="1" t="s">
        <v>57</v>
      </c>
      <c r="B26" s="1" t="s">
        <v>58</v>
      </c>
      <c r="C26" s="1" t="s">
        <v>42</v>
      </c>
      <c r="D26" s="1">
        <v>42.0</v>
      </c>
      <c r="E26" s="1">
        <v>25.0</v>
      </c>
      <c r="F26" s="1">
        <v>3.0</v>
      </c>
      <c r="G26" s="1">
        <v>8.0</v>
      </c>
      <c r="H26" s="1" t="s">
        <v>59</v>
      </c>
      <c r="I26" s="2">
        <v>46078.0</v>
      </c>
      <c r="J26" s="1">
        <v>450000.0</v>
      </c>
      <c r="K26" s="2">
        <v>46054.0</v>
      </c>
    </row>
    <row r="27">
      <c r="A27" s="1" t="s">
        <v>51</v>
      </c>
      <c r="B27" s="1" t="s">
        <v>52</v>
      </c>
      <c r="C27" s="1" t="s">
        <v>36</v>
      </c>
      <c r="D27" s="1">
        <v>31.0</v>
      </c>
      <c r="E27" s="1">
        <v>60.0</v>
      </c>
      <c r="F27" s="1">
        <v>8.0</v>
      </c>
      <c r="G27" s="1">
        <v>7.0</v>
      </c>
      <c r="H27" s="1" t="s">
        <v>50</v>
      </c>
      <c r="I27" s="2">
        <v>45880.0</v>
      </c>
      <c r="J27" s="1">
        <v>175000.0</v>
      </c>
      <c r="K27" s="2">
        <v>45870.0</v>
      </c>
    </row>
    <row r="28">
      <c r="A28" s="1" t="s">
        <v>48</v>
      </c>
      <c r="B28" s="1" t="s">
        <v>49</v>
      </c>
      <c r="C28" s="1" t="s">
        <v>36</v>
      </c>
      <c r="D28" s="1">
        <v>38.0</v>
      </c>
      <c r="E28" s="1">
        <v>120.0</v>
      </c>
      <c r="F28" s="1">
        <v>17.0</v>
      </c>
      <c r="G28" s="1">
        <v>4.0</v>
      </c>
      <c r="H28" s="1" t="s">
        <v>50</v>
      </c>
      <c r="I28" s="2">
        <v>45864.0</v>
      </c>
      <c r="J28" s="1">
        <v>55000.0</v>
      </c>
      <c r="K28" s="2">
        <v>45839.0</v>
      </c>
    </row>
    <row r="29">
      <c r="A29" s="1" t="s">
        <v>11</v>
      </c>
      <c r="B29" s="1" t="s">
        <v>12</v>
      </c>
      <c r="C29" s="1" t="s">
        <v>13</v>
      </c>
      <c r="D29" s="1">
        <v>217.0</v>
      </c>
      <c r="E29" s="1">
        <v>50.0</v>
      </c>
      <c r="F29" s="1">
        <v>3.0</v>
      </c>
      <c r="G29" s="1">
        <v>7.0</v>
      </c>
      <c r="H29" s="1" t="s">
        <v>14</v>
      </c>
      <c r="I29" s="2">
        <v>46111.0</v>
      </c>
      <c r="J29" s="1">
        <v>125000.0</v>
      </c>
      <c r="K29" s="2">
        <v>46082.0</v>
      </c>
    </row>
    <row r="30">
      <c r="A30" s="1" t="s">
        <v>15</v>
      </c>
      <c r="B30" s="1" t="s">
        <v>16</v>
      </c>
      <c r="C30" s="1" t="s">
        <v>17</v>
      </c>
      <c r="D30" s="1">
        <v>11.0</v>
      </c>
      <c r="E30" s="1">
        <v>15.0</v>
      </c>
      <c r="F30" s="1">
        <v>1.0</v>
      </c>
      <c r="G30" s="1">
        <v>5.0</v>
      </c>
      <c r="H30" s="1" t="s">
        <v>18</v>
      </c>
      <c r="I30" s="2">
        <v>45754.0</v>
      </c>
      <c r="J30" s="1">
        <v>8500000.0</v>
      </c>
      <c r="K30" s="2">
        <v>45748.0</v>
      </c>
    </row>
    <row r="31">
      <c r="A31" s="1" t="s">
        <v>38</v>
      </c>
      <c r="B31" s="1" t="s">
        <v>39</v>
      </c>
      <c r="C31" s="1" t="s">
        <v>23</v>
      </c>
      <c r="D31" s="1">
        <v>36.0</v>
      </c>
      <c r="E31" s="1">
        <v>45.0</v>
      </c>
      <c r="F31" s="1">
        <v>7.0</v>
      </c>
      <c r="G31" s="1">
        <v>4.0</v>
      </c>
      <c r="H31" s="1" t="s">
        <v>24</v>
      </c>
      <c r="I31" s="2">
        <v>45883.0</v>
      </c>
      <c r="J31" s="1">
        <v>450000.0</v>
      </c>
      <c r="K31" s="2">
        <v>45870.0</v>
      </c>
    </row>
    <row r="32">
      <c r="A32" s="1" t="s">
        <v>48</v>
      </c>
      <c r="B32" s="1" t="s">
        <v>49</v>
      </c>
      <c r="C32" s="1" t="s">
        <v>36</v>
      </c>
      <c r="D32" s="1">
        <v>0.0</v>
      </c>
      <c r="E32" s="1">
        <v>120.0</v>
      </c>
      <c r="F32" s="1">
        <v>28.0</v>
      </c>
      <c r="G32" s="1">
        <v>6.0</v>
      </c>
      <c r="H32" s="1" t="s">
        <v>50</v>
      </c>
      <c r="I32" s="2">
        <v>45725.0</v>
      </c>
      <c r="J32" s="1">
        <v>55000.0</v>
      </c>
      <c r="K32" s="2">
        <v>45717.0</v>
      </c>
    </row>
    <row r="33">
      <c r="A33" s="1" t="s">
        <v>62</v>
      </c>
      <c r="B33" s="1" t="s">
        <v>63</v>
      </c>
      <c r="C33" s="1" t="s">
        <v>13</v>
      </c>
      <c r="D33" s="1">
        <v>375.0</v>
      </c>
      <c r="E33" s="1">
        <v>80.0</v>
      </c>
      <c r="F33" s="1">
        <v>5.0</v>
      </c>
      <c r="G33" s="1">
        <v>6.0</v>
      </c>
      <c r="H33" s="1" t="s">
        <v>33</v>
      </c>
      <c r="I33" s="2">
        <v>45737.0</v>
      </c>
      <c r="J33" s="1">
        <v>85000.0</v>
      </c>
      <c r="K33" s="2">
        <v>45717.0</v>
      </c>
    </row>
    <row r="34">
      <c r="A34" s="1" t="s">
        <v>19</v>
      </c>
      <c r="B34" s="1" t="s">
        <v>20</v>
      </c>
      <c r="C34" s="1" t="s">
        <v>17</v>
      </c>
      <c r="D34" s="1">
        <v>24.0</v>
      </c>
      <c r="E34" s="1">
        <v>30.0</v>
      </c>
      <c r="F34" s="1">
        <v>4.0</v>
      </c>
      <c r="G34" s="1">
        <v>5.0</v>
      </c>
      <c r="H34" s="1" t="s">
        <v>18</v>
      </c>
      <c r="I34" s="2">
        <v>45670.0</v>
      </c>
      <c r="J34" s="1">
        <v>1200000.0</v>
      </c>
      <c r="K34" s="2">
        <v>45658.0</v>
      </c>
    </row>
    <row r="35">
      <c r="A35" s="1" t="s">
        <v>25</v>
      </c>
      <c r="B35" s="1" t="s">
        <v>26</v>
      </c>
      <c r="C35" s="1" t="s">
        <v>17</v>
      </c>
      <c r="D35" s="1">
        <v>22.0</v>
      </c>
      <c r="E35" s="1">
        <v>25.0</v>
      </c>
      <c r="F35" s="1">
        <v>5.0</v>
      </c>
      <c r="G35" s="1">
        <v>14.0</v>
      </c>
      <c r="H35" s="1" t="s">
        <v>27</v>
      </c>
      <c r="I35" s="2">
        <v>45722.0</v>
      </c>
      <c r="J35" s="1">
        <v>4500000.0</v>
      </c>
      <c r="K35" s="2">
        <v>45717.0</v>
      </c>
    </row>
    <row r="36">
      <c r="A36" s="1" t="s">
        <v>44</v>
      </c>
      <c r="B36" s="1" t="s">
        <v>45</v>
      </c>
      <c r="C36" s="1" t="s">
        <v>42</v>
      </c>
      <c r="D36" s="1">
        <v>59.0</v>
      </c>
      <c r="E36" s="1">
        <v>30.0</v>
      </c>
      <c r="F36" s="1">
        <v>3.0</v>
      </c>
      <c r="G36" s="1">
        <v>6.0</v>
      </c>
      <c r="H36" s="1" t="s">
        <v>43</v>
      </c>
      <c r="I36" s="2">
        <v>45880.0</v>
      </c>
      <c r="J36" s="1">
        <v>350000.0</v>
      </c>
      <c r="K36" s="2">
        <v>45870.0</v>
      </c>
    </row>
    <row r="37">
      <c r="A37" s="1" t="s">
        <v>57</v>
      </c>
      <c r="B37" s="1" t="s">
        <v>58</v>
      </c>
      <c r="C37" s="1" t="s">
        <v>42</v>
      </c>
      <c r="D37" s="1">
        <v>22.0</v>
      </c>
      <c r="E37" s="1">
        <v>25.0</v>
      </c>
      <c r="F37" s="1">
        <v>2.0</v>
      </c>
      <c r="G37" s="1">
        <v>6.0</v>
      </c>
      <c r="H37" s="1" t="s">
        <v>59</v>
      </c>
      <c r="I37" s="2">
        <v>46000.0</v>
      </c>
      <c r="J37" s="1">
        <v>450000.0</v>
      </c>
      <c r="K37" s="2">
        <v>45992.0</v>
      </c>
    </row>
    <row r="38">
      <c r="A38" s="1" t="s">
        <v>60</v>
      </c>
      <c r="B38" s="1" t="s">
        <v>61</v>
      </c>
      <c r="C38" s="1" t="s">
        <v>17</v>
      </c>
      <c r="D38" s="1">
        <v>30.0</v>
      </c>
      <c r="E38" s="1">
        <v>20.0</v>
      </c>
      <c r="F38" s="1">
        <v>1.0</v>
      </c>
      <c r="G38" s="1">
        <v>14.0</v>
      </c>
      <c r="H38" s="1" t="s">
        <v>27</v>
      </c>
      <c r="I38" s="2">
        <v>46048.0</v>
      </c>
      <c r="J38" s="1">
        <v>3200000.0</v>
      </c>
      <c r="K38" s="2">
        <v>46023.0</v>
      </c>
    </row>
    <row r="39">
      <c r="A39" s="1" t="s">
        <v>25</v>
      </c>
      <c r="B39" s="1" t="s">
        <v>26</v>
      </c>
      <c r="C39" s="1" t="s">
        <v>17</v>
      </c>
      <c r="D39" s="1">
        <v>2.0</v>
      </c>
      <c r="E39" s="1">
        <v>25.0</v>
      </c>
      <c r="F39" s="1">
        <v>3.0</v>
      </c>
      <c r="G39" s="1">
        <v>20.0</v>
      </c>
      <c r="H39" s="1" t="s">
        <v>27</v>
      </c>
      <c r="I39" s="2">
        <v>45950.0</v>
      </c>
      <c r="J39" s="1">
        <v>4500000.0</v>
      </c>
      <c r="K39" s="2">
        <v>45931.0</v>
      </c>
    </row>
    <row r="40">
      <c r="A40" s="1" t="s">
        <v>31</v>
      </c>
      <c r="B40" s="1" t="s">
        <v>32</v>
      </c>
      <c r="C40" s="1" t="s">
        <v>13</v>
      </c>
      <c r="D40" s="1">
        <v>184.0</v>
      </c>
      <c r="E40" s="1">
        <v>40.0</v>
      </c>
      <c r="F40" s="1">
        <v>3.0</v>
      </c>
      <c r="G40" s="1">
        <v>6.0</v>
      </c>
      <c r="H40" s="1" t="s">
        <v>33</v>
      </c>
      <c r="I40" s="2">
        <v>45682.0</v>
      </c>
      <c r="J40" s="1">
        <v>550000.0</v>
      </c>
      <c r="K40" s="2">
        <v>45658.0</v>
      </c>
    </row>
    <row r="41">
      <c r="A41" s="1" t="s">
        <v>64</v>
      </c>
      <c r="B41" s="1" t="s">
        <v>65</v>
      </c>
      <c r="C41" s="1" t="s">
        <v>42</v>
      </c>
      <c r="D41" s="1">
        <v>19.0</v>
      </c>
      <c r="E41" s="1">
        <v>20.0</v>
      </c>
      <c r="F41" s="1">
        <v>4.0</v>
      </c>
      <c r="G41" s="1">
        <v>9.0</v>
      </c>
      <c r="H41" s="1" t="s">
        <v>59</v>
      </c>
      <c r="I41" s="2">
        <v>45782.0</v>
      </c>
      <c r="J41" s="1">
        <v>750000.0</v>
      </c>
      <c r="K41" s="2">
        <v>45778.0</v>
      </c>
    </row>
    <row r="42">
      <c r="A42" s="1" t="s">
        <v>62</v>
      </c>
      <c r="B42" s="1" t="s">
        <v>63</v>
      </c>
      <c r="C42" s="1" t="s">
        <v>13</v>
      </c>
      <c r="D42" s="1">
        <v>268.0</v>
      </c>
      <c r="E42" s="1">
        <v>80.0</v>
      </c>
      <c r="F42" s="1">
        <v>4.0</v>
      </c>
      <c r="G42" s="1">
        <v>4.0</v>
      </c>
      <c r="H42" s="1" t="s">
        <v>33</v>
      </c>
      <c r="I42" s="2">
        <v>46099.0</v>
      </c>
      <c r="J42" s="1">
        <v>85000.0</v>
      </c>
      <c r="K42" s="2">
        <v>46082.0</v>
      </c>
    </row>
    <row r="43">
      <c r="A43" s="1" t="s">
        <v>34</v>
      </c>
      <c r="B43" s="1" t="s">
        <v>35</v>
      </c>
      <c r="C43" s="1" t="s">
        <v>36</v>
      </c>
      <c r="D43" s="1">
        <v>31.0</v>
      </c>
      <c r="E43" s="1">
        <v>80.0</v>
      </c>
      <c r="F43" s="1">
        <v>13.0</v>
      </c>
      <c r="G43" s="1">
        <v>4.0</v>
      </c>
      <c r="H43" s="1" t="s">
        <v>37</v>
      </c>
      <c r="I43" s="2">
        <v>45857.0</v>
      </c>
      <c r="J43" s="1">
        <v>65000.0</v>
      </c>
      <c r="K43" s="2">
        <v>45839.0</v>
      </c>
    </row>
    <row r="44">
      <c r="A44" s="1" t="s">
        <v>55</v>
      </c>
      <c r="B44" s="1" t="s">
        <v>56</v>
      </c>
      <c r="C44" s="1" t="s">
        <v>36</v>
      </c>
      <c r="D44" s="1">
        <v>28.0</v>
      </c>
      <c r="E44" s="1">
        <v>100.0</v>
      </c>
      <c r="F44" s="1">
        <v>17.0</v>
      </c>
      <c r="G44" s="1">
        <v>3.0</v>
      </c>
      <c r="H44" s="1" t="s">
        <v>37</v>
      </c>
      <c r="I44" s="2">
        <v>46070.0</v>
      </c>
      <c r="J44" s="1">
        <v>85000.0</v>
      </c>
      <c r="K44" s="2">
        <v>46054.0</v>
      </c>
    </row>
    <row r="45">
      <c r="A45" s="1" t="s">
        <v>15</v>
      </c>
      <c r="B45" s="1" t="s">
        <v>16</v>
      </c>
      <c r="C45" s="1" t="s">
        <v>17</v>
      </c>
      <c r="D45" s="1">
        <v>22.0</v>
      </c>
      <c r="E45" s="1">
        <v>15.0</v>
      </c>
      <c r="F45" s="1">
        <v>2.0</v>
      </c>
      <c r="G45" s="1">
        <v>7.0</v>
      </c>
      <c r="H45" s="1" t="s">
        <v>18</v>
      </c>
      <c r="I45" s="2">
        <v>45878.0</v>
      </c>
      <c r="J45" s="1">
        <v>8500000.0</v>
      </c>
      <c r="K45" s="2">
        <v>45870.0</v>
      </c>
    </row>
    <row r="46">
      <c r="A46" s="1" t="s">
        <v>48</v>
      </c>
      <c r="B46" s="1" t="s">
        <v>49</v>
      </c>
      <c r="C46" s="1" t="s">
        <v>36</v>
      </c>
      <c r="D46" s="1">
        <v>27.0</v>
      </c>
      <c r="E46" s="1">
        <v>120.0</v>
      </c>
      <c r="F46" s="1">
        <v>18.0</v>
      </c>
      <c r="G46" s="1">
        <v>4.0</v>
      </c>
      <c r="H46" s="1" t="s">
        <v>50</v>
      </c>
      <c r="I46" s="2">
        <v>45782.0</v>
      </c>
      <c r="J46" s="1">
        <v>55000.0</v>
      </c>
      <c r="K46" s="2">
        <v>45778.0</v>
      </c>
    </row>
    <row r="47">
      <c r="A47" s="1" t="s">
        <v>38</v>
      </c>
      <c r="B47" s="1" t="s">
        <v>39</v>
      </c>
      <c r="C47" s="1" t="s">
        <v>23</v>
      </c>
      <c r="D47" s="1">
        <v>0.0</v>
      </c>
      <c r="E47" s="1">
        <v>45.0</v>
      </c>
      <c r="F47" s="1">
        <v>10.0</v>
      </c>
      <c r="G47" s="1">
        <v>3.0</v>
      </c>
      <c r="H47" s="1" t="s">
        <v>24</v>
      </c>
      <c r="I47" s="2">
        <v>45737.0</v>
      </c>
      <c r="J47" s="1">
        <v>450000.0</v>
      </c>
      <c r="K47" s="2">
        <v>45717.0</v>
      </c>
    </row>
    <row r="48">
      <c r="A48" s="1" t="s">
        <v>46</v>
      </c>
      <c r="B48" s="1" t="s">
        <v>47</v>
      </c>
      <c r="C48" s="1" t="s">
        <v>23</v>
      </c>
      <c r="D48" s="1">
        <v>0.0</v>
      </c>
      <c r="E48" s="1">
        <v>40.0</v>
      </c>
      <c r="F48" s="1">
        <v>8.0</v>
      </c>
      <c r="G48" s="1">
        <v>3.0</v>
      </c>
      <c r="H48" s="1" t="s">
        <v>30</v>
      </c>
      <c r="I48" s="2">
        <v>46018.0</v>
      </c>
      <c r="J48" s="1">
        <v>550000.0</v>
      </c>
      <c r="K48" s="2">
        <v>45992.0</v>
      </c>
    </row>
    <row r="49">
      <c r="A49" s="1" t="s">
        <v>55</v>
      </c>
      <c r="B49" s="1" t="s">
        <v>56</v>
      </c>
      <c r="C49" s="1" t="s">
        <v>36</v>
      </c>
      <c r="D49" s="1">
        <v>35.0</v>
      </c>
      <c r="E49" s="1">
        <v>100.0</v>
      </c>
      <c r="F49" s="1">
        <v>14.0</v>
      </c>
      <c r="G49" s="1">
        <v>3.0</v>
      </c>
      <c r="H49" s="1" t="s">
        <v>37</v>
      </c>
      <c r="I49" s="2">
        <v>45685.0</v>
      </c>
      <c r="J49" s="1">
        <v>85000.0</v>
      </c>
      <c r="K49" s="2">
        <v>45658.0</v>
      </c>
    </row>
    <row r="50">
      <c r="A50" s="1" t="s">
        <v>28</v>
      </c>
      <c r="B50" s="1" t="s">
        <v>29</v>
      </c>
      <c r="C50" s="1" t="s">
        <v>23</v>
      </c>
      <c r="D50" s="1">
        <v>0.0</v>
      </c>
      <c r="E50" s="1">
        <v>35.0</v>
      </c>
      <c r="F50" s="1">
        <v>9.0</v>
      </c>
      <c r="G50" s="1">
        <v>5.0</v>
      </c>
      <c r="H50" s="1" t="s">
        <v>30</v>
      </c>
      <c r="I50" s="2">
        <v>46095.0</v>
      </c>
      <c r="J50" s="1">
        <v>1250000.0</v>
      </c>
      <c r="K50" s="2">
        <v>46082.0</v>
      </c>
    </row>
    <row r="51">
      <c r="A51" s="1" t="s">
        <v>38</v>
      </c>
      <c r="B51" s="1" t="s">
        <v>39</v>
      </c>
      <c r="C51" s="1" t="s">
        <v>23</v>
      </c>
      <c r="D51" s="1">
        <v>40.0</v>
      </c>
      <c r="E51" s="1">
        <v>45.0</v>
      </c>
      <c r="F51" s="1">
        <v>5.0</v>
      </c>
      <c r="G51" s="1">
        <v>3.0</v>
      </c>
      <c r="H51" s="1" t="s">
        <v>24</v>
      </c>
      <c r="I51" s="2">
        <v>45959.0</v>
      </c>
      <c r="J51" s="1">
        <v>450000.0</v>
      </c>
      <c r="K51" s="2">
        <v>45931.0</v>
      </c>
    </row>
    <row r="52">
      <c r="A52" s="1" t="s">
        <v>64</v>
      </c>
      <c r="B52" s="1" t="s">
        <v>65</v>
      </c>
      <c r="C52" s="1" t="s">
        <v>42</v>
      </c>
      <c r="D52" s="1">
        <v>29.0</v>
      </c>
      <c r="E52" s="1">
        <v>20.0</v>
      </c>
      <c r="F52" s="1">
        <v>4.0</v>
      </c>
      <c r="G52" s="1">
        <v>10.0</v>
      </c>
      <c r="H52" s="1" t="s">
        <v>59</v>
      </c>
      <c r="I52" s="2">
        <v>45826.0</v>
      </c>
      <c r="J52" s="1">
        <v>750000.0</v>
      </c>
      <c r="K52" s="2">
        <v>45809.0</v>
      </c>
    </row>
    <row r="53">
      <c r="A53" s="1" t="s">
        <v>40</v>
      </c>
      <c r="B53" s="1" t="s">
        <v>41</v>
      </c>
      <c r="C53" s="1" t="s">
        <v>42</v>
      </c>
      <c r="D53" s="1">
        <v>30.0</v>
      </c>
      <c r="E53" s="1">
        <v>15.0</v>
      </c>
      <c r="F53" s="1">
        <v>2.0</v>
      </c>
      <c r="G53" s="1">
        <v>9.0</v>
      </c>
      <c r="H53" s="1" t="s">
        <v>43</v>
      </c>
      <c r="I53" s="2">
        <v>45892.0</v>
      </c>
      <c r="J53" s="1">
        <v>1200000.0</v>
      </c>
      <c r="K53" s="2">
        <v>45870.0</v>
      </c>
    </row>
    <row r="54">
      <c r="A54" s="1" t="s">
        <v>31</v>
      </c>
      <c r="B54" s="1" t="s">
        <v>32</v>
      </c>
      <c r="C54" s="1" t="s">
        <v>13</v>
      </c>
      <c r="D54" s="1">
        <v>91.0</v>
      </c>
      <c r="E54" s="1">
        <v>40.0</v>
      </c>
      <c r="F54" s="1">
        <v>3.0</v>
      </c>
      <c r="G54" s="1">
        <v>5.0</v>
      </c>
      <c r="H54" s="1" t="s">
        <v>33</v>
      </c>
      <c r="I54" s="2">
        <v>45724.0</v>
      </c>
      <c r="J54" s="1">
        <v>550000.0</v>
      </c>
      <c r="K54" s="2">
        <v>45717.0</v>
      </c>
    </row>
    <row r="55">
      <c r="A55" s="1" t="s">
        <v>53</v>
      </c>
      <c r="B55" s="1" t="s">
        <v>54</v>
      </c>
      <c r="C55" s="1" t="s">
        <v>13</v>
      </c>
      <c r="D55" s="1">
        <v>299.0</v>
      </c>
      <c r="E55" s="1">
        <v>60.0</v>
      </c>
      <c r="F55" s="1">
        <v>1.0</v>
      </c>
      <c r="G55" s="1">
        <v>7.0</v>
      </c>
      <c r="H55" s="1" t="s">
        <v>14</v>
      </c>
      <c r="I55" s="2">
        <v>45756.0</v>
      </c>
      <c r="J55" s="1">
        <v>165000.0</v>
      </c>
      <c r="K55" s="2">
        <v>45748.0</v>
      </c>
    </row>
    <row r="56">
      <c r="A56" s="1" t="s">
        <v>62</v>
      </c>
      <c r="B56" s="1" t="s">
        <v>63</v>
      </c>
      <c r="C56" s="1" t="s">
        <v>13</v>
      </c>
      <c r="D56" s="1">
        <v>392.0</v>
      </c>
      <c r="E56" s="1">
        <v>80.0</v>
      </c>
      <c r="F56" s="1">
        <v>5.0</v>
      </c>
      <c r="G56" s="1">
        <v>4.0</v>
      </c>
      <c r="H56" s="1" t="s">
        <v>33</v>
      </c>
      <c r="I56" s="2">
        <v>45701.0</v>
      </c>
      <c r="J56" s="1">
        <v>85000.0</v>
      </c>
      <c r="K56" s="2">
        <v>45689.0</v>
      </c>
    </row>
    <row r="57">
      <c r="A57" s="1" t="s">
        <v>53</v>
      </c>
      <c r="B57" s="1" t="s">
        <v>54</v>
      </c>
      <c r="C57" s="1" t="s">
        <v>13</v>
      </c>
      <c r="D57" s="1">
        <v>198.0</v>
      </c>
      <c r="E57" s="1">
        <v>60.0</v>
      </c>
      <c r="F57" s="1">
        <v>3.0</v>
      </c>
      <c r="G57" s="1">
        <v>8.0</v>
      </c>
      <c r="H57" s="1" t="s">
        <v>14</v>
      </c>
      <c r="I57" s="2">
        <v>45712.0</v>
      </c>
      <c r="J57" s="1">
        <v>165000.0</v>
      </c>
      <c r="K57" s="2">
        <v>45689.0</v>
      </c>
    </row>
    <row r="58">
      <c r="A58" s="1" t="s">
        <v>11</v>
      </c>
      <c r="B58" s="1" t="s">
        <v>12</v>
      </c>
      <c r="C58" s="1" t="s">
        <v>13</v>
      </c>
      <c r="D58" s="1">
        <v>238.0</v>
      </c>
      <c r="E58" s="1">
        <v>50.0</v>
      </c>
      <c r="F58" s="1">
        <v>2.0</v>
      </c>
      <c r="G58" s="1">
        <v>7.0</v>
      </c>
      <c r="H58" s="1" t="s">
        <v>14</v>
      </c>
      <c r="I58" s="2">
        <v>45671.0</v>
      </c>
      <c r="J58" s="1">
        <v>125000.0</v>
      </c>
      <c r="K58" s="2">
        <v>45658.0</v>
      </c>
    </row>
    <row r="59">
      <c r="A59" s="1" t="s">
        <v>46</v>
      </c>
      <c r="B59" s="1" t="s">
        <v>47</v>
      </c>
      <c r="C59" s="1" t="s">
        <v>23</v>
      </c>
      <c r="D59" s="1">
        <v>44.0</v>
      </c>
      <c r="E59" s="1">
        <v>40.0</v>
      </c>
      <c r="F59" s="1">
        <v>5.0</v>
      </c>
      <c r="G59" s="1">
        <v>6.0</v>
      </c>
      <c r="H59" s="1" t="s">
        <v>30</v>
      </c>
      <c r="I59" s="2">
        <v>45799.0</v>
      </c>
      <c r="J59" s="1">
        <v>550000.0</v>
      </c>
      <c r="K59" s="2">
        <v>45778.0</v>
      </c>
    </row>
    <row r="60">
      <c r="A60" s="1" t="s">
        <v>46</v>
      </c>
      <c r="B60" s="1" t="s">
        <v>47</v>
      </c>
      <c r="C60" s="1" t="s">
        <v>23</v>
      </c>
      <c r="D60" s="1">
        <v>28.0</v>
      </c>
      <c r="E60" s="1">
        <v>40.0</v>
      </c>
      <c r="F60" s="1">
        <v>3.0</v>
      </c>
      <c r="G60" s="1">
        <v>6.0</v>
      </c>
      <c r="H60" s="1" t="s">
        <v>30</v>
      </c>
      <c r="I60" s="2">
        <v>45956.0</v>
      </c>
      <c r="J60" s="1">
        <v>550000.0</v>
      </c>
      <c r="K60" s="2">
        <v>45931.0</v>
      </c>
    </row>
    <row r="61">
      <c r="A61" s="1" t="s">
        <v>46</v>
      </c>
      <c r="B61" s="1" t="s">
        <v>47</v>
      </c>
      <c r="C61" s="1" t="s">
        <v>23</v>
      </c>
      <c r="D61" s="1">
        <v>29.0</v>
      </c>
      <c r="E61" s="1">
        <v>40.0</v>
      </c>
      <c r="F61" s="1">
        <v>4.0</v>
      </c>
      <c r="G61" s="1">
        <v>9.0</v>
      </c>
      <c r="H61" s="1" t="s">
        <v>30</v>
      </c>
      <c r="I61" s="2">
        <v>45839.0</v>
      </c>
      <c r="J61" s="1">
        <v>550000.0</v>
      </c>
      <c r="K61" s="2">
        <v>45839.0</v>
      </c>
    </row>
    <row r="62">
      <c r="A62" s="1" t="s">
        <v>62</v>
      </c>
      <c r="B62" s="1" t="s">
        <v>63</v>
      </c>
      <c r="C62" s="1" t="s">
        <v>13</v>
      </c>
      <c r="D62" s="1">
        <v>468.0</v>
      </c>
      <c r="E62" s="1">
        <v>80.0</v>
      </c>
      <c r="F62" s="1">
        <v>5.0</v>
      </c>
      <c r="G62" s="1">
        <v>6.0</v>
      </c>
      <c r="H62" s="1" t="s">
        <v>33</v>
      </c>
      <c r="I62" s="2">
        <v>46079.0</v>
      </c>
      <c r="J62" s="1">
        <v>85000.0</v>
      </c>
      <c r="K62" s="2">
        <v>46054.0</v>
      </c>
    </row>
    <row r="63">
      <c r="A63" s="1" t="s">
        <v>57</v>
      </c>
      <c r="B63" s="1" t="s">
        <v>58</v>
      </c>
      <c r="C63" s="1" t="s">
        <v>42</v>
      </c>
      <c r="D63" s="1">
        <v>16.0</v>
      </c>
      <c r="E63" s="1">
        <v>25.0</v>
      </c>
      <c r="F63" s="1">
        <v>3.0</v>
      </c>
      <c r="G63" s="1">
        <v>6.0</v>
      </c>
      <c r="H63" s="1" t="s">
        <v>59</v>
      </c>
      <c r="I63" s="2">
        <v>45982.0</v>
      </c>
      <c r="J63" s="1">
        <v>450000.0</v>
      </c>
      <c r="K63" s="2">
        <v>45962.0</v>
      </c>
    </row>
    <row r="64">
      <c r="A64" s="1" t="s">
        <v>62</v>
      </c>
      <c r="B64" s="1" t="s">
        <v>63</v>
      </c>
      <c r="C64" s="1" t="s">
        <v>13</v>
      </c>
      <c r="D64" s="1">
        <v>320.0</v>
      </c>
      <c r="E64" s="1">
        <v>80.0</v>
      </c>
      <c r="F64" s="1">
        <v>5.0</v>
      </c>
      <c r="G64" s="1">
        <v>4.0</v>
      </c>
      <c r="H64" s="1" t="s">
        <v>33</v>
      </c>
      <c r="I64" s="2">
        <v>45909.0</v>
      </c>
      <c r="J64" s="1">
        <v>85000.0</v>
      </c>
      <c r="K64" s="2">
        <v>45901.0</v>
      </c>
    </row>
    <row r="65">
      <c r="A65" s="1" t="s">
        <v>38</v>
      </c>
      <c r="B65" s="1" t="s">
        <v>39</v>
      </c>
      <c r="C65" s="1" t="s">
        <v>23</v>
      </c>
      <c r="D65" s="1">
        <v>0.0</v>
      </c>
      <c r="E65" s="1">
        <v>45.0</v>
      </c>
      <c r="F65" s="1">
        <v>10.0</v>
      </c>
      <c r="G65" s="1">
        <v>4.0</v>
      </c>
      <c r="H65" s="1" t="s">
        <v>24</v>
      </c>
      <c r="I65" s="2">
        <v>45768.0</v>
      </c>
      <c r="J65" s="1">
        <v>450000.0</v>
      </c>
      <c r="K65" s="2">
        <v>45748.0</v>
      </c>
    </row>
    <row r="66">
      <c r="A66" s="1" t="s">
        <v>55</v>
      </c>
      <c r="B66" s="1" t="s">
        <v>56</v>
      </c>
      <c r="C66" s="1" t="s">
        <v>36</v>
      </c>
      <c r="D66" s="1">
        <v>29.0</v>
      </c>
      <c r="E66" s="1">
        <v>100.0</v>
      </c>
      <c r="F66" s="1">
        <v>16.0</v>
      </c>
      <c r="G66" s="1">
        <v>5.0</v>
      </c>
      <c r="H66" s="1" t="s">
        <v>37</v>
      </c>
      <c r="I66" s="2">
        <v>45813.0</v>
      </c>
      <c r="J66" s="1">
        <v>85000.0</v>
      </c>
      <c r="K66" s="2">
        <v>45809.0</v>
      </c>
    </row>
    <row r="67">
      <c r="A67" s="1" t="s">
        <v>19</v>
      </c>
      <c r="B67" s="1" t="s">
        <v>20</v>
      </c>
      <c r="C67" s="1" t="s">
        <v>17</v>
      </c>
      <c r="D67" s="1">
        <v>34.0</v>
      </c>
      <c r="E67" s="1">
        <v>30.0</v>
      </c>
      <c r="F67" s="1">
        <v>4.0</v>
      </c>
      <c r="G67" s="1">
        <v>5.0</v>
      </c>
      <c r="H67" s="1" t="s">
        <v>18</v>
      </c>
      <c r="I67" s="2">
        <v>46083.0</v>
      </c>
      <c r="J67" s="1">
        <v>1200000.0</v>
      </c>
      <c r="K67" s="2">
        <v>46082.0</v>
      </c>
    </row>
    <row r="68">
      <c r="A68" s="1" t="s">
        <v>55</v>
      </c>
      <c r="B68" s="1" t="s">
        <v>56</v>
      </c>
      <c r="C68" s="1" t="s">
        <v>36</v>
      </c>
      <c r="D68" s="1">
        <v>60.0</v>
      </c>
      <c r="E68" s="1">
        <v>100.0</v>
      </c>
      <c r="F68" s="1">
        <v>12.0</v>
      </c>
      <c r="G68" s="1">
        <v>4.0</v>
      </c>
      <c r="H68" s="1" t="s">
        <v>37</v>
      </c>
      <c r="I68" s="2">
        <v>45928.0</v>
      </c>
      <c r="J68" s="1">
        <v>85000.0</v>
      </c>
      <c r="K68" s="2">
        <v>45901.0</v>
      </c>
    </row>
    <row r="69">
      <c r="A69" s="1" t="s">
        <v>15</v>
      </c>
      <c r="B69" s="1" t="s">
        <v>16</v>
      </c>
      <c r="C69" s="1" t="s">
        <v>17</v>
      </c>
      <c r="D69" s="1">
        <v>1.0</v>
      </c>
      <c r="E69" s="1">
        <v>15.0</v>
      </c>
      <c r="F69" s="1">
        <v>2.0</v>
      </c>
      <c r="G69" s="1">
        <v>6.0</v>
      </c>
      <c r="H69" s="1" t="s">
        <v>18</v>
      </c>
      <c r="I69" s="2">
        <v>45861.0</v>
      </c>
      <c r="J69" s="1">
        <v>8500000.0</v>
      </c>
      <c r="K69" s="2">
        <v>45839.0</v>
      </c>
    </row>
    <row r="70">
      <c r="A70" s="1" t="s">
        <v>31</v>
      </c>
      <c r="B70" s="1" t="s">
        <v>32</v>
      </c>
      <c r="C70" s="1" t="s">
        <v>13</v>
      </c>
      <c r="D70" s="1">
        <v>177.0</v>
      </c>
      <c r="E70" s="1">
        <v>40.0</v>
      </c>
      <c r="F70" s="1">
        <v>2.0</v>
      </c>
      <c r="G70" s="1">
        <v>4.0</v>
      </c>
      <c r="H70" s="1" t="s">
        <v>33</v>
      </c>
      <c r="I70" s="2">
        <v>45757.0</v>
      </c>
      <c r="J70" s="1">
        <v>550000.0</v>
      </c>
      <c r="K70" s="2">
        <v>45748.0</v>
      </c>
    </row>
    <row r="71">
      <c r="A71" s="1" t="s">
        <v>60</v>
      </c>
      <c r="B71" s="1" t="s">
        <v>61</v>
      </c>
      <c r="C71" s="1" t="s">
        <v>17</v>
      </c>
      <c r="D71" s="1">
        <v>28.0</v>
      </c>
      <c r="E71" s="1">
        <v>20.0</v>
      </c>
      <c r="F71" s="1">
        <v>1.0</v>
      </c>
      <c r="G71" s="1">
        <v>11.0</v>
      </c>
      <c r="H71" s="1" t="s">
        <v>27</v>
      </c>
      <c r="I71" s="2">
        <v>45669.0</v>
      </c>
      <c r="J71" s="1">
        <v>3200000.0</v>
      </c>
      <c r="K71" s="2">
        <v>45658.0</v>
      </c>
    </row>
    <row r="72">
      <c r="A72" s="1" t="s">
        <v>25</v>
      </c>
      <c r="B72" s="1" t="s">
        <v>26</v>
      </c>
      <c r="C72" s="1" t="s">
        <v>17</v>
      </c>
      <c r="D72" s="1">
        <v>42.0</v>
      </c>
      <c r="E72" s="1">
        <v>25.0</v>
      </c>
      <c r="F72" s="1">
        <v>4.0</v>
      </c>
      <c r="G72" s="1">
        <v>19.0</v>
      </c>
      <c r="H72" s="1" t="s">
        <v>27</v>
      </c>
      <c r="I72" s="2">
        <v>45881.0</v>
      </c>
      <c r="J72" s="1">
        <v>4500000.0</v>
      </c>
      <c r="K72" s="2">
        <v>45870.0</v>
      </c>
    </row>
    <row r="73" hidden="1">
      <c r="A73" s="1" t="s">
        <v>51</v>
      </c>
      <c r="B73" s="1" t="s">
        <v>52</v>
      </c>
      <c r="C73" s="1" t="s">
        <v>36</v>
      </c>
      <c r="D73" s="1">
        <v>18.0</v>
      </c>
      <c r="E73" s="1">
        <v>60.0</v>
      </c>
      <c r="F73" s="1">
        <v>8.0</v>
      </c>
      <c r="G73" s="1">
        <v>5.0</v>
      </c>
      <c r="H73" s="1" t="s">
        <v>50</v>
      </c>
      <c r="I73" s="2">
        <v>45712.0</v>
      </c>
      <c r="J73" s="3"/>
      <c r="K73" s="2">
        <v>45689.0</v>
      </c>
    </row>
    <row r="74">
      <c r="A74" s="1" t="s">
        <v>19</v>
      </c>
      <c r="B74" s="1" t="s">
        <v>20</v>
      </c>
      <c r="C74" s="1" t="s">
        <v>17</v>
      </c>
      <c r="D74" s="1">
        <v>17.0</v>
      </c>
      <c r="E74" s="1">
        <v>30.0</v>
      </c>
      <c r="F74" s="1">
        <v>6.0</v>
      </c>
      <c r="G74" s="1">
        <v>8.0</v>
      </c>
      <c r="H74" s="1" t="s">
        <v>18</v>
      </c>
      <c r="I74" s="2">
        <v>45996.0</v>
      </c>
      <c r="J74" s="1">
        <v>1200000.0</v>
      </c>
      <c r="K74" s="2">
        <v>45992.0</v>
      </c>
    </row>
    <row r="75">
      <c r="A75" s="1" t="s">
        <v>11</v>
      </c>
      <c r="B75" s="1" t="s">
        <v>12</v>
      </c>
      <c r="C75" s="1" t="s">
        <v>13</v>
      </c>
      <c r="D75" s="1">
        <v>238.0</v>
      </c>
      <c r="E75" s="1">
        <v>50.0</v>
      </c>
      <c r="F75" s="1">
        <v>2.0</v>
      </c>
      <c r="G75" s="1">
        <v>7.0</v>
      </c>
      <c r="H75" s="1" t="s">
        <v>14</v>
      </c>
      <c r="I75" s="2">
        <v>45671.0</v>
      </c>
      <c r="J75" s="1">
        <v>125000.0</v>
      </c>
      <c r="K75" s="2">
        <v>45658.0</v>
      </c>
    </row>
    <row r="76">
      <c r="A76" s="1" t="s">
        <v>46</v>
      </c>
      <c r="B76" s="1" t="s">
        <v>47</v>
      </c>
      <c r="C76" s="1" t="s">
        <v>23</v>
      </c>
      <c r="D76" s="1">
        <v>0.0</v>
      </c>
      <c r="E76" s="1">
        <v>40.0</v>
      </c>
      <c r="F76" s="1">
        <v>10.0</v>
      </c>
      <c r="G76" s="1">
        <v>7.0</v>
      </c>
      <c r="H76" s="1" t="s">
        <v>30</v>
      </c>
      <c r="I76" s="2">
        <v>46109.0</v>
      </c>
      <c r="J76" s="1">
        <v>550000.0</v>
      </c>
      <c r="K76" s="2">
        <v>46082.0</v>
      </c>
    </row>
    <row r="77">
      <c r="A77" s="1" t="s">
        <v>55</v>
      </c>
      <c r="B77" s="1" t="s">
        <v>56</v>
      </c>
      <c r="C77" s="1" t="s">
        <v>36</v>
      </c>
      <c r="D77" s="1">
        <v>26.0</v>
      </c>
      <c r="E77" s="1">
        <v>100.0</v>
      </c>
      <c r="F77" s="1">
        <v>16.0</v>
      </c>
      <c r="G77" s="1">
        <v>4.0</v>
      </c>
      <c r="H77" s="1" t="s">
        <v>37</v>
      </c>
      <c r="I77" s="2">
        <v>45778.0</v>
      </c>
      <c r="J77" s="1">
        <v>85000.0</v>
      </c>
      <c r="K77" s="2">
        <v>45778.0</v>
      </c>
    </row>
    <row r="78">
      <c r="A78" s="1" t="s">
        <v>62</v>
      </c>
      <c r="B78" s="1" t="s">
        <v>63</v>
      </c>
      <c r="C78" s="1" t="s">
        <v>13</v>
      </c>
      <c r="D78" s="1">
        <v>301.0</v>
      </c>
      <c r="E78" s="1">
        <v>80.0</v>
      </c>
      <c r="F78" s="1">
        <v>3.0</v>
      </c>
      <c r="G78" s="1">
        <v>4.0</v>
      </c>
      <c r="H78" s="1" t="s">
        <v>33</v>
      </c>
      <c r="I78" s="2">
        <v>45936.0</v>
      </c>
      <c r="J78" s="1">
        <v>85000.0</v>
      </c>
      <c r="K78" s="2">
        <v>45931.0</v>
      </c>
    </row>
    <row r="79">
      <c r="A79" s="1" t="s">
        <v>57</v>
      </c>
      <c r="B79" s="1" t="s">
        <v>58</v>
      </c>
      <c r="C79" s="1" t="s">
        <v>42</v>
      </c>
      <c r="D79" s="1">
        <v>19.0</v>
      </c>
      <c r="E79" s="1">
        <v>25.0</v>
      </c>
      <c r="F79" s="1">
        <v>4.0</v>
      </c>
      <c r="G79" s="1">
        <v>10.0</v>
      </c>
      <c r="H79" s="1" t="s">
        <v>59</v>
      </c>
      <c r="I79" s="2">
        <v>45729.0</v>
      </c>
      <c r="J79" s="1">
        <v>450000.0</v>
      </c>
      <c r="K79" s="2">
        <v>45717.0</v>
      </c>
    </row>
    <row r="80">
      <c r="A80" s="1" t="s">
        <v>44</v>
      </c>
      <c r="B80" s="1" t="s">
        <v>45</v>
      </c>
      <c r="C80" s="1" t="s">
        <v>42</v>
      </c>
      <c r="D80" s="1">
        <v>51.0</v>
      </c>
      <c r="E80" s="1">
        <v>30.0</v>
      </c>
      <c r="F80" s="1">
        <v>6.0</v>
      </c>
      <c r="G80" s="1">
        <v>9.0</v>
      </c>
      <c r="H80" s="1" t="s">
        <v>43</v>
      </c>
      <c r="I80" s="2">
        <v>45752.0</v>
      </c>
      <c r="J80" s="1">
        <v>350000.0</v>
      </c>
      <c r="K80" s="2">
        <v>45748.0</v>
      </c>
    </row>
    <row r="81">
      <c r="A81" s="1" t="s">
        <v>28</v>
      </c>
      <c r="B81" s="1" t="s">
        <v>29</v>
      </c>
      <c r="C81" s="1" t="s">
        <v>23</v>
      </c>
      <c r="D81" s="1">
        <v>17.0</v>
      </c>
      <c r="E81" s="1">
        <v>35.0</v>
      </c>
      <c r="F81" s="1">
        <v>5.0</v>
      </c>
      <c r="G81" s="1">
        <v>5.0</v>
      </c>
      <c r="H81" s="1" t="s">
        <v>30</v>
      </c>
      <c r="I81" s="2">
        <v>45663.0</v>
      </c>
      <c r="J81" s="1">
        <v>1250000.0</v>
      </c>
      <c r="K81" s="2">
        <v>45658.0</v>
      </c>
    </row>
    <row r="82">
      <c r="A82" s="1" t="s">
        <v>53</v>
      </c>
      <c r="B82" s="1" t="s">
        <v>54</v>
      </c>
      <c r="C82" s="1" t="s">
        <v>13</v>
      </c>
      <c r="D82" s="1">
        <v>223.0</v>
      </c>
      <c r="E82" s="1">
        <v>60.0</v>
      </c>
      <c r="F82" s="1">
        <v>4.0</v>
      </c>
      <c r="G82" s="1">
        <v>8.0</v>
      </c>
      <c r="H82" s="1" t="s">
        <v>14</v>
      </c>
      <c r="I82" s="2">
        <v>46108.0</v>
      </c>
      <c r="J82" s="1">
        <v>165000.0</v>
      </c>
      <c r="K82" s="2">
        <v>46082.0</v>
      </c>
    </row>
    <row r="83">
      <c r="A83" s="1" t="s">
        <v>21</v>
      </c>
      <c r="B83" s="1" t="s">
        <v>22</v>
      </c>
      <c r="C83" s="1" t="s">
        <v>23</v>
      </c>
      <c r="D83" s="1">
        <v>34.0</v>
      </c>
      <c r="E83" s="1">
        <v>50.0</v>
      </c>
      <c r="F83" s="1">
        <v>6.0</v>
      </c>
      <c r="G83" s="1">
        <v>6.0</v>
      </c>
      <c r="H83" s="1" t="s">
        <v>24</v>
      </c>
      <c r="I83" s="2">
        <v>45849.0</v>
      </c>
      <c r="J83" s="1">
        <v>350000.0</v>
      </c>
      <c r="K83" s="2">
        <v>45839.0</v>
      </c>
    </row>
    <row r="84">
      <c r="A84" s="1" t="s">
        <v>46</v>
      </c>
      <c r="B84" s="1" t="s">
        <v>47</v>
      </c>
      <c r="C84" s="1" t="s">
        <v>23</v>
      </c>
      <c r="D84" s="1">
        <v>10.0</v>
      </c>
      <c r="E84" s="1">
        <v>40.0</v>
      </c>
      <c r="F84" s="1">
        <v>4.0</v>
      </c>
      <c r="G84" s="1">
        <v>3.0</v>
      </c>
      <c r="H84" s="1" t="s">
        <v>30</v>
      </c>
      <c r="I84" s="2">
        <v>46055.0</v>
      </c>
      <c r="J84" s="1">
        <v>550000.0</v>
      </c>
      <c r="K84" s="2">
        <v>46054.0</v>
      </c>
    </row>
    <row r="85">
      <c r="A85" s="1" t="s">
        <v>62</v>
      </c>
      <c r="B85" s="1" t="s">
        <v>63</v>
      </c>
      <c r="C85" s="1" t="s">
        <v>13</v>
      </c>
      <c r="D85" s="1">
        <v>436.0</v>
      </c>
      <c r="E85" s="1">
        <v>80.0</v>
      </c>
      <c r="F85" s="1">
        <v>4.0</v>
      </c>
      <c r="G85" s="1">
        <v>4.0</v>
      </c>
      <c r="H85" s="1" t="s">
        <v>33</v>
      </c>
      <c r="I85" s="2">
        <v>45755.0</v>
      </c>
      <c r="J85" s="1">
        <v>85000.0</v>
      </c>
      <c r="K85" s="2">
        <v>45748.0</v>
      </c>
    </row>
    <row r="86">
      <c r="A86" s="1" t="s">
        <v>25</v>
      </c>
      <c r="B86" s="1" t="s">
        <v>26</v>
      </c>
      <c r="C86" s="1" t="s">
        <v>17</v>
      </c>
      <c r="D86" s="1">
        <v>0.0</v>
      </c>
      <c r="E86" s="1">
        <v>25.0</v>
      </c>
      <c r="F86" s="1">
        <v>8.0</v>
      </c>
      <c r="G86" s="1">
        <v>10.0</v>
      </c>
      <c r="H86" s="1" t="s">
        <v>27</v>
      </c>
      <c r="I86" s="2">
        <v>46013.0</v>
      </c>
      <c r="J86" s="1">
        <v>4500000.0</v>
      </c>
      <c r="K86" s="2">
        <v>45992.0</v>
      </c>
    </row>
    <row r="87">
      <c r="A87" s="1" t="s">
        <v>25</v>
      </c>
      <c r="B87" s="1" t="s">
        <v>26</v>
      </c>
      <c r="C87" s="1" t="s">
        <v>17</v>
      </c>
      <c r="D87" s="1">
        <v>20.0</v>
      </c>
      <c r="E87" s="1">
        <v>25.0</v>
      </c>
      <c r="F87" s="1">
        <v>4.0</v>
      </c>
      <c r="G87" s="1">
        <v>19.0</v>
      </c>
      <c r="H87" s="1" t="s">
        <v>27</v>
      </c>
      <c r="I87" s="2">
        <v>45786.0</v>
      </c>
      <c r="J87" s="1">
        <v>4500000.0</v>
      </c>
      <c r="K87" s="2">
        <v>45778.0</v>
      </c>
    </row>
    <row r="88">
      <c r="A88" s="1" t="s">
        <v>57</v>
      </c>
      <c r="B88" s="1" t="s">
        <v>58</v>
      </c>
      <c r="C88" s="1" t="s">
        <v>42</v>
      </c>
      <c r="D88" s="1">
        <v>42.0</v>
      </c>
      <c r="E88" s="1">
        <v>25.0</v>
      </c>
      <c r="F88" s="1">
        <v>4.0</v>
      </c>
      <c r="G88" s="1">
        <v>8.0</v>
      </c>
      <c r="H88" s="1" t="s">
        <v>59</v>
      </c>
      <c r="I88" s="2">
        <v>46029.0</v>
      </c>
      <c r="J88" s="1">
        <v>450000.0</v>
      </c>
      <c r="K88" s="2">
        <v>46023.0</v>
      </c>
    </row>
    <row r="89">
      <c r="A89" s="1" t="s">
        <v>28</v>
      </c>
      <c r="B89" s="1" t="s">
        <v>29</v>
      </c>
      <c r="C89" s="1" t="s">
        <v>23</v>
      </c>
      <c r="D89" s="1">
        <v>0.0</v>
      </c>
      <c r="E89" s="1">
        <v>35.0</v>
      </c>
      <c r="F89" s="1">
        <v>12.0</v>
      </c>
      <c r="G89" s="1">
        <v>9.0</v>
      </c>
      <c r="H89" s="1" t="s">
        <v>30</v>
      </c>
      <c r="I89" s="2">
        <v>45746.0</v>
      </c>
      <c r="J89" s="1">
        <v>1250000.0</v>
      </c>
      <c r="K89" s="2">
        <v>45717.0</v>
      </c>
    </row>
    <row r="90">
      <c r="A90" s="1" t="s">
        <v>38</v>
      </c>
      <c r="B90" s="1" t="s">
        <v>39</v>
      </c>
      <c r="C90" s="1" t="s">
        <v>23</v>
      </c>
      <c r="D90" s="1">
        <v>34.0</v>
      </c>
      <c r="E90" s="1">
        <v>45.0</v>
      </c>
      <c r="F90" s="1">
        <v>5.0</v>
      </c>
      <c r="G90" s="1">
        <v>4.0</v>
      </c>
      <c r="H90" s="1" t="s">
        <v>24</v>
      </c>
      <c r="I90" s="2">
        <v>45801.0</v>
      </c>
      <c r="J90" s="1">
        <v>450000.0</v>
      </c>
      <c r="K90" s="2">
        <v>45778.0</v>
      </c>
    </row>
    <row r="91">
      <c r="A91" s="1" t="s">
        <v>28</v>
      </c>
      <c r="B91" s="1" t="s">
        <v>29</v>
      </c>
      <c r="C91" s="1" t="s">
        <v>23</v>
      </c>
      <c r="D91" s="1">
        <v>0.0</v>
      </c>
      <c r="E91" s="1">
        <v>35.0</v>
      </c>
      <c r="F91" s="1">
        <v>10.0</v>
      </c>
      <c r="G91" s="1">
        <v>7.0</v>
      </c>
      <c r="H91" s="1" t="s">
        <v>30</v>
      </c>
      <c r="I91" s="2">
        <v>46008.0</v>
      </c>
      <c r="J91" s="1">
        <v>1250000.0</v>
      </c>
      <c r="K91" s="2">
        <v>45992.0</v>
      </c>
    </row>
    <row r="92">
      <c r="A92" s="1" t="s">
        <v>31</v>
      </c>
      <c r="B92" s="1" t="s">
        <v>32</v>
      </c>
      <c r="C92" s="1" t="s">
        <v>13</v>
      </c>
      <c r="D92" s="1">
        <v>169.0</v>
      </c>
      <c r="E92" s="1">
        <v>40.0</v>
      </c>
      <c r="F92" s="1">
        <v>3.0</v>
      </c>
      <c r="G92" s="1">
        <v>4.0</v>
      </c>
      <c r="H92" s="1" t="s">
        <v>33</v>
      </c>
      <c r="I92" s="2">
        <v>46074.0</v>
      </c>
      <c r="J92" s="1">
        <v>550000.0</v>
      </c>
      <c r="K92" s="2">
        <v>46054.0</v>
      </c>
    </row>
    <row r="93">
      <c r="A93" s="1" t="s">
        <v>21</v>
      </c>
      <c r="B93" s="1" t="s">
        <v>22</v>
      </c>
      <c r="C93" s="1" t="s">
        <v>23</v>
      </c>
      <c r="D93" s="1">
        <v>15.0</v>
      </c>
      <c r="E93" s="1">
        <v>50.0</v>
      </c>
      <c r="F93" s="1">
        <v>7.0</v>
      </c>
      <c r="G93" s="1">
        <v>7.0</v>
      </c>
      <c r="H93" s="1" t="s">
        <v>24</v>
      </c>
      <c r="I93" s="2">
        <v>46032.0</v>
      </c>
      <c r="J93" s="1">
        <v>350000.0</v>
      </c>
      <c r="K93" s="2">
        <v>46023.0</v>
      </c>
    </row>
    <row r="94">
      <c r="A94" s="1" t="s">
        <v>48</v>
      </c>
      <c r="B94" s="1" t="s">
        <v>49</v>
      </c>
      <c r="C94" s="1" t="s">
        <v>36</v>
      </c>
      <c r="D94" s="1">
        <v>48.0</v>
      </c>
      <c r="E94" s="1">
        <v>120.0</v>
      </c>
      <c r="F94" s="1">
        <v>18.0</v>
      </c>
      <c r="G94" s="1">
        <v>6.0</v>
      </c>
      <c r="H94" s="1" t="s">
        <v>50</v>
      </c>
      <c r="I94" s="2">
        <v>46074.0</v>
      </c>
      <c r="J94" s="1">
        <v>55000.0</v>
      </c>
      <c r="K94" s="2">
        <v>46054.0</v>
      </c>
    </row>
    <row r="95">
      <c r="A95" s="1" t="s">
        <v>25</v>
      </c>
      <c r="B95" s="1" t="s">
        <v>26</v>
      </c>
      <c r="C95" s="1" t="s">
        <v>17</v>
      </c>
      <c r="D95" s="1">
        <v>0.0</v>
      </c>
      <c r="E95" s="1">
        <v>25.0</v>
      </c>
      <c r="F95" s="1">
        <v>3.0</v>
      </c>
      <c r="G95" s="1">
        <v>18.0</v>
      </c>
      <c r="H95" s="1" t="s">
        <v>27</v>
      </c>
      <c r="I95" s="2">
        <v>45663.0</v>
      </c>
      <c r="J95" s="1">
        <v>4500000.0</v>
      </c>
      <c r="K95" s="2">
        <v>45658.0</v>
      </c>
    </row>
    <row r="96">
      <c r="A96" s="1" t="s">
        <v>15</v>
      </c>
      <c r="B96" s="1" t="s">
        <v>16</v>
      </c>
      <c r="C96" s="1" t="s">
        <v>17</v>
      </c>
      <c r="D96" s="1">
        <v>0.0</v>
      </c>
      <c r="E96" s="1">
        <v>15.0</v>
      </c>
      <c r="F96" s="1">
        <v>3.0</v>
      </c>
      <c r="G96" s="1">
        <v>8.0</v>
      </c>
      <c r="H96" s="1" t="s">
        <v>18</v>
      </c>
      <c r="I96" s="2">
        <v>45979.0</v>
      </c>
      <c r="J96" s="1">
        <v>8500000.0</v>
      </c>
      <c r="K96" s="2">
        <v>45962.0</v>
      </c>
    </row>
    <row r="97">
      <c r="A97" s="1" t="s">
        <v>44</v>
      </c>
      <c r="B97" s="1" t="s">
        <v>45</v>
      </c>
      <c r="C97" s="1" t="s">
        <v>42</v>
      </c>
      <c r="D97" s="1">
        <v>53.0</v>
      </c>
      <c r="E97" s="1">
        <v>30.0</v>
      </c>
      <c r="F97" s="1">
        <v>5.0</v>
      </c>
      <c r="G97" s="1">
        <v>4.0</v>
      </c>
      <c r="H97" s="1" t="s">
        <v>43</v>
      </c>
      <c r="I97" s="2">
        <v>45730.0</v>
      </c>
      <c r="J97" s="1">
        <v>350000.0</v>
      </c>
      <c r="K97" s="2">
        <v>45717.0</v>
      </c>
    </row>
    <row r="98">
      <c r="A98" s="1" t="s">
        <v>40</v>
      </c>
      <c r="B98" s="1" t="s">
        <v>41</v>
      </c>
      <c r="C98" s="1" t="s">
        <v>42</v>
      </c>
      <c r="D98" s="1">
        <v>12.0</v>
      </c>
      <c r="E98" s="1">
        <v>15.0</v>
      </c>
      <c r="F98" s="1">
        <v>4.0</v>
      </c>
      <c r="G98" s="1">
        <v>10.0</v>
      </c>
      <c r="H98" s="1" t="s">
        <v>43</v>
      </c>
      <c r="I98" s="2">
        <v>45717.0</v>
      </c>
      <c r="J98" s="1">
        <v>1200000.0</v>
      </c>
      <c r="K98" s="2">
        <v>45717.0</v>
      </c>
    </row>
    <row r="99">
      <c r="A99" s="1" t="s">
        <v>28</v>
      </c>
      <c r="B99" s="1" t="s">
        <v>29</v>
      </c>
      <c r="C99" s="1" t="s">
        <v>23</v>
      </c>
      <c r="D99" s="1">
        <v>31.0</v>
      </c>
      <c r="E99" s="1">
        <v>35.0</v>
      </c>
      <c r="F99" s="1">
        <v>3.0</v>
      </c>
      <c r="G99" s="1">
        <v>6.0</v>
      </c>
      <c r="H99" s="1" t="s">
        <v>30</v>
      </c>
      <c r="I99" s="2">
        <v>45891.0</v>
      </c>
      <c r="J99" s="1">
        <v>1250000.0</v>
      </c>
      <c r="K99" s="2">
        <v>45870.0</v>
      </c>
    </row>
    <row r="100">
      <c r="A100" s="1" t="s">
        <v>21</v>
      </c>
      <c r="B100" s="1" t="s">
        <v>22</v>
      </c>
      <c r="C100" s="1" t="s">
        <v>23</v>
      </c>
      <c r="D100" s="1">
        <v>21.0</v>
      </c>
      <c r="E100" s="1">
        <v>50.0</v>
      </c>
      <c r="F100" s="1">
        <v>7.0</v>
      </c>
      <c r="G100" s="1">
        <v>3.0</v>
      </c>
      <c r="H100" s="1" t="s">
        <v>24</v>
      </c>
      <c r="I100" s="2">
        <v>45918.0</v>
      </c>
      <c r="J100" s="1">
        <v>350000.0</v>
      </c>
      <c r="K100" s="2">
        <v>45901.0</v>
      </c>
    </row>
    <row r="101">
      <c r="A101" s="1" t="s">
        <v>11</v>
      </c>
      <c r="B101" s="1" t="s">
        <v>12</v>
      </c>
      <c r="C101" s="1" t="s">
        <v>13</v>
      </c>
      <c r="D101" s="1">
        <v>250.0</v>
      </c>
      <c r="E101" s="1">
        <v>50.0</v>
      </c>
      <c r="F101" s="1">
        <v>1.0</v>
      </c>
      <c r="G101" s="1">
        <v>7.0</v>
      </c>
      <c r="H101" s="1" t="s">
        <v>14</v>
      </c>
      <c r="I101" s="2">
        <v>46050.0</v>
      </c>
      <c r="J101" s="1">
        <v>125000.0</v>
      </c>
      <c r="K101" s="2">
        <v>46023.0</v>
      </c>
    </row>
    <row r="102">
      <c r="A102" s="1" t="s">
        <v>25</v>
      </c>
      <c r="B102" s="1" t="s">
        <v>26</v>
      </c>
      <c r="C102" s="1" t="s">
        <v>17</v>
      </c>
      <c r="D102" s="1">
        <v>32.0</v>
      </c>
      <c r="E102" s="1">
        <v>25.0</v>
      </c>
      <c r="F102" s="1">
        <v>4.0</v>
      </c>
      <c r="G102" s="1">
        <v>9.0</v>
      </c>
      <c r="H102" s="1" t="s">
        <v>27</v>
      </c>
      <c r="I102" s="2">
        <v>45708.0</v>
      </c>
      <c r="J102" s="1">
        <v>4500000.0</v>
      </c>
      <c r="K102" s="2">
        <v>45689.0</v>
      </c>
    </row>
    <row r="103">
      <c r="A103" s="1" t="s">
        <v>40</v>
      </c>
      <c r="B103" s="1" t="s">
        <v>41</v>
      </c>
      <c r="C103" s="1" t="s">
        <v>42</v>
      </c>
      <c r="D103" s="1">
        <v>3.0</v>
      </c>
      <c r="E103" s="1">
        <v>15.0</v>
      </c>
      <c r="F103" s="1">
        <v>3.0</v>
      </c>
      <c r="G103" s="1">
        <v>8.0</v>
      </c>
      <c r="H103" s="1" t="s">
        <v>43</v>
      </c>
      <c r="I103" s="2">
        <v>45815.0</v>
      </c>
      <c r="J103" s="1">
        <v>1200000.0</v>
      </c>
      <c r="K103" s="2">
        <v>45809.0</v>
      </c>
    </row>
    <row r="104">
      <c r="A104" s="1" t="s">
        <v>51</v>
      </c>
      <c r="B104" s="1" t="s">
        <v>52</v>
      </c>
      <c r="C104" s="1" t="s">
        <v>36</v>
      </c>
      <c r="D104" s="1">
        <v>0.0</v>
      </c>
      <c r="E104" s="1">
        <v>60.0</v>
      </c>
      <c r="F104" s="1">
        <v>13.0</v>
      </c>
      <c r="G104" s="1">
        <v>4.0</v>
      </c>
      <c r="H104" s="1" t="s">
        <v>50</v>
      </c>
      <c r="I104" s="2">
        <v>46004.0</v>
      </c>
      <c r="J104" s="1">
        <v>175000.0</v>
      </c>
      <c r="K104" s="2">
        <v>45992.0</v>
      </c>
    </row>
    <row r="105">
      <c r="A105" s="1" t="s">
        <v>21</v>
      </c>
      <c r="B105" s="1" t="s">
        <v>22</v>
      </c>
      <c r="C105" s="1" t="s">
        <v>23</v>
      </c>
      <c r="D105" s="1">
        <v>26.0</v>
      </c>
      <c r="E105" s="1">
        <v>50.0</v>
      </c>
      <c r="F105" s="1">
        <v>8.0</v>
      </c>
      <c r="G105" s="1">
        <v>3.0</v>
      </c>
      <c r="H105" s="1" t="s">
        <v>24</v>
      </c>
      <c r="I105" s="2">
        <v>45884.0</v>
      </c>
      <c r="J105" s="1">
        <v>350000.0</v>
      </c>
      <c r="K105" s="2">
        <v>45870.0</v>
      </c>
    </row>
    <row r="106">
      <c r="A106" s="1" t="s">
        <v>46</v>
      </c>
      <c r="B106" s="1" t="s">
        <v>47</v>
      </c>
      <c r="C106" s="1" t="s">
        <v>23</v>
      </c>
      <c r="D106" s="1">
        <v>32.0</v>
      </c>
      <c r="E106" s="1">
        <v>40.0</v>
      </c>
      <c r="F106" s="1">
        <v>5.0</v>
      </c>
      <c r="G106" s="1">
        <v>5.0</v>
      </c>
      <c r="H106" s="1" t="s">
        <v>30</v>
      </c>
      <c r="I106" s="2">
        <v>45915.0</v>
      </c>
      <c r="J106" s="1">
        <v>550000.0</v>
      </c>
      <c r="K106" s="2">
        <v>45901.0</v>
      </c>
    </row>
    <row r="107">
      <c r="A107" s="1" t="s">
        <v>21</v>
      </c>
      <c r="B107" s="1" t="s">
        <v>22</v>
      </c>
      <c r="C107" s="1" t="s">
        <v>23</v>
      </c>
      <c r="D107" s="1">
        <v>28.0</v>
      </c>
      <c r="E107" s="1">
        <v>50.0</v>
      </c>
      <c r="F107" s="1">
        <v>7.0</v>
      </c>
      <c r="G107" s="1">
        <v>7.0</v>
      </c>
      <c r="H107" s="1" t="s">
        <v>24</v>
      </c>
      <c r="I107" s="2">
        <v>45939.0</v>
      </c>
      <c r="J107" s="1">
        <v>350000.0</v>
      </c>
      <c r="K107" s="2">
        <v>45931.0</v>
      </c>
    </row>
    <row r="108">
      <c r="A108" s="1" t="s">
        <v>60</v>
      </c>
      <c r="B108" s="1" t="s">
        <v>61</v>
      </c>
      <c r="C108" s="1" t="s">
        <v>17</v>
      </c>
      <c r="D108" s="1">
        <v>0.0</v>
      </c>
      <c r="E108" s="1">
        <v>20.0</v>
      </c>
      <c r="F108" s="1">
        <v>1.0</v>
      </c>
      <c r="G108" s="1">
        <v>23.0</v>
      </c>
      <c r="H108" s="1" t="s">
        <v>27</v>
      </c>
      <c r="I108" s="2">
        <v>45689.0</v>
      </c>
      <c r="J108" s="1">
        <v>3200000.0</v>
      </c>
      <c r="K108" s="2">
        <v>45689.0</v>
      </c>
    </row>
    <row r="109">
      <c r="A109" s="1" t="s">
        <v>31</v>
      </c>
      <c r="B109" s="1" t="s">
        <v>32</v>
      </c>
      <c r="C109" s="1" t="s">
        <v>13</v>
      </c>
      <c r="D109" s="1">
        <v>221.0</v>
      </c>
      <c r="E109" s="1">
        <v>40.0</v>
      </c>
      <c r="F109" s="1">
        <v>2.0</v>
      </c>
      <c r="G109" s="1">
        <v>5.0</v>
      </c>
      <c r="H109" s="1" t="s">
        <v>33</v>
      </c>
      <c r="I109" s="2">
        <v>45791.0</v>
      </c>
      <c r="J109" s="1">
        <v>550000.0</v>
      </c>
      <c r="K109" s="2">
        <v>45778.0</v>
      </c>
    </row>
    <row r="110">
      <c r="A110" s="1" t="s">
        <v>40</v>
      </c>
      <c r="B110" s="1" t="s">
        <v>41</v>
      </c>
      <c r="C110" s="1" t="s">
        <v>42</v>
      </c>
      <c r="D110" s="1">
        <v>22.0</v>
      </c>
      <c r="E110" s="1">
        <v>15.0</v>
      </c>
      <c r="F110" s="1">
        <v>3.0</v>
      </c>
      <c r="G110" s="1">
        <v>4.0</v>
      </c>
      <c r="H110" s="1" t="s">
        <v>43</v>
      </c>
      <c r="I110" s="2">
        <v>45919.0</v>
      </c>
      <c r="J110" s="1">
        <v>1200000.0</v>
      </c>
      <c r="K110" s="2">
        <v>45901.0</v>
      </c>
    </row>
    <row r="111">
      <c r="A111" s="1" t="s">
        <v>11</v>
      </c>
      <c r="B111" s="1" t="s">
        <v>12</v>
      </c>
      <c r="C111" s="1" t="s">
        <v>13</v>
      </c>
      <c r="D111" s="1">
        <v>185.0</v>
      </c>
      <c r="E111" s="1">
        <v>50.0</v>
      </c>
      <c r="F111" s="1">
        <v>2.0</v>
      </c>
      <c r="G111" s="1">
        <v>8.0</v>
      </c>
      <c r="H111" s="1" t="s">
        <v>14</v>
      </c>
      <c r="I111" s="2">
        <v>46078.0</v>
      </c>
      <c r="J111" s="1">
        <v>125000.0</v>
      </c>
      <c r="K111" s="2">
        <v>46054.0</v>
      </c>
    </row>
    <row r="112">
      <c r="A112" s="1" t="s">
        <v>64</v>
      </c>
      <c r="B112" s="1" t="s">
        <v>65</v>
      </c>
      <c r="C112" s="1" t="s">
        <v>42</v>
      </c>
      <c r="D112" s="1">
        <v>32.0</v>
      </c>
      <c r="E112" s="1">
        <v>20.0</v>
      </c>
      <c r="F112" s="1">
        <v>2.0</v>
      </c>
      <c r="G112" s="1">
        <v>10.0</v>
      </c>
      <c r="H112" s="1" t="s">
        <v>59</v>
      </c>
      <c r="I112" s="2">
        <v>45865.0</v>
      </c>
      <c r="J112" s="1">
        <v>750000.0</v>
      </c>
      <c r="K112" s="2">
        <v>45839.0</v>
      </c>
    </row>
    <row r="113">
      <c r="A113" s="1" t="s">
        <v>25</v>
      </c>
      <c r="B113" s="1" t="s">
        <v>26</v>
      </c>
      <c r="C113" s="1" t="s">
        <v>17</v>
      </c>
      <c r="D113" s="1">
        <v>32.0</v>
      </c>
      <c r="E113" s="1">
        <v>25.0</v>
      </c>
      <c r="F113" s="1">
        <v>3.0</v>
      </c>
      <c r="G113" s="1">
        <v>8.0</v>
      </c>
      <c r="H113" s="1" t="s">
        <v>27</v>
      </c>
      <c r="I113" s="2">
        <v>45755.0</v>
      </c>
      <c r="J113" s="1">
        <v>4500000.0</v>
      </c>
      <c r="K113" s="2">
        <v>45748.0</v>
      </c>
    </row>
    <row r="114">
      <c r="A114" s="1" t="s">
        <v>48</v>
      </c>
      <c r="B114" s="1" t="s">
        <v>49</v>
      </c>
      <c r="C114" s="1" t="s">
        <v>36</v>
      </c>
      <c r="D114" s="1">
        <v>154.0</v>
      </c>
      <c r="E114" s="1">
        <v>120.0</v>
      </c>
      <c r="F114" s="1">
        <v>19.0</v>
      </c>
      <c r="G114" s="1">
        <v>6.0</v>
      </c>
      <c r="H114" s="1" t="s">
        <v>50</v>
      </c>
      <c r="I114" s="2">
        <v>45978.0</v>
      </c>
      <c r="J114" s="1">
        <v>55000.0</v>
      </c>
      <c r="K114" s="2">
        <v>45962.0</v>
      </c>
    </row>
    <row r="115">
      <c r="A115" s="1" t="s">
        <v>28</v>
      </c>
      <c r="B115" s="1" t="s">
        <v>29</v>
      </c>
      <c r="C115" s="1" t="s">
        <v>23</v>
      </c>
      <c r="D115" s="1">
        <v>18.0</v>
      </c>
      <c r="E115" s="1">
        <v>35.0</v>
      </c>
      <c r="F115" s="1">
        <v>7.0</v>
      </c>
      <c r="G115" s="1">
        <v>5.0</v>
      </c>
      <c r="H115" s="1" t="s">
        <v>30</v>
      </c>
      <c r="I115" s="2">
        <v>45859.0</v>
      </c>
      <c r="J115" s="1">
        <v>1250000.0</v>
      </c>
      <c r="K115" s="2">
        <v>45839.0</v>
      </c>
    </row>
    <row r="116" hidden="1">
      <c r="A116" s="1" t="s">
        <v>57</v>
      </c>
      <c r="B116" s="1" t="s">
        <v>58</v>
      </c>
      <c r="C116" s="1" t="s">
        <v>42</v>
      </c>
      <c r="D116" s="1">
        <v>14.0</v>
      </c>
      <c r="E116" s="1">
        <v>25.0</v>
      </c>
      <c r="F116" s="1">
        <v>5.0</v>
      </c>
      <c r="G116" s="1">
        <v>9.0</v>
      </c>
      <c r="H116" s="1" t="s">
        <v>59</v>
      </c>
      <c r="I116" s="2">
        <v>45816.0</v>
      </c>
      <c r="J116" s="3"/>
      <c r="K116" s="2">
        <v>45809.0</v>
      </c>
    </row>
    <row r="117">
      <c r="A117" s="1" t="s">
        <v>44</v>
      </c>
      <c r="B117" s="1" t="s">
        <v>45</v>
      </c>
      <c r="C117" s="1" t="s">
        <v>42</v>
      </c>
      <c r="D117" s="1">
        <v>34.0</v>
      </c>
      <c r="E117" s="1">
        <v>30.0</v>
      </c>
      <c r="F117" s="1">
        <v>5.0</v>
      </c>
      <c r="G117" s="1">
        <v>5.0</v>
      </c>
      <c r="H117" s="1" t="s">
        <v>43</v>
      </c>
      <c r="I117" s="2">
        <v>46007.0</v>
      </c>
      <c r="J117" s="1">
        <v>350000.0</v>
      </c>
      <c r="K117" s="2">
        <v>45992.0</v>
      </c>
    </row>
    <row r="118">
      <c r="A118" s="1" t="s">
        <v>38</v>
      </c>
      <c r="B118" s="1" t="s">
        <v>39</v>
      </c>
      <c r="C118" s="1" t="s">
        <v>23</v>
      </c>
      <c r="D118" s="1">
        <v>0.0</v>
      </c>
      <c r="E118" s="1">
        <v>45.0</v>
      </c>
      <c r="F118" s="1">
        <v>13.0</v>
      </c>
      <c r="G118" s="1">
        <v>7.0</v>
      </c>
      <c r="H118" s="1" t="s">
        <v>24</v>
      </c>
      <c r="I118" s="2">
        <v>46015.0</v>
      </c>
      <c r="J118" s="1">
        <v>450000.0</v>
      </c>
      <c r="K118" s="2">
        <v>45992.0</v>
      </c>
    </row>
    <row r="119">
      <c r="A119" s="1" t="s">
        <v>34</v>
      </c>
      <c r="B119" s="1" t="s">
        <v>35</v>
      </c>
      <c r="C119" s="1" t="s">
        <v>36</v>
      </c>
      <c r="D119" s="1">
        <v>17.0</v>
      </c>
      <c r="E119" s="1">
        <v>80.0</v>
      </c>
      <c r="F119" s="1">
        <v>11.0</v>
      </c>
      <c r="G119" s="1">
        <v>5.0</v>
      </c>
      <c r="H119" s="1" t="s">
        <v>37</v>
      </c>
      <c r="I119" s="2">
        <v>45882.0</v>
      </c>
      <c r="J119" s="1">
        <v>65000.0</v>
      </c>
      <c r="K119" s="2">
        <v>45870.0</v>
      </c>
    </row>
    <row r="120">
      <c r="A120" s="1" t="s">
        <v>51</v>
      </c>
      <c r="B120" s="1" t="s">
        <v>52</v>
      </c>
      <c r="C120" s="1" t="s">
        <v>36</v>
      </c>
      <c r="D120" s="1">
        <v>0.0</v>
      </c>
      <c r="E120" s="1">
        <v>60.0</v>
      </c>
      <c r="F120" s="1">
        <v>14.0</v>
      </c>
      <c r="G120" s="1">
        <v>4.0</v>
      </c>
      <c r="H120" s="1" t="s">
        <v>50</v>
      </c>
      <c r="I120" s="2">
        <v>45741.0</v>
      </c>
      <c r="J120" s="1">
        <v>175000.0</v>
      </c>
      <c r="K120" s="2">
        <v>45717.0</v>
      </c>
    </row>
    <row r="121">
      <c r="A121" s="1" t="s">
        <v>40</v>
      </c>
      <c r="B121" s="1" t="s">
        <v>41</v>
      </c>
      <c r="C121" s="1" t="s">
        <v>42</v>
      </c>
      <c r="D121" s="1">
        <v>13.0</v>
      </c>
      <c r="E121" s="1">
        <v>15.0</v>
      </c>
      <c r="F121" s="1">
        <v>2.0</v>
      </c>
      <c r="G121" s="1">
        <v>7.0</v>
      </c>
      <c r="H121" s="1" t="s">
        <v>43</v>
      </c>
      <c r="I121" s="2">
        <v>45799.0</v>
      </c>
      <c r="J121" s="1">
        <v>1200000.0</v>
      </c>
      <c r="K121" s="2">
        <v>45778.0</v>
      </c>
    </row>
    <row r="122">
      <c r="A122" s="1" t="s">
        <v>34</v>
      </c>
      <c r="B122" s="1" t="s">
        <v>35</v>
      </c>
      <c r="C122" s="1" t="s">
        <v>36</v>
      </c>
      <c r="D122" s="1">
        <v>9.0</v>
      </c>
      <c r="E122" s="1">
        <v>80.0</v>
      </c>
      <c r="F122" s="1">
        <v>11.0</v>
      </c>
      <c r="G122" s="1">
        <v>4.0</v>
      </c>
      <c r="H122" s="1" t="s">
        <v>37</v>
      </c>
      <c r="I122" s="2">
        <v>46077.0</v>
      </c>
      <c r="J122" s="1">
        <v>65000.0</v>
      </c>
      <c r="K122" s="2">
        <v>46054.0</v>
      </c>
    </row>
    <row r="123">
      <c r="A123" s="1" t="s">
        <v>53</v>
      </c>
      <c r="B123" s="1" t="s">
        <v>54</v>
      </c>
      <c r="C123" s="1" t="s">
        <v>13</v>
      </c>
      <c r="D123" s="1">
        <v>202.0</v>
      </c>
      <c r="E123" s="1">
        <v>60.0</v>
      </c>
      <c r="F123" s="1">
        <v>2.0</v>
      </c>
      <c r="G123" s="1">
        <v>4.0</v>
      </c>
      <c r="H123" s="1" t="s">
        <v>14</v>
      </c>
      <c r="I123" s="2">
        <v>46019.0</v>
      </c>
      <c r="J123" s="1">
        <v>165000.0</v>
      </c>
      <c r="K123" s="2">
        <v>45992.0</v>
      </c>
    </row>
    <row r="124">
      <c r="A124" s="1" t="s">
        <v>53</v>
      </c>
      <c r="B124" s="1" t="s">
        <v>54</v>
      </c>
      <c r="C124" s="1" t="s">
        <v>13</v>
      </c>
      <c r="D124" s="1">
        <v>252.0</v>
      </c>
      <c r="E124" s="1">
        <v>60.0</v>
      </c>
      <c r="F124" s="1">
        <v>4.0</v>
      </c>
      <c r="G124" s="1">
        <v>7.0</v>
      </c>
      <c r="H124" s="1" t="s">
        <v>14</v>
      </c>
      <c r="I124" s="2">
        <v>45930.0</v>
      </c>
      <c r="J124" s="1">
        <v>165000.0</v>
      </c>
      <c r="K124" s="2">
        <v>45901.0</v>
      </c>
    </row>
    <row r="125">
      <c r="A125" s="1" t="s">
        <v>64</v>
      </c>
      <c r="B125" s="1" t="s">
        <v>65</v>
      </c>
      <c r="C125" s="1" t="s">
        <v>42</v>
      </c>
      <c r="D125" s="1">
        <v>20.0</v>
      </c>
      <c r="E125" s="1">
        <v>20.0</v>
      </c>
      <c r="F125" s="1">
        <v>2.0</v>
      </c>
      <c r="G125" s="1">
        <v>7.0</v>
      </c>
      <c r="H125" s="1" t="s">
        <v>59</v>
      </c>
      <c r="I125" s="2">
        <v>46027.0</v>
      </c>
      <c r="J125" s="1">
        <v>750000.0</v>
      </c>
      <c r="K125" s="2">
        <v>46023.0</v>
      </c>
    </row>
    <row r="126">
      <c r="A126" s="1" t="s">
        <v>31</v>
      </c>
      <c r="B126" s="1" t="s">
        <v>32</v>
      </c>
      <c r="C126" s="1" t="s">
        <v>13</v>
      </c>
      <c r="D126" s="1">
        <v>153.0</v>
      </c>
      <c r="E126" s="1">
        <v>40.0</v>
      </c>
      <c r="F126" s="1">
        <v>4.0</v>
      </c>
      <c r="G126" s="1">
        <v>5.0</v>
      </c>
      <c r="H126" s="1" t="s">
        <v>33</v>
      </c>
      <c r="I126" s="2">
        <v>46097.0</v>
      </c>
      <c r="J126" s="1">
        <v>550000.0</v>
      </c>
      <c r="K126" s="2">
        <v>46082.0</v>
      </c>
    </row>
    <row r="127">
      <c r="A127" s="1" t="s">
        <v>57</v>
      </c>
      <c r="B127" s="1" t="s">
        <v>58</v>
      </c>
      <c r="C127" s="1" t="s">
        <v>42</v>
      </c>
      <c r="D127" s="1">
        <v>41.0</v>
      </c>
      <c r="E127" s="1">
        <v>25.0</v>
      </c>
      <c r="F127" s="1">
        <v>4.0</v>
      </c>
      <c r="G127" s="1">
        <v>10.0</v>
      </c>
      <c r="H127" s="1" t="s">
        <v>59</v>
      </c>
      <c r="I127" s="2">
        <v>45801.0</v>
      </c>
      <c r="J127" s="1">
        <v>450000.0</v>
      </c>
      <c r="K127" s="2">
        <v>45778.0</v>
      </c>
    </row>
    <row r="128" hidden="1">
      <c r="A128" s="1" t="s">
        <v>62</v>
      </c>
      <c r="B128" s="1" t="s">
        <v>63</v>
      </c>
      <c r="C128" s="1" t="s">
        <v>13</v>
      </c>
      <c r="D128" s="1">
        <v>405.0</v>
      </c>
      <c r="E128" s="1">
        <v>80.0</v>
      </c>
      <c r="F128" s="3"/>
      <c r="G128" s="1">
        <v>5.0</v>
      </c>
      <c r="H128" s="1" t="s">
        <v>33</v>
      </c>
      <c r="I128" s="2">
        <v>45663.0</v>
      </c>
      <c r="J128" s="1">
        <v>85000.0</v>
      </c>
      <c r="K128" s="2">
        <v>45658.0</v>
      </c>
    </row>
    <row r="129">
      <c r="A129" s="1" t="s">
        <v>64</v>
      </c>
      <c r="B129" s="1" t="s">
        <v>65</v>
      </c>
      <c r="C129" s="1" t="s">
        <v>42</v>
      </c>
      <c r="D129" s="1">
        <v>32.0</v>
      </c>
      <c r="E129" s="1">
        <v>20.0</v>
      </c>
      <c r="F129" s="1">
        <v>1.0</v>
      </c>
      <c r="G129" s="1">
        <v>8.0</v>
      </c>
      <c r="H129" s="1" t="s">
        <v>59</v>
      </c>
      <c r="I129" s="2">
        <v>45955.0</v>
      </c>
      <c r="J129" s="1">
        <v>750000.0</v>
      </c>
      <c r="K129" s="2">
        <v>45931.0</v>
      </c>
    </row>
    <row r="130">
      <c r="A130" s="1" t="s">
        <v>60</v>
      </c>
      <c r="B130" s="1" t="s">
        <v>61</v>
      </c>
      <c r="C130" s="1" t="s">
        <v>17</v>
      </c>
      <c r="D130" s="1">
        <v>0.0</v>
      </c>
      <c r="E130" s="1">
        <v>20.0</v>
      </c>
      <c r="F130" s="1">
        <v>3.0</v>
      </c>
      <c r="G130" s="1">
        <v>7.0</v>
      </c>
      <c r="H130" s="1" t="s">
        <v>27</v>
      </c>
      <c r="I130" s="2">
        <v>45919.0</v>
      </c>
      <c r="J130" s="1">
        <v>3200000.0</v>
      </c>
      <c r="K130" s="2">
        <v>45901.0</v>
      </c>
    </row>
    <row r="131">
      <c r="A131" s="1" t="s">
        <v>62</v>
      </c>
      <c r="B131" s="1" t="s">
        <v>63</v>
      </c>
      <c r="C131" s="1" t="s">
        <v>13</v>
      </c>
      <c r="D131" s="1">
        <v>255.0</v>
      </c>
      <c r="E131" s="1">
        <v>80.0</v>
      </c>
      <c r="F131" s="1">
        <v>4.0</v>
      </c>
      <c r="G131" s="1">
        <v>6.0</v>
      </c>
      <c r="H131" s="1" t="s">
        <v>33</v>
      </c>
      <c r="I131" s="2">
        <v>46001.0</v>
      </c>
      <c r="J131" s="1">
        <v>85000.0</v>
      </c>
      <c r="K131" s="2">
        <v>45992.0</v>
      </c>
    </row>
    <row r="132">
      <c r="A132" s="1" t="s">
        <v>31</v>
      </c>
      <c r="B132" s="1" t="s">
        <v>32</v>
      </c>
      <c r="C132" s="1" t="s">
        <v>13</v>
      </c>
      <c r="D132" s="1">
        <v>168.0</v>
      </c>
      <c r="E132" s="1">
        <v>40.0</v>
      </c>
      <c r="F132" s="1">
        <v>3.0</v>
      </c>
      <c r="G132" s="1">
        <v>5.0</v>
      </c>
      <c r="H132" s="1" t="s">
        <v>33</v>
      </c>
      <c r="I132" s="2">
        <v>45709.0</v>
      </c>
      <c r="J132" s="1">
        <v>550000.0</v>
      </c>
      <c r="K132" s="2">
        <v>45689.0</v>
      </c>
    </row>
    <row r="133">
      <c r="A133" s="1" t="s">
        <v>57</v>
      </c>
      <c r="B133" s="1" t="s">
        <v>58</v>
      </c>
      <c r="C133" s="1" t="s">
        <v>42</v>
      </c>
      <c r="D133" s="1">
        <v>58.0</v>
      </c>
      <c r="E133" s="1">
        <v>25.0</v>
      </c>
      <c r="F133" s="1">
        <v>1.0</v>
      </c>
      <c r="G133" s="1">
        <v>10.0</v>
      </c>
      <c r="H133" s="1" t="s">
        <v>59</v>
      </c>
      <c r="I133" s="2">
        <v>45952.0</v>
      </c>
      <c r="J133" s="1">
        <v>450000.0</v>
      </c>
      <c r="K133" s="2">
        <v>45931.0</v>
      </c>
    </row>
    <row r="134">
      <c r="A134" s="1" t="s">
        <v>46</v>
      </c>
      <c r="B134" s="1" t="s">
        <v>47</v>
      </c>
      <c r="C134" s="1" t="s">
        <v>23</v>
      </c>
      <c r="D134" s="1">
        <v>42.0</v>
      </c>
      <c r="E134" s="1">
        <v>40.0</v>
      </c>
      <c r="F134" s="1">
        <v>4.0</v>
      </c>
      <c r="G134" s="1">
        <v>7.0</v>
      </c>
      <c r="H134" s="1" t="s">
        <v>30</v>
      </c>
      <c r="I134" s="2">
        <v>45889.0</v>
      </c>
      <c r="J134" s="1">
        <v>550000.0</v>
      </c>
      <c r="K134" s="2">
        <v>45870.0</v>
      </c>
    </row>
    <row r="135">
      <c r="A135" s="1" t="s">
        <v>44</v>
      </c>
      <c r="B135" s="1" t="s">
        <v>45</v>
      </c>
      <c r="C135" s="1" t="s">
        <v>42</v>
      </c>
      <c r="D135" s="1">
        <v>35.0</v>
      </c>
      <c r="E135" s="1">
        <v>30.0</v>
      </c>
      <c r="F135" s="1">
        <v>5.0</v>
      </c>
      <c r="G135" s="1">
        <v>6.0</v>
      </c>
      <c r="H135" s="1" t="s">
        <v>43</v>
      </c>
      <c r="I135" s="2">
        <v>46048.0</v>
      </c>
      <c r="J135" s="1">
        <v>350000.0</v>
      </c>
      <c r="K135" s="2">
        <v>46023.0</v>
      </c>
    </row>
    <row r="136">
      <c r="A136" s="1" t="s">
        <v>46</v>
      </c>
      <c r="B136" s="1" t="s">
        <v>47</v>
      </c>
      <c r="C136" s="1" t="s">
        <v>23</v>
      </c>
      <c r="D136" s="1">
        <v>36.0</v>
      </c>
      <c r="E136" s="1">
        <v>40.0</v>
      </c>
      <c r="F136" s="1">
        <v>6.0</v>
      </c>
      <c r="G136" s="1">
        <v>4.0</v>
      </c>
      <c r="H136" s="1" t="s">
        <v>30</v>
      </c>
      <c r="I136" s="2">
        <v>46044.0</v>
      </c>
      <c r="J136" s="1">
        <v>550000.0</v>
      </c>
      <c r="K136" s="2">
        <v>46023.0</v>
      </c>
    </row>
    <row r="137">
      <c r="A137" s="1" t="s">
        <v>48</v>
      </c>
      <c r="B137" s="1" t="s">
        <v>49</v>
      </c>
      <c r="C137" s="1" t="s">
        <v>36</v>
      </c>
      <c r="D137" s="1">
        <v>87.0</v>
      </c>
      <c r="E137" s="1">
        <v>120.0</v>
      </c>
      <c r="F137" s="1">
        <v>18.0</v>
      </c>
      <c r="G137" s="1">
        <v>7.0</v>
      </c>
      <c r="H137" s="1" t="s">
        <v>50</v>
      </c>
      <c r="I137" s="2">
        <v>45748.0</v>
      </c>
      <c r="J137" s="1">
        <v>55000.0</v>
      </c>
      <c r="K137" s="2">
        <v>45748.0</v>
      </c>
    </row>
    <row r="138">
      <c r="A138" s="1" t="s">
        <v>51</v>
      </c>
      <c r="B138" s="1" t="s">
        <v>52</v>
      </c>
      <c r="C138" s="1" t="s">
        <v>36</v>
      </c>
      <c r="D138" s="1">
        <v>35.0</v>
      </c>
      <c r="E138" s="1">
        <v>60.0</v>
      </c>
      <c r="F138" s="1">
        <v>6.0</v>
      </c>
      <c r="G138" s="1">
        <v>7.0</v>
      </c>
      <c r="H138" s="1" t="s">
        <v>50</v>
      </c>
      <c r="I138" s="2">
        <v>46221.0</v>
      </c>
      <c r="J138" s="1">
        <v>175000.0</v>
      </c>
      <c r="K138" s="2">
        <v>46023.0</v>
      </c>
    </row>
    <row r="139">
      <c r="A139" s="1" t="s">
        <v>40</v>
      </c>
      <c r="B139" s="1" t="s">
        <v>41</v>
      </c>
      <c r="C139" s="1" t="s">
        <v>42</v>
      </c>
      <c r="D139" s="1">
        <v>32.0</v>
      </c>
      <c r="E139" s="1">
        <v>15.0</v>
      </c>
      <c r="F139" s="1">
        <v>1.0</v>
      </c>
      <c r="G139" s="1">
        <v>8.0</v>
      </c>
      <c r="H139" s="1" t="s">
        <v>43</v>
      </c>
      <c r="I139" s="2">
        <v>46079.0</v>
      </c>
      <c r="J139" s="1">
        <v>1200000.0</v>
      </c>
      <c r="K139" s="2">
        <v>46054.0</v>
      </c>
    </row>
    <row r="140">
      <c r="A140" s="1" t="s">
        <v>31</v>
      </c>
      <c r="B140" s="1" t="s">
        <v>32</v>
      </c>
      <c r="C140" s="1" t="s">
        <v>13</v>
      </c>
      <c r="D140" s="1">
        <v>139.0</v>
      </c>
      <c r="E140" s="1">
        <v>40.0</v>
      </c>
      <c r="F140" s="1">
        <v>2.0</v>
      </c>
      <c r="G140" s="1">
        <v>6.0</v>
      </c>
      <c r="H140" s="1" t="s">
        <v>33</v>
      </c>
      <c r="I140" s="2">
        <v>45845.0</v>
      </c>
      <c r="J140" s="1">
        <v>550000.0</v>
      </c>
      <c r="K140" s="2">
        <v>45839.0</v>
      </c>
    </row>
    <row r="141">
      <c r="A141" s="1" t="s">
        <v>31</v>
      </c>
      <c r="B141" s="1" t="s">
        <v>32</v>
      </c>
      <c r="C141" s="1" t="s">
        <v>13</v>
      </c>
      <c r="D141" s="1">
        <v>169.0</v>
      </c>
      <c r="E141" s="1">
        <v>40.0</v>
      </c>
      <c r="F141" s="1">
        <v>3.0</v>
      </c>
      <c r="G141" s="1">
        <v>4.0</v>
      </c>
      <c r="H141" s="1" t="s">
        <v>33</v>
      </c>
      <c r="I141" s="2">
        <v>46074.0</v>
      </c>
      <c r="J141" s="1">
        <v>550000.0</v>
      </c>
      <c r="K141" s="2">
        <v>46054.0</v>
      </c>
    </row>
    <row r="142">
      <c r="A142" s="1" t="s">
        <v>15</v>
      </c>
      <c r="B142" s="1" t="s">
        <v>16</v>
      </c>
      <c r="C142" s="1" t="s">
        <v>17</v>
      </c>
      <c r="D142" s="1">
        <v>25.0</v>
      </c>
      <c r="E142" s="1">
        <v>15.0</v>
      </c>
      <c r="F142" s="1">
        <v>2.0</v>
      </c>
      <c r="G142" s="1">
        <v>8.0</v>
      </c>
      <c r="H142" s="1" t="s">
        <v>18</v>
      </c>
      <c r="I142" s="2">
        <v>45718.0</v>
      </c>
      <c r="J142" s="1">
        <v>8500000.0</v>
      </c>
      <c r="K142" s="2">
        <v>45717.0</v>
      </c>
    </row>
    <row r="143">
      <c r="A143" s="1" t="s">
        <v>46</v>
      </c>
      <c r="B143" s="1" t="s">
        <v>47</v>
      </c>
      <c r="C143" s="1" t="s">
        <v>23</v>
      </c>
      <c r="D143" s="1">
        <v>0.0</v>
      </c>
      <c r="E143" s="1">
        <v>40.0</v>
      </c>
      <c r="F143" s="1">
        <v>8.0</v>
      </c>
      <c r="G143" s="1">
        <v>8.0</v>
      </c>
      <c r="H143" s="1" t="s">
        <v>30</v>
      </c>
      <c r="I143" s="2">
        <v>45964.0</v>
      </c>
      <c r="J143" s="1">
        <v>550000.0</v>
      </c>
      <c r="K143" s="2">
        <v>45962.0</v>
      </c>
    </row>
    <row r="144">
      <c r="A144" s="1" t="s">
        <v>21</v>
      </c>
      <c r="B144" s="1" t="s">
        <v>22</v>
      </c>
      <c r="C144" s="1" t="s">
        <v>23</v>
      </c>
      <c r="D144" s="1">
        <v>28.0</v>
      </c>
      <c r="E144" s="1">
        <v>50.0</v>
      </c>
      <c r="F144" s="1">
        <v>7.0</v>
      </c>
      <c r="G144" s="1">
        <v>7.0</v>
      </c>
      <c r="H144" s="1" t="s">
        <v>24</v>
      </c>
      <c r="I144" s="2">
        <v>45939.0</v>
      </c>
      <c r="J144" s="1">
        <v>350000.0</v>
      </c>
      <c r="K144" s="2">
        <v>45931.0</v>
      </c>
    </row>
    <row r="145">
      <c r="A145" s="1" t="s">
        <v>11</v>
      </c>
      <c r="B145" s="1" t="s">
        <v>12</v>
      </c>
      <c r="C145" s="1" t="s">
        <v>13</v>
      </c>
      <c r="D145" s="1">
        <v>230.0</v>
      </c>
      <c r="E145" s="1">
        <v>50.0</v>
      </c>
      <c r="F145" s="1">
        <v>1.0</v>
      </c>
      <c r="G145" s="1">
        <v>4.0</v>
      </c>
      <c r="H145" s="1" t="s">
        <v>14</v>
      </c>
      <c r="I145" s="2">
        <v>45939.0</v>
      </c>
      <c r="J145" s="1">
        <v>125000.0</v>
      </c>
      <c r="K145" s="2">
        <v>45931.0</v>
      </c>
    </row>
    <row r="146">
      <c r="A146" s="1" t="s">
        <v>64</v>
      </c>
      <c r="B146" s="1" t="s">
        <v>65</v>
      </c>
      <c r="C146" s="1" t="s">
        <v>42</v>
      </c>
      <c r="D146" s="1">
        <v>27.0</v>
      </c>
      <c r="E146" s="1">
        <v>20.0</v>
      </c>
      <c r="F146" s="1">
        <v>3.0</v>
      </c>
      <c r="G146" s="1">
        <v>9.0</v>
      </c>
      <c r="H146" s="1" t="s">
        <v>59</v>
      </c>
      <c r="I146" s="2">
        <v>45673.0</v>
      </c>
      <c r="J146" s="1">
        <v>750000.0</v>
      </c>
      <c r="K146" s="2">
        <v>45658.0</v>
      </c>
    </row>
    <row r="147">
      <c r="A147" s="1" t="s">
        <v>53</v>
      </c>
      <c r="B147" s="1" t="s">
        <v>54</v>
      </c>
      <c r="C147" s="1" t="s">
        <v>13</v>
      </c>
      <c r="D147" s="1">
        <v>305.0</v>
      </c>
      <c r="E147" s="1">
        <v>60.0</v>
      </c>
      <c r="F147" s="1">
        <v>4.0</v>
      </c>
      <c r="G147" s="1">
        <v>4.0</v>
      </c>
      <c r="H147" s="1" t="s">
        <v>14</v>
      </c>
      <c r="I147" s="2">
        <v>46068.0</v>
      </c>
      <c r="J147" s="1">
        <v>165000.0</v>
      </c>
      <c r="K147" s="2">
        <v>46054.0</v>
      </c>
    </row>
    <row r="148">
      <c r="A148" s="1" t="s">
        <v>34</v>
      </c>
      <c r="B148" s="1" t="s">
        <v>35</v>
      </c>
      <c r="C148" s="1" t="s">
        <v>36</v>
      </c>
      <c r="D148" s="1">
        <v>56.0</v>
      </c>
      <c r="E148" s="1">
        <v>80.0</v>
      </c>
      <c r="F148" s="1">
        <v>18.0</v>
      </c>
      <c r="G148" s="1">
        <v>5.0</v>
      </c>
      <c r="H148" s="1" t="s">
        <v>37</v>
      </c>
      <c r="I148" s="2">
        <v>46110.0</v>
      </c>
      <c r="J148" s="1">
        <v>65000.0</v>
      </c>
      <c r="K148" s="2">
        <v>46082.0</v>
      </c>
    </row>
    <row r="149">
      <c r="A149" s="1" t="s">
        <v>64</v>
      </c>
      <c r="B149" s="1" t="s">
        <v>65</v>
      </c>
      <c r="C149" s="1" t="s">
        <v>42</v>
      </c>
      <c r="D149" s="1">
        <v>42.0</v>
      </c>
      <c r="E149" s="1">
        <v>20.0</v>
      </c>
      <c r="F149" s="1">
        <v>1.0</v>
      </c>
      <c r="G149" s="1">
        <v>10.0</v>
      </c>
      <c r="H149" s="1" t="s">
        <v>59</v>
      </c>
      <c r="I149" s="2">
        <v>45884.0</v>
      </c>
      <c r="J149" s="1">
        <v>750000.0</v>
      </c>
      <c r="K149" s="2">
        <v>45870.0</v>
      </c>
    </row>
    <row r="150">
      <c r="A150" s="1" t="s">
        <v>21</v>
      </c>
      <c r="B150" s="1" t="s">
        <v>22</v>
      </c>
      <c r="C150" s="1" t="s">
        <v>23</v>
      </c>
      <c r="D150" s="1">
        <v>0.0</v>
      </c>
      <c r="E150" s="1">
        <v>50.0</v>
      </c>
      <c r="F150" s="1">
        <v>14.0</v>
      </c>
      <c r="G150" s="1">
        <v>5.0</v>
      </c>
      <c r="H150" s="1" t="s">
        <v>24</v>
      </c>
      <c r="I150" s="2">
        <v>46101.0</v>
      </c>
      <c r="J150" s="1">
        <v>350000.0</v>
      </c>
      <c r="K150" s="2">
        <v>46082.0</v>
      </c>
    </row>
    <row r="151">
      <c r="A151" s="1" t="s">
        <v>25</v>
      </c>
      <c r="B151" s="1" t="s">
        <v>26</v>
      </c>
      <c r="C151" s="1" t="s">
        <v>17</v>
      </c>
      <c r="D151" s="1">
        <v>23.0</v>
      </c>
      <c r="E151" s="1">
        <v>25.0</v>
      </c>
      <c r="F151" s="1">
        <v>6.0</v>
      </c>
      <c r="G151" s="1">
        <v>10.0</v>
      </c>
      <c r="H151" s="1" t="s">
        <v>27</v>
      </c>
      <c r="I151" s="2">
        <v>46109.0</v>
      </c>
      <c r="J151" s="1">
        <v>4500000.0</v>
      </c>
      <c r="K151" s="2">
        <v>46082.0</v>
      </c>
    </row>
    <row r="152">
      <c r="A152" s="1" t="s">
        <v>38</v>
      </c>
      <c r="B152" s="1" t="s">
        <v>39</v>
      </c>
      <c r="C152" s="1" t="s">
        <v>23</v>
      </c>
      <c r="D152" s="1">
        <v>17.0</v>
      </c>
      <c r="E152" s="1">
        <v>45.0</v>
      </c>
      <c r="F152" s="1">
        <v>7.0</v>
      </c>
      <c r="G152" s="1">
        <v>3.0</v>
      </c>
      <c r="H152" s="1" t="s">
        <v>24</v>
      </c>
      <c r="I152" s="2">
        <v>45910.0</v>
      </c>
      <c r="J152" s="1">
        <v>450000.0</v>
      </c>
      <c r="K152" s="2">
        <v>45901.0</v>
      </c>
    </row>
    <row r="153">
      <c r="A153" s="1" t="s">
        <v>48</v>
      </c>
      <c r="B153" s="1" t="s">
        <v>49</v>
      </c>
      <c r="C153" s="1" t="s">
        <v>36</v>
      </c>
      <c r="D153" s="1">
        <v>30.0</v>
      </c>
      <c r="E153" s="1">
        <v>120.0</v>
      </c>
      <c r="F153" s="1">
        <v>18.0</v>
      </c>
      <c r="G153" s="1">
        <v>4.0</v>
      </c>
      <c r="H153" s="1" t="s">
        <v>50</v>
      </c>
      <c r="I153" s="2">
        <v>46053.0</v>
      </c>
      <c r="J153" s="1">
        <v>55000.0</v>
      </c>
      <c r="K153" s="2">
        <v>46023.0</v>
      </c>
    </row>
    <row r="154">
      <c r="A154" s="1" t="s">
        <v>46</v>
      </c>
      <c r="B154" s="1" t="s">
        <v>47</v>
      </c>
      <c r="C154" s="1" t="s">
        <v>23</v>
      </c>
      <c r="D154" s="1">
        <v>0.0</v>
      </c>
      <c r="E154" s="1">
        <v>40.0</v>
      </c>
      <c r="F154" s="1">
        <v>9.0</v>
      </c>
      <c r="G154" s="1">
        <v>8.0</v>
      </c>
      <c r="H154" s="1" t="s">
        <v>30</v>
      </c>
      <c r="I154" s="2">
        <v>45730.0</v>
      </c>
      <c r="J154" s="1">
        <v>550000.0</v>
      </c>
      <c r="K154" s="2">
        <v>45717.0</v>
      </c>
    </row>
    <row r="155">
      <c r="A155" s="1" t="s">
        <v>55</v>
      </c>
      <c r="B155" s="1" t="s">
        <v>56</v>
      </c>
      <c r="C155" s="1" t="s">
        <v>36</v>
      </c>
      <c r="D155" s="1">
        <v>92.0</v>
      </c>
      <c r="E155" s="1">
        <v>100.0</v>
      </c>
      <c r="F155" s="1">
        <v>15.0</v>
      </c>
      <c r="G155" s="1">
        <v>5.0</v>
      </c>
      <c r="H155" s="1" t="s">
        <v>37</v>
      </c>
      <c r="I155" s="2">
        <v>45897.0</v>
      </c>
      <c r="J155" s="1">
        <v>85000.0</v>
      </c>
      <c r="K155" s="2">
        <v>45870.0</v>
      </c>
    </row>
    <row r="156">
      <c r="A156" s="1" t="s">
        <v>48</v>
      </c>
      <c r="B156" s="1" t="s">
        <v>49</v>
      </c>
      <c r="C156" s="1" t="s">
        <v>36</v>
      </c>
      <c r="D156" s="1">
        <v>39.0</v>
      </c>
      <c r="E156" s="1">
        <v>120.0</v>
      </c>
      <c r="F156" s="1">
        <v>19.0</v>
      </c>
      <c r="G156" s="1">
        <v>3.0</v>
      </c>
      <c r="H156" s="1" t="s">
        <v>50</v>
      </c>
      <c r="I156" s="2">
        <v>45936.0</v>
      </c>
      <c r="J156" s="1">
        <v>55000.0</v>
      </c>
      <c r="K156" s="2">
        <v>45931.0</v>
      </c>
    </row>
    <row r="157">
      <c r="A157" s="1" t="s">
        <v>64</v>
      </c>
      <c r="B157" s="1" t="s">
        <v>65</v>
      </c>
      <c r="C157" s="1" t="s">
        <v>42</v>
      </c>
      <c r="D157" s="1">
        <v>29.0</v>
      </c>
      <c r="E157" s="1">
        <v>20.0</v>
      </c>
      <c r="F157" s="1">
        <v>3.0</v>
      </c>
      <c r="G157" s="1">
        <v>9.0</v>
      </c>
      <c r="H157" s="1" t="s">
        <v>59</v>
      </c>
      <c r="I157" s="2">
        <v>46076.0</v>
      </c>
      <c r="J157" s="1">
        <v>750000.0</v>
      </c>
      <c r="K157" s="2">
        <v>46054.0</v>
      </c>
    </row>
    <row r="158">
      <c r="A158" s="1" t="s">
        <v>34</v>
      </c>
      <c r="B158" s="1" t="s">
        <v>35</v>
      </c>
      <c r="C158" s="1" t="s">
        <v>36</v>
      </c>
      <c r="D158" s="1">
        <v>40.0</v>
      </c>
      <c r="E158" s="1">
        <v>80.0</v>
      </c>
      <c r="F158" s="1">
        <v>12.0</v>
      </c>
      <c r="G158" s="1">
        <v>3.0</v>
      </c>
      <c r="H158" s="1" t="s">
        <v>37</v>
      </c>
      <c r="I158" s="2">
        <v>45673.0</v>
      </c>
      <c r="J158" s="1">
        <v>65000.0</v>
      </c>
      <c r="K158" s="2">
        <v>45658.0</v>
      </c>
    </row>
    <row r="159">
      <c r="A159" s="1" t="s">
        <v>11</v>
      </c>
      <c r="B159" s="1" t="s">
        <v>12</v>
      </c>
      <c r="C159" s="1" t="s">
        <v>13</v>
      </c>
      <c r="D159" s="1">
        <v>261.0</v>
      </c>
      <c r="E159" s="1">
        <v>50.0</v>
      </c>
      <c r="F159" s="1">
        <v>2.0</v>
      </c>
      <c r="G159" s="1">
        <v>5.0</v>
      </c>
      <c r="H159" s="1" t="s">
        <v>14</v>
      </c>
      <c r="I159" s="2">
        <v>45787.0</v>
      </c>
      <c r="J159" s="1">
        <v>125000.0</v>
      </c>
      <c r="K159" s="2">
        <v>45778.0</v>
      </c>
    </row>
    <row r="160">
      <c r="A160" s="1" t="s">
        <v>21</v>
      </c>
      <c r="B160" s="1" t="s">
        <v>22</v>
      </c>
      <c r="C160" s="1" t="s">
        <v>23</v>
      </c>
      <c r="D160" s="1">
        <v>42.0</v>
      </c>
      <c r="E160" s="1">
        <v>50.0</v>
      </c>
      <c r="F160" s="1">
        <v>6.0</v>
      </c>
      <c r="G160" s="1">
        <v>4.0</v>
      </c>
      <c r="H160" s="1" t="s">
        <v>24</v>
      </c>
      <c r="I160" s="2">
        <v>45817.0</v>
      </c>
      <c r="J160" s="1">
        <v>350000.0</v>
      </c>
      <c r="K160" s="2">
        <v>45809.0</v>
      </c>
    </row>
    <row r="161">
      <c r="A161" s="1" t="s">
        <v>53</v>
      </c>
      <c r="B161" s="1" t="s">
        <v>54</v>
      </c>
      <c r="C161" s="1" t="s">
        <v>13</v>
      </c>
      <c r="D161" s="1">
        <v>188.0</v>
      </c>
      <c r="E161" s="1">
        <v>60.0</v>
      </c>
      <c r="F161" s="1">
        <v>3.0</v>
      </c>
      <c r="G161" s="1">
        <v>4.0</v>
      </c>
      <c r="H161" s="1" t="s">
        <v>14</v>
      </c>
      <c r="I161" s="2">
        <v>45659.0</v>
      </c>
      <c r="J161" s="1">
        <v>165000.0</v>
      </c>
      <c r="K161" s="2">
        <v>45658.0</v>
      </c>
    </row>
    <row r="162">
      <c r="A162" s="1" t="s">
        <v>38</v>
      </c>
      <c r="B162" s="1" t="s">
        <v>39</v>
      </c>
      <c r="C162" s="1" t="s">
        <v>23</v>
      </c>
      <c r="D162" s="1">
        <v>0.0</v>
      </c>
      <c r="E162" s="1">
        <v>45.0</v>
      </c>
      <c r="F162" s="1">
        <v>12.0</v>
      </c>
      <c r="G162" s="1">
        <v>4.0</v>
      </c>
      <c r="H162" s="1" t="s">
        <v>24</v>
      </c>
      <c r="I162" s="2">
        <v>45983.0</v>
      </c>
      <c r="J162" s="1">
        <v>450000.0</v>
      </c>
      <c r="K162" s="2">
        <v>45962.0</v>
      </c>
    </row>
    <row r="163">
      <c r="A163" s="1" t="s">
        <v>11</v>
      </c>
      <c r="B163" s="1" t="s">
        <v>12</v>
      </c>
      <c r="C163" s="1" t="s">
        <v>13</v>
      </c>
      <c r="D163" s="1">
        <v>252.0</v>
      </c>
      <c r="E163" s="1">
        <v>50.0</v>
      </c>
      <c r="F163" s="1">
        <v>3.0</v>
      </c>
      <c r="G163" s="1">
        <v>7.0</v>
      </c>
      <c r="H163" s="1" t="s">
        <v>14</v>
      </c>
      <c r="I163" s="2">
        <v>45713.0</v>
      </c>
      <c r="J163" s="1">
        <v>125000.0</v>
      </c>
      <c r="K163" s="2">
        <v>45689.0</v>
      </c>
    </row>
    <row r="164">
      <c r="A164" s="1" t="s">
        <v>40</v>
      </c>
      <c r="B164" s="1" t="s">
        <v>41</v>
      </c>
      <c r="C164" s="1" t="s">
        <v>42</v>
      </c>
      <c r="D164" s="1">
        <v>13.0</v>
      </c>
      <c r="E164" s="1">
        <v>15.0</v>
      </c>
      <c r="F164" s="1">
        <v>3.0</v>
      </c>
      <c r="G164" s="1">
        <v>6.0</v>
      </c>
      <c r="H164" s="1" t="s">
        <v>43</v>
      </c>
      <c r="I164" s="2">
        <v>45949.0</v>
      </c>
      <c r="J164" s="1">
        <v>1200000.0</v>
      </c>
      <c r="K164" s="2">
        <v>45931.0</v>
      </c>
    </row>
    <row r="165">
      <c r="A165" s="1" t="s">
        <v>15</v>
      </c>
      <c r="B165" s="1" t="s">
        <v>16</v>
      </c>
      <c r="C165" s="1" t="s">
        <v>17</v>
      </c>
      <c r="D165" s="1">
        <v>28.0</v>
      </c>
      <c r="E165" s="1">
        <v>15.0</v>
      </c>
      <c r="F165" s="1">
        <v>1.0</v>
      </c>
      <c r="G165" s="1">
        <v>7.0</v>
      </c>
      <c r="H165" s="1" t="s">
        <v>18</v>
      </c>
      <c r="I165" s="2">
        <v>46041.0</v>
      </c>
      <c r="J165" s="1">
        <v>8500000.0</v>
      </c>
      <c r="K165" s="2">
        <v>46023.0</v>
      </c>
    </row>
    <row r="166">
      <c r="A166" s="1" t="s">
        <v>60</v>
      </c>
      <c r="B166" s="1" t="s">
        <v>61</v>
      </c>
      <c r="C166" s="1" t="s">
        <v>17</v>
      </c>
      <c r="D166" s="1">
        <v>33.0</v>
      </c>
      <c r="E166" s="1">
        <v>20.0</v>
      </c>
      <c r="F166" s="1">
        <v>1.0</v>
      </c>
      <c r="G166" s="1">
        <v>12.0</v>
      </c>
      <c r="H166" s="1" t="s">
        <v>27</v>
      </c>
      <c r="I166" s="2">
        <v>45817.0</v>
      </c>
      <c r="J166" s="1">
        <v>3200000.0</v>
      </c>
      <c r="K166" s="2">
        <v>45809.0</v>
      </c>
    </row>
    <row r="167">
      <c r="A167" s="1" t="s">
        <v>25</v>
      </c>
      <c r="B167" s="1" t="s">
        <v>26</v>
      </c>
      <c r="C167" s="1" t="s">
        <v>17</v>
      </c>
      <c r="D167" s="1">
        <v>15.0</v>
      </c>
      <c r="E167" s="1">
        <v>25.0</v>
      </c>
      <c r="F167" s="1">
        <v>4.0</v>
      </c>
      <c r="G167" s="1">
        <v>15.0</v>
      </c>
      <c r="H167" s="1" t="s">
        <v>27</v>
      </c>
      <c r="I167" s="2">
        <v>46070.0</v>
      </c>
      <c r="J167" s="1">
        <v>4500000.0</v>
      </c>
      <c r="K167" s="2">
        <v>46054.0</v>
      </c>
    </row>
    <row r="168">
      <c r="A168" s="1" t="s">
        <v>44</v>
      </c>
      <c r="B168" s="1" t="s">
        <v>45</v>
      </c>
      <c r="C168" s="1" t="s">
        <v>42</v>
      </c>
      <c r="D168" s="1">
        <v>39.0</v>
      </c>
      <c r="E168" s="1">
        <v>30.0</v>
      </c>
      <c r="F168" s="1">
        <v>6.0</v>
      </c>
      <c r="G168" s="1">
        <v>10.0</v>
      </c>
      <c r="H168" s="1" t="s">
        <v>43</v>
      </c>
      <c r="I168" s="2">
        <v>45838.0</v>
      </c>
      <c r="J168" s="1">
        <v>350000.0</v>
      </c>
      <c r="K168" s="2">
        <v>45809.0</v>
      </c>
    </row>
    <row r="169">
      <c r="A169" s="1" t="s">
        <v>57</v>
      </c>
      <c r="B169" s="1" t="s">
        <v>58</v>
      </c>
      <c r="C169" s="1" t="s">
        <v>42</v>
      </c>
      <c r="D169" s="1">
        <v>43.0</v>
      </c>
      <c r="E169" s="1">
        <v>25.0</v>
      </c>
      <c r="F169" s="1">
        <v>4.0</v>
      </c>
      <c r="G169" s="1">
        <v>7.0</v>
      </c>
      <c r="H169" s="1" t="s">
        <v>59</v>
      </c>
      <c r="I169" s="2">
        <v>45896.0</v>
      </c>
      <c r="J169" s="1">
        <v>450000.0</v>
      </c>
      <c r="K169" s="2">
        <v>45870.0</v>
      </c>
    </row>
    <row r="170">
      <c r="A170" s="1" t="s">
        <v>62</v>
      </c>
      <c r="B170" s="1" t="s">
        <v>63</v>
      </c>
      <c r="C170" s="1" t="s">
        <v>13</v>
      </c>
      <c r="D170" s="1">
        <v>472.0</v>
      </c>
      <c r="E170" s="1">
        <v>80.0</v>
      </c>
      <c r="F170" s="1">
        <v>3.0</v>
      </c>
      <c r="G170" s="1">
        <v>4.0</v>
      </c>
      <c r="H170" s="1" t="s">
        <v>33</v>
      </c>
      <c r="I170" s="2">
        <v>45900.0</v>
      </c>
      <c r="J170" s="1">
        <v>85000.0</v>
      </c>
      <c r="K170" s="2">
        <v>45870.0</v>
      </c>
    </row>
    <row r="171">
      <c r="A171" s="1" t="s">
        <v>64</v>
      </c>
      <c r="B171" s="1" t="s">
        <v>65</v>
      </c>
      <c r="C171" s="1" t="s">
        <v>42</v>
      </c>
      <c r="D171" s="1">
        <v>14.0</v>
      </c>
      <c r="E171" s="1">
        <v>20.0</v>
      </c>
      <c r="F171" s="1">
        <v>2.0</v>
      </c>
      <c r="G171" s="1">
        <v>8.0</v>
      </c>
      <c r="H171" s="1" t="s">
        <v>59</v>
      </c>
      <c r="I171" s="2">
        <v>45999.0</v>
      </c>
      <c r="J171" s="1">
        <v>750000.0</v>
      </c>
      <c r="K171" s="2">
        <v>45992.0</v>
      </c>
    </row>
    <row r="172">
      <c r="A172" s="1" t="s">
        <v>44</v>
      </c>
      <c r="B172" s="1" t="s">
        <v>45</v>
      </c>
      <c r="C172" s="1" t="s">
        <v>42</v>
      </c>
      <c r="D172" s="1">
        <v>57.0</v>
      </c>
      <c r="E172" s="1">
        <v>30.0</v>
      </c>
      <c r="F172" s="1">
        <v>5.0</v>
      </c>
      <c r="G172" s="1">
        <v>4.0</v>
      </c>
      <c r="H172" s="1" t="s">
        <v>43</v>
      </c>
      <c r="I172" s="2">
        <v>46098.0</v>
      </c>
      <c r="J172" s="1">
        <v>350000.0</v>
      </c>
      <c r="K172" s="2">
        <v>46082.0</v>
      </c>
    </row>
    <row r="173">
      <c r="A173" s="1" t="s">
        <v>19</v>
      </c>
      <c r="B173" s="1" t="s">
        <v>20</v>
      </c>
      <c r="C173" s="1" t="s">
        <v>17</v>
      </c>
      <c r="D173" s="1">
        <v>1.0</v>
      </c>
      <c r="E173" s="1">
        <v>30.0</v>
      </c>
      <c r="F173" s="1">
        <v>4.0</v>
      </c>
      <c r="G173" s="1">
        <v>5.0</v>
      </c>
      <c r="H173" s="1" t="s">
        <v>18</v>
      </c>
      <c r="I173" s="2">
        <v>45868.0</v>
      </c>
      <c r="J173" s="1">
        <v>1200000.0</v>
      </c>
      <c r="K173" s="2">
        <v>45839.0</v>
      </c>
    </row>
    <row r="174">
      <c r="A174" s="1" t="s">
        <v>28</v>
      </c>
      <c r="B174" s="1" t="s">
        <v>29</v>
      </c>
      <c r="C174" s="1" t="s">
        <v>23</v>
      </c>
      <c r="D174" s="1">
        <v>27.0</v>
      </c>
      <c r="E174" s="1">
        <v>35.0</v>
      </c>
      <c r="F174" s="1">
        <v>4.0</v>
      </c>
      <c r="G174" s="1">
        <v>5.0</v>
      </c>
      <c r="H174" s="1" t="s">
        <v>30</v>
      </c>
      <c r="I174" s="2">
        <v>45817.0</v>
      </c>
      <c r="J174" s="1">
        <v>1250000.0</v>
      </c>
      <c r="K174" s="2">
        <v>45809.0</v>
      </c>
    </row>
    <row r="175">
      <c r="A175" s="1" t="s">
        <v>53</v>
      </c>
      <c r="B175" s="1" t="s">
        <v>54</v>
      </c>
      <c r="C175" s="1" t="s">
        <v>13</v>
      </c>
      <c r="D175" s="1">
        <v>240.0</v>
      </c>
      <c r="E175" s="1">
        <v>60.0</v>
      </c>
      <c r="F175" s="1">
        <v>2.0</v>
      </c>
      <c r="G175" s="1">
        <v>6.0</v>
      </c>
      <c r="H175" s="1" t="s">
        <v>14</v>
      </c>
      <c r="I175" s="2">
        <v>46187.0</v>
      </c>
      <c r="J175" s="1">
        <v>165000.0</v>
      </c>
      <c r="K175" s="2">
        <v>45962.0</v>
      </c>
    </row>
    <row r="176">
      <c r="A176" s="1" t="s">
        <v>44</v>
      </c>
      <c r="B176" s="1" t="s">
        <v>45</v>
      </c>
      <c r="C176" s="1" t="s">
        <v>42</v>
      </c>
      <c r="D176" s="1">
        <v>60.0</v>
      </c>
      <c r="E176" s="1">
        <v>30.0</v>
      </c>
      <c r="F176" s="1">
        <v>4.0</v>
      </c>
      <c r="G176" s="1">
        <v>9.0</v>
      </c>
      <c r="H176" s="1" t="s">
        <v>43</v>
      </c>
      <c r="I176" s="2">
        <v>46062.0</v>
      </c>
      <c r="J176" s="1">
        <v>350000.0</v>
      </c>
      <c r="K176" s="2">
        <v>46054.0</v>
      </c>
    </row>
    <row r="177">
      <c r="A177" s="1" t="s">
        <v>11</v>
      </c>
      <c r="B177" s="1" t="s">
        <v>12</v>
      </c>
      <c r="C177" s="1" t="s">
        <v>13</v>
      </c>
      <c r="D177" s="1">
        <v>216.0</v>
      </c>
      <c r="E177" s="1">
        <v>50.0</v>
      </c>
      <c r="F177" s="1">
        <v>1.0</v>
      </c>
      <c r="G177" s="1">
        <v>8.0</v>
      </c>
      <c r="H177" s="1" t="s">
        <v>14</v>
      </c>
      <c r="I177" s="2">
        <v>45905.0</v>
      </c>
      <c r="J177" s="1">
        <v>125000.0</v>
      </c>
      <c r="K177" s="2">
        <v>45901.0</v>
      </c>
    </row>
    <row r="178">
      <c r="A178" s="1" t="s">
        <v>38</v>
      </c>
      <c r="B178" s="1" t="s">
        <v>39</v>
      </c>
      <c r="C178" s="1" t="s">
        <v>23</v>
      </c>
      <c r="D178" s="1">
        <v>0.0</v>
      </c>
      <c r="E178" s="1">
        <v>45.0</v>
      </c>
      <c r="F178" s="1">
        <v>14.0</v>
      </c>
      <c r="G178" s="1">
        <v>6.0</v>
      </c>
      <c r="H178" s="1" t="s">
        <v>24</v>
      </c>
      <c r="I178" s="2">
        <v>46107.0</v>
      </c>
      <c r="J178" s="1">
        <v>450000.0</v>
      </c>
      <c r="K178" s="2">
        <v>46082.0</v>
      </c>
    </row>
    <row r="179">
      <c r="A179" s="1" t="s">
        <v>11</v>
      </c>
      <c r="B179" s="1" t="s">
        <v>12</v>
      </c>
      <c r="C179" s="1" t="s">
        <v>13</v>
      </c>
      <c r="D179" s="1">
        <v>157.0</v>
      </c>
      <c r="E179" s="1">
        <v>50.0</v>
      </c>
      <c r="F179" s="1">
        <v>1.0</v>
      </c>
      <c r="G179" s="1">
        <v>4.0</v>
      </c>
      <c r="H179" s="1" t="s">
        <v>14</v>
      </c>
      <c r="I179" s="2">
        <v>45823.0</v>
      </c>
      <c r="J179" s="1">
        <v>125000.0</v>
      </c>
      <c r="K179" s="2">
        <v>45809.0</v>
      </c>
    </row>
    <row r="180">
      <c r="A180" s="1" t="s">
        <v>57</v>
      </c>
      <c r="B180" s="1" t="s">
        <v>58</v>
      </c>
      <c r="C180" s="1" t="s">
        <v>42</v>
      </c>
      <c r="D180" s="1">
        <v>42.0</v>
      </c>
      <c r="E180" s="1">
        <v>25.0</v>
      </c>
      <c r="F180" s="1">
        <v>5.0</v>
      </c>
      <c r="G180" s="1">
        <v>10.0</v>
      </c>
      <c r="H180" s="1" t="s">
        <v>59</v>
      </c>
      <c r="I180" s="2">
        <v>45711.0</v>
      </c>
      <c r="J180" s="1">
        <v>450000.0</v>
      </c>
      <c r="K180" s="2">
        <v>45689.0</v>
      </c>
    </row>
    <row r="181">
      <c r="A181" s="1" t="s">
        <v>25</v>
      </c>
      <c r="B181" s="1" t="s">
        <v>26</v>
      </c>
      <c r="C181" s="1" t="s">
        <v>17</v>
      </c>
      <c r="D181" s="1">
        <v>0.0</v>
      </c>
      <c r="E181" s="1">
        <v>25.0</v>
      </c>
      <c r="F181" s="1">
        <v>8.0</v>
      </c>
      <c r="G181" s="1">
        <v>10.0</v>
      </c>
      <c r="H181" s="1" t="s">
        <v>27</v>
      </c>
      <c r="I181" s="2">
        <v>46013.0</v>
      </c>
      <c r="J181" s="1">
        <v>4500000.0</v>
      </c>
      <c r="K181" s="2">
        <v>45992.0</v>
      </c>
    </row>
    <row r="182">
      <c r="A182" s="1" t="s">
        <v>40</v>
      </c>
      <c r="B182" s="1" t="s">
        <v>41</v>
      </c>
      <c r="C182" s="1" t="s">
        <v>42</v>
      </c>
      <c r="D182" s="1">
        <v>22.0</v>
      </c>
      <c r="E182" s="1">
        <v>15.0</v>
      </c>
      <c r="F182" s="1">
        <v>3.0</v>
      </c>
      <c r="G182" s="1">
        <v>4.0</v>
      </c>
      <c r="H182" s="1" t="s">
        <v>43</v>
      </c>
      <c r="I182" s="2">
        <v>45919.0</v>
      </c>
      <c r="J182" s="1">
        <v>1200000.0</v>
      </c>
      <c r="K182" s="2">
        <v>45901.0</v>
      </c>
    </row>
    <row r="183">
      <c r="A183" s="1" t="s">
        <v>57</v>
      </c>
      <c r="B183" s="1" t="s">
        <v>58</v>
      </c>
      <c r="C183" s="1" t="s">
        <v>42</v>
      </c>
      <c r="D183" s="1">
        <v>21.0</v>
      </c>
      <c r="E183" s="1">
        <v>25.0</v>
      </c>
      <c r="F183" s="1">
        <v>3.0</v>
      </c>
      <c r="G183" s="1">
        <v>9.0</v>
      </c>
      <c r="H183" s="1" t="s">
        <v>59</v>
      </c>
      <c r="I183" s="2">
        <v>45854.0</v>
      </c>
      <c r="J183" s="1">
        <v>450000.0</v>
      </c>
      <c r="K183" s="2">
        <v>45839.0</v>
      </c>
    </row>
    <row r="184" hidden="1">
      <c r="A184" s="1" t="s">
        <v>51</v>
      </c>
      <c r="B184" s="1" t="s">
        <v>52</v>
      </c>
      <c r="C184" s="1" t="s">
        <v>36</v>
      </c>
      <c r="D184" s="1">
        <v>12.0</v>
      </c>
      <c r="E184" s="1">
        <v>60.0</v>
      </c>
      <c r="F184" s="1">
        <v>10.0</v>
      </c>
      <c r="G184" s="3"/>
      <c r="H184" s="1" t="s">
        <v>50</v>
      </c>
      <c r="I184" s="2">
        <v>45965.0</v>
      </c>
      <c r="J184" s="1">
        <v>175000.0</v>
      </c>
      <c r="K184" s="2">
        <v>45962.0</v>
      </c>
    </row>
    <row r="185">
      <c r="A185" s="1" t="s">
        <v>15</v>
      </c>
      <c r="B185" s="1" t="s">
        <v>16</v>
      </c>
      <c r="C185" s="1" t="s">
        <v>17</v>
      </c>
      <c r="D185" s="1">
        <v>17.0</v>
      </c>
      <c r="E185" s="1">
        <v>15.0</v>
      </c>
      <c r="F185" s="1">
        <v>1.0</v>
      </c>
      <c r="G185" s="1">
        <v>6.0</v>
      </c>
      <c r="H185" s="1" t="s">
        <v>18</v>
      </c>
      <c r="I185" s="2">
        <v>45665.0</v>
      </c>
      <c r="J185" s="1">
        <v>8500000.0</v>
      </c>
      <c r="K185" s="2">
        <v>45658.0</v>
      </c>
    </row>
    <row r="186">
      <c r="A186" s="1" t="s">
        <v>51</v>
      </c>
      <c r="B186" s="1" t="s">
        <v>52</v>
      </c>
      <c r="C186" s="1" t="s">
        <v>36</v>
      </c>
      <c r="D186" s="1">
        <v>34.0</v>
      </c>
      <c r="E186" s="1">
        <v>60.0</v>
      </c>
      <c r="F186" s="1">
        <v>7.0</v>
      </c>
      <c r="G186" s="1">
        <v>6.0</v>
      </c>
      <c r="H186" s="1" t="s">
        <v>50</v>
      </c>
      <c r="I186" s="2">
        <v>45934.0</v>
      </c>
      <c r="J186" s="1">
        <v>175000.0</v>
      </c>
      <c r="K186" s="2">
        <v>45931.0</v>
      </c>
    </row>
    <row r="187">
      <c r="A187" s="1" t="s">
        <v>51</v>
      </c>
      <c r="B187" s="1" t="s">
        <v>52</v>
      </c>
      <c r="C187" s="1" t="s">
        <v>36</v>
      </c>
      <c r="D187" s="1">
        <v>21.0</v>
      </c>
      <c r="E187" s="1">
        <v>60.0</v>
      </c>
      <c r="F187" s="1">
        <v>9.0</v>
      </c>
      <c r="G187" s="1">
        <v>4.0</v>
      </c>
      <c r="H187" s="1" t="s">
        <v>50</v>
      </c>
      <c r="I187" s="2">
        <v>46067.0</v>
      </c>
      <c r="J187" s="1">
        <v>175000.0</v>
      </c>
      <c r="K187" s="2">
        <v>46054.0</v>
      </c>
    </row>
    <row r="188">
      <c r="A188" s="1" t="s">
        <v>28</v>
      </c>
      <c r="B188" s="1" t="s">
        <v>29</v>
      </c>
      <c r="C188" s="1" t="s">
        <v>23</v>
      </c>
      <c r="D188" s="1">
        <v>0.0</v>
      </c>
      <c r="E188" s="1">
        <v>35.0</v>
      </c>
      <c r="F188" s="1">
        <v>9.0</v>
      </c>
      <c r="G188" s="1">
        <v>6.0</v>
      </c>
      <c r="H188" s="1" t="s">
        <v>30</v>
      </c>
      <c r="I188" s="2">
        <v>45973.0</v>
      </c>
      <c r="J188" s="1">
        <v>1250000.0</v>
      </c>
      <c r="K188" s="2">
        <v>45962.0</v>
      </c>
    </row>
    <row r="189">
      <c r="A189" s="1" t="s">
        <v>31</v>
      </c>
      <c r="B189" s="1" t="s">
        <v>32</v>
      </c>
      <c r="C189" s="1" t="s">
        <v>13</v>
      </c>
      <c r="D189" s="1">
        <v>150.0</v>
      </c>
      <c r="E189" s="1">
        <v>40.0</v>
      </c>
      <c r="F189" s="1">
        <v>4.0</v>
      </c>
      <c r="G189" s="1">
        <v>4.0</v>
      </c>
      <c r="H189" s="1" t="s">
        <v>33</v>
      </c>
      <c r="I189" s="2">
        <v>46040.0</v>
      </c>
      <c r="J189" s="1">
        <v>550000.0</v>
      </c>
      <c r="K189" s="2">
        <v>46023.0</v>
      </c>
    </row>
    <row r="190">
      <c r="A190" s="1" t="s">
        <v>34</v>
      </c>
      <c r="B190" s="1" t="s">
        <v>35</v>
      </c>
      <c r="C190" s="1" t="s">
        <v>36</v>
      </c>
      <c r="D190" s="1">
        <v>18.0</v>
      </c>
      <c r="E190" s="1">
        <v>80.0</v>
      </c>
      <c r="F190" s="1">
        <v>10.0</v>
      </c>
      <c r="G190" s="1">
        <v>4.0</v>
      </c>
      <c r="H190" s="1" t="s">
        <v>37</v>
      </c>
      <c r="I190" s="2">
        <v>46024.0</v>
      </c>
      <c r="J190" s="1">
        <v>65000.0</v>
      </c>
      <c r="K190" s="2">
        <v>46023.0</v>
      </c>
    </row>
    <row r="191">
      <c r="A191" s="1" t="s">
        <v>28</v>
      </c>
      <c r="B191" s="1" t="s">
        <v>29</v>
      </c>
      <c r="C191" s="1" t="s">
        <v>23</v>
      </c>
      <c r="D191" s="1">
        <v>27.0</v>
      </c>
      <c r="E191" s="1">
        <v>35.0</v>
      </c>
      <c r="F191" s="1">
        <v>8.0</v>
      </c>
      <c r="G191" s="1">
        <v>6.0</v>
      </c>
      <c r="H191" s="1" t="s">
        <v>30</v>
      </c>
      <c r="I191" s="2">
        <v>46054.0</v>
      </c>
      <c r="J191" s="1">
        <v>1250000.0</v>
      </c>
      <c r="K191" s="2">
        <v>46054.0</v>
      </c>
    </row>
    <row r="192">
      <c r="A192" s="1" t="s">
        <v>44</v>
      </c>
      <c r="B192" s="1" t="s">
        <v>45</v>
      </c>
      <c r="C192" s="1" t="s">
        <v>42</v>
      </c>
      <c r="D192" s="1">
        <v>39.0</v>
      </c>
      <c r="E192" s="1">
        <v>30.0</v>
      </c>
      <c r="F192" s="1">
        <v>6.0</v>
      </c>
      <c r="G192" s="1">
        <v>10.0</v>
      </c>
      <c r="H192" s="1" t="s">
        <v>43</v>
      </c>
      <c r="I192" s="2">
        <v>45854.0</v>
      </c>
      <c r="J192" s="1">
        <v>350000.0</v>
      </c>
      <c r="K192" s="2">
        <v>45839.0</v>
      </c>
    </row>
    <row r="193">
      <c r="A193" s="1" t="s">
        <v>28</v>
      </c>
      <c r="B193" s="1" t="s">
        <v>29</v>
      </c>
      <c r="C193" s="1" t="s">
        <v>23</v>
      </c>
      <c r="D193" s="1">
        <v>10.0</v>
      </c>
      <c r="E193" s="1">
        <v>35.0</v>
      </c>
      <c r="F193" s="1">
        <v>7.0</v>
      </c>
      <c r="G193" s="1">
        <v>3.0</v>
      </c>
      <c r="H193" s="1" t="s">
        <v>30</v>
      </c>
      <c r="I193" s="2">
        <v>45929.0</v>
      </c>
      <c r="J193" s="1">
        <v>1250000.0</v>
      </c>
      <c r="K193" s="2">
        <v>45901.0</v>
      </c>
    </row>
    <row r="194">
      <c r="A194" s="1" t="s">
        <v>60</v>
      </c>
      <c r="B194" s="1" t="s">
        <v>61</v>
      </c>
      <c r="C194" s="1" t="s">
        <v>17</v>
      </c>
      <c r="D194" s="1">
        <v>7.0</v>
      </c>
      <c r="E194" s="1">
        <v>20.0</v>
      </c>
      <c r="F194" s="1">
        <v>2.0</v>
      </c>
      <c r="G194" s="1">
        <v>13.0</v>
      </c>
      <c r="H194" s="1" t="s">
        <v>27</v>
      </c>
      <c r="I194" s="2">
        <v>45861.0</v>
      </c>
      <c r="J194" s="1">
        <v>3200000.0</v>
      </c>
      <c r="K194" s="2">
        <v>45839.0</v>
      </c>
    </row>
    <row r="195">
      <c r="A195" s="1" t="s">
        <v>21</v>
      </c>
      <c r="B195" s="1" t="s">
        <v>22</v>
      </c>
      <c r="C195" s="1" t="s">
        <v>23</v>
      </c>
      <c r="D195" s="1">
        <v>13.0</v>
      </c>
      <c r="E195" s="1">
        <v>50.0</v>
      </c>
      <c r="F195" s="1">
        <v>8.0</v>
      </c>
      <c r="G195" s="1">
        <v>4.0</v>
      </c>
      <c r="H195" s="1" t="s">
        <v>24</v>
      </c>
      <c r="I195" s="2">
        <v>45691.0</v>
      </c>
      <c r="J195" s="1">
        <v>350000.0</v>
      </c>
      <c r="K195" s="2">
        <v>45689.0</v>
      </c>
    </row>
    <row r="196">
      <c r="A196" s="1" t="s">
        <v>55</v>
      </c>
      <c r="B196" s="1" t="s">
        <v>56</v>
      </c>
      <c r="C196" s="1" t="s">
        <v>36</v>
      </c>
      <c r="D196" s="1">
        <v>19.0</v>
      </c>
      <c r="E196" s="1">
        <v>100.0</v>
      </c>
      <c r="F196" s="1">
        <v>16.0</v>
      </c>
      <c r="G196" s="1">
        <v>4.0</v>
      </c>
      <c r="H196" s="1" t="s">
        <v>37</v>
      </c>
      <c r="I196" s="2">
        <v>45965.0</v>
      </c>
      <c r="J196" s="1">
        <v>85000.0</v>
      </c>
      <c r="K196" s="2">
        <v>45962.0</v>
      </c>
    </row>
    <row r="197">
      <c r="A197" s="1" t="s">
        <v>55</v>
      </c>
      <c r="B197" s="1" t="s">
        <v>56</v>
      </c>
      <c r="C197" s="1" t="s">
        <v>36</v>
      </c>
      <c r="D197" s="1">
        <v>36.0</v>
      </c>
      <c r="E197" s="1">
        <v>100.0</v>
      </c>
      <c r="F197" s="1">
        <v>16.0</v>
      </c>
      <c r="G197" s="1">
        <v>5.0</v>
      </c>
      <c r="H197" s="1" t="s">
        <v>37</v>
      </c>
      <c r="I197" s="2">
        <v>45851.0</v>
      </c>
      <c r="J197" s="1">
        <v>85000.0</v>
      </c>
      <c r="K197" s="2">
        <v>45839.0</v>
      </c>
    </row>
    <row r="198">
      <c r="A198" s="1" t="s">
        <v>34</v>
      </c>
      <c r="B198" s="1" t="s">
        <v>35</v>
      </c>
      <c r="C198" s="1" t="s">
        <v>36</v>
      </c>
      <c r="D198" s="1">
        <v>33.0</v>
      </c>
      <c r="E198" s="1">
        <v>80.0</v>
      </c>
      <c r="F198" s="1">
        <v>13.0</v>
      </c>
      <c r="G198" s="1">
        <v>4.0</v>
      </c>
      <c r="H198" s="1" t="s">
        <v>37</v>
      </c>
      <c r="I198" s="2">
        <v>45697.0</v>
      </c>
      <c r="J198" s="1">
        <v>65000.0</v>
      </c>
      <c r="K198" s="2">
        <v>45689.0</v>
      </c>
    </row>
    <row r="199">
      <c r="A199" s="1" t="s">
        <v>15</v>
      </c>
      <c r="B199" s="1" t="s">
        <v>16</v>
      </c>
      <c r="C199" s="1" t="s">
        <v>17</v>
      </c>
      <c r="D199" s="1">
        <v>0.0</v>
      </c>
      <c r="E199" s="1">
        <v>15.0</v>
      </c>
      <c r="F199" s="1">
        <v>2.0</v>
      </c>
      <c r="G199" s="1">
        <v>8.0</v>
      </c>
      <c r="H199" s="1" t="s">
        <v>18</v>
      </c>
      <c r="I199" s="2">
        <v>45994.0</v>
      </c>
      <c r="J199" s="1">
        <v>8500000.0</v>
      </c>
      <c r="K199" s="2">
        <v>45992.0</v>
      </c>
    </row>
    <row r="200">
      <c r="A200" s="1" t="s">
        <v>19</v>
      </c>
      <c r="B200" s="1" t="s">
        <v>20</v>
      </c>
      <c r="C200" s="1" t="s">
        <v>17</v>
      </c>
      <c r="D200" s="1">
        <v>34.0</v>
      </c>
      <c r="E200" s="1">
        <v>30.0</v>
      </c>
      <c r="F200" s="1">
        <v>4.0</v>
      </c>
      <c r="G200" s="1">
        <v>5.0</v>
      </c>
      <c r="H200" s="1" t="s">
        <v>18</v>
      </c>
      <c r="I200" s="2">
        <v>46083.0</v>
      </c>
      <c r="J200" s="1">
        <v>1200000.0</v>
      </c>
      <c r="K200" s="2">
        <v>46082.0</v>
      </c>
    </row>
    <row r="201">
      <c r="A201" s="1" t="s">
        <v>62</v>
      </c>
      <c r="B201" s="1" t="s">
        <v>63</v>
      </c>
      <c r="C201" s="1" t="s">
        <v>13</v>
      </c>
      <c r="D201" s="1">
        <v>427.0</v>
      </c>
      <c r="E201" s="1">
        <v>80.0</v>
      </c>
      <c r="F201" s="1">
        <v>2.0</v>
      </c>
      <c r="G201" s="1">
        <v>5.0</v>
      </c>
      <c r="H201" s="1" t="s">
        <v>33</v>
      </c>
      <c r="I201" s="2">
        <v>45838.0</v>
      </c>
      <c r="J201" s="1">
        <v>85000.0</v>
      </c>
      <c r="K201" s="2">
        <v>45809.0</v>
      </c>
    </row>
    <row r="202">
      <c r="A202" s="1" t="s">
        <v>51</v>
      </c>
      <c r="B202" s="1" t="s">
        <v>52</v>
      </c>
      <c r="C202" s="1" t="s">
        <v>36</v>
      </c>
      <c r="D202" s="1">
        <v>14.0</v>
      </c>
      <c r="E202" s="1">
        <v>60.0</v>
      </c>
      <c r="F202" s="1">
        <v>8.0</v>
      </c>
      <c r="G202" s="1">
        <v>6.0</v>
      </c>
      <c r="H202" s="1" t="s">
        <v>50</v>
      </c>
      <c r="I202" s="2">
        <v>45930.0</v>
      </c>
      <c r="J202" s="1">
        <v>175000.0</v>
      </c>
      <c r="K202" s="2">
        <v>45901.0</v>
      </c>
    </row>
    <row r="203">
      <c r="A203" s="1" t="s">
        <v>25</v>
      </c>
      <c r="B203" s="1" t="s">
        <v>26</v>
      </c>
      <c r="C203" s="1" t="s">
        <v>17</v>
      </c>
      <c r="D203" s="1">
        <v>32.0</v>
      </c>
      <c r="E203" s="1">
        <v>25.0</v>
      </c>
      <c r="F203" s="1">
        <v>6.0</v>
      </c>
      <c r="G203" s="1">
        <v>17.0</v>
      </c>
      <c r="H203" s="1" t="s">
        <v>27</v>
      </c>
      <c r="I203" s="2">
        <v>46026.0</v>
      </c>
      <c r="J203" s="1">
        <v>4500000.0</v>
      </c>
      <c r="K203" s="2">
        <v>46023.0</v>
      </c>
    </row>
    <row r="204">
      <c r="A204" s="1" t="s">
        <v>15</v>
      </c>
      <c r="B204" s="1" t="s">
        <v>16</v>
      </c>
      <c r="C204" s="1" t="s">
        <v>17</v>
      </c>
      <c r="D204" s="1">
        <v>28.0</v>
      </c>
      <c r="E204" s="1">
        <v>15.0</v>
      </c>
      <c r="F204" s="1">
        <v>1.0</v>
      </c>
      <c r="G204" s="1">
        <v>6.0</v>
      </c>
      <c r="H204" s="1" t="s">
        <v>18</v>
      </c>
      <c r="I204" s="2">
        <v>45800.0</v>
      </c>
      <c r="J204" s="1">
        <v>8500000.0</v>
      </c>
      <c r="K204" s="2">
        <v>45778.0</v>
      </c>
    </row>
    <row r="205">
      <c r="A205" s="1" t="s">
        <v>64</v>
      </c>
      <c r="B205" s="1" t="s">
        <v>65</v>
      </c>
      <c r="C205" s="1" t="s">
        <v>42</v>
      </c>
      <c r="D205" s="1">
        <v>21.0</v>
      </c>
      <c r="E205" s="1">
        <v>20.0</v>
      </c>
      <c r="F205" s="1">
        <v>2.0</v>
      </c>
      <c r="G205" s="1">
        <v>9.0</v>
      </c>
      <c r="H205" s="1" t="s">
        <v>59</v>
      </c>
      <c r="I205" s="2">
        <v>45724.0</v>
      </c>
      <c r="J205" s="1">
        <v>750000.0</v>
      </c>
      <c r="K205" s="2">
        <v>45717.0</v>
      </c>
    </row>
    <row r="206">
      <c r="A206" s="1" t="s">
        <v>60</v>
      </c>
      <c r="B206" s="1" t="s">
        <v>61</v>
      </c>
      <c r="C206" s="1" t="s">
        <v>17</v>
      </c>
      <c r="D206" s="1">
        <v>12.0</v>
      </c>
      <c r="E206" s="1">
        <v>20.0</v>
      </c>
      <c r="F206" s="1">
        <v>2.0</v>
      </c>
      <c r="G206" s="1">
        <v>16.0</v>
      </c>
      <c r="H206" s="1" t="s">
        <v>27</v>
      </c>
      <c r="I206" s="2">
        <v>45724.0</v>
      </c>
      <c r="J206" s="1">
        <v>3200000.0</v>
      </c>
      <c r="K206" s="2">
        <v>45717.0</v>
      </c>
    </row>
    <row r="207">
      <c r="A207" s="1" t="s">
        <v>48</v>
      </c>
      <c r="B207" s="1" t="s">
        <v>49</v>
      </c>
      <c r="C207" s="1" t="s">
        <v>36</v>
      </c>
      <c r="D207" s="1">
        <v>72.0</v>
      </c>
      <c r="E207" s="1">
        <v>120.0</v>
      </c>
      <c r="F207" s="1">
        <v>18.0</v>
      </c>
      <c r="G207" s="1">
        <v>7.0</v>
      </c>
      <c r="H207" s="1" t="s">
        <v>50</v>
      </c>
      <c r="I207" s="2">
        <v>45815.0</v>
      </c>
      <c r="J207" s="1">
        <v>55000.0</v>
      </c>
      <c r="K207" s="2">
        <v>45809.0</v>
      </c>
    </row>
    <row r="208">
      <c r="A208" s="1" t="s">
        <v>40</v>
      </c>
      <c r="B208" s="1" t="s">
        <v>41</v>
      </c>
      <c r="C208" s="1" t="s">
        <v>42</v>
      </c>
      <c r="D208" s="1">
        <v>33.0</v>
      </c>
      <c r="E208" s="1">
        <v>15.0</v>
      </c>
      <c r="F208" s="1">
        <v>2.0</v>
      </c>
      <c r="G208" s="1">
        <v>10.0</v>
      </c>
      <c r="H208" s="1" t="s">
        <v>43</v>
      </c>
      <c r="I208" s="2">
        <v>46032.0</v>
      </c>
      <c r="J208" s="1">
        <v>1200000.0</v>
      </c>
      <c r="K208" s="2">
        <v>46023.0</v>
      </c>
    </row>
    <row r="209">
      <c r="A209" s="1" t="s">
        <v>53</v>
      </c>
      <c r="B209" s="1" t="s">
        <v>54</v>
      </c>
      <c r="C209" s="1" t="s">
        <v>13</v>
      </c>
      <c r="D209" s="1">
        <v>246.0</v>
      </c>
      <c r="E209" s="1">
        <v>60.0</v>
      </c>
      <c r="F209" s="1">
        <v>3.0</v>
      </c>
      <c r="G209" s="1">
        <v>7.0</v>
      </c>
      <c r="H209" s="1" t="s">
        <v>14</v>
      </c>
      <c r="I209" s="2">
        <v>46049.0</v>
      </c>
      <c r="J209" s="1">
        <v>165000.0</v>
      </c>
      <c r="K209" s="2">
        <v>46023.0</v>
      </c>
    </row>
    <row r="210">
      <c r="A210" s="1" t="s">
        <v>34</v>
      </c>
      <c r="B210" s="1" t="s">
        <v>35</v>
      </c>
      <c r="C210" s="1" t="s">
        <v>36</v>
      </c>
      <c r="D210" s="1">
        <v>64.0</v>
      </c>
      <c r="E210" s="1">
        <v>80.0</v>
      </c>
      <c r="F210" s="1">
        <v>13.0</v>
      </c>
      <c r="G210" s="1">
        <v>5.0</v>
      </c>
      <c r="H210" s="1" t="s">
        <v>37</v>
      </c>
      <c r="I210" s="2">
        <v>45970.0</v>
      </c>
      <c r="J210" s="1">
        <v>65000.0</v>
      </c>
      <c r="K210" s="2">
        <v>45962.0</v>
      </c>
    </row>
    <row r="211">
      <c r="A211" s="1" t="s">
        <v>57</v>
      </c>
      <c r="B211" s="1" t="s">
        <v>58</v>
      </c>
      <c r="C211" s="1" t="s">
        <v>42</v>
      </c>
      <c r="D211" s="1">
        <v>37.0</v>
      </c>
      <c r="E211" s="1">
        <v>25.0</v>
      </c>
      <c r="F211" s="1">
        <v>1.0</v>
      </c>
      <c r="G211" s="1">
        <v>9.0</v>
      </c>
      <c r="H211" s="1" t="s">
        <v>59</v>
      </c>
      <c r="I211" s="2">
        <v>45775.0</v>
      </c>
      <c r="J211" s="1">
        <v>450000.0</v>
      </c>
      <c r="K211" s="2">
        <v>45748.0</v>
      </c>
    </row>
    <row r="212">
      <c r="A212" s="1" t="s">
        <v>21</v>
      </c>
      <c r="B212" s="1" t="s">
        <v>22</v>
      </c>
      <c r="C212" s="1" t="s">
        <v>23</v>
      </c>
      <c r="D212" s="1">
        <v>0.0</v>
      </c>
      <c r="E212" s="1">
        <v>50.0</v>
      </c>
      <c r="F212" s="1">
        <v>13.0</v>
      </c>
      <c r="G212" s="1">
        <v>3.0</v>
      </c>
      <c r="H212" s="1" t="s">
        <v>24</v>
      </c>
      <c r="I212" s="2">
        <v>45747.0</v>
      </c>
      <c r="J212" s="1">
        <v>350000.0</v>
      </c>
      <c r="K212" s="2">
        <v>45717.0</v>
      </c>
    </row>
    <row r="213">
      <c r="A213" s="1" t="s">
        <v>53</v>
      </c>
      <c r="B213" s="1" t="s">
        <v>54</v>
      </c>
      <c r="C213" s="1" t="s">
        <v>13</v>
      </c>
      <c r="D213" s="1">
        <v>230.0</v>
      </c>
      <c r="E213" s="1">
        <v>60.0</v>
      </c>
      <c r="F213" s="1">
        <v>2.0</v>
      </c>
      <c r="G213" s="1">
        <v>8.0</v>
      </c>
      <c r="H213" s="1" t="s">
        <v>14</v>
      </c>
      <c r="I213" s="2">
        <v>45817.0</v>
      </c>
      <c r="J213" s="1">
        <v>165000.0</v>
      </c>
      <c r="K213" s="2">
        <v>45809.0</v>
      </c>
    </row>
    <row r="214">
      <c r="A214" s="1" t="s">
        <v>57</v>
      </c>
      <c r="B214" s="1" t="s">
        <v>58</v>
      </c>
      <c r="C214" s="1" t="s">
        <v>42</v>
      </c>
      <c r="D214" s="1">
        <v>52.0</v>
      </c>
      <c r="E214" s="1">
        <v>25.0</v>
      </c>
      <c r="F214" s="1">
        <v>4.0</v>
      </c>
      <c r="G214" s="1">
        <v>9.0</v>
      </c>
      <c r="H214" s="1" t="s">
        <v>59</v>
      </c>
      <c r="I214" s="2">
        <v>45671.0</v>
      </c>
      <c r="J214" s="1">
        <v>450000.0</v>
      </c>
      <c r="K214" s="2">
        <v>45658.0</v>
      </c>
    </row>
    <row r="215">
      <c r="A215" s="1" t="s">
        <v>64</v>
      </c>
      <c r="B215" s="1" t="s">
        <v>65</v>
      </c>
      <c r="C215" s="1" t="s">
        <v>42</v>
      </c>
      <c r="D215" s="1">
        <v>47.0</v>
      </c>
      <c r="E215" s="1">
        <v>20.0</v>
      </c>
      <c r="F215" s="1">
        <v>4.0</v>
      </c>
      <c r="G215" s="1">
        <v>9.0</v>
      </c>
      <c r="H215" s="1" t="s">
        <v>59</v>
      </c>
      <c r="I215" s="2">
        <v>45909.0</v>
      </c>
      <c r="J215" s="1">
        <v>750000.0</v>
      </c>
      <c r="K215" s="2">
        <v>45901.0</v>
      </c>
    </row>
    <row r="216">
      <c r="A216" s="1" t="s">
        <v>31</v>
      </c>
      <c r="B216" s="1" t="s">
        <v>32</v>
      </c>
      <c r="C216" s="1" t="s">
        <v>13</v>
      </c>
      <c r="D216" s="1">
        <v>153.0</v>
      </c>
      <c r="E216" s="1">
        <v>40.0</v>
      </c>
      <c r="F216" s="1">
        <v>4.0</v>
      </c>
      <c r="G216" s="1">
        <v>5.0</v>
      </c>
      <c r="H216" s="1" t="s">
        <v>33</v>
      </c>
      <c r="I216" s="2">
        <v>46097.0</v>
      </c>
      <c r="J216" s="1">
        <v>550000.0</v>
      </c>
      <c r="K216" s="2">
        <v>46082.0</v>
      </c>
    </row>
    <row r="217">
      <c r="A217" s="1" t="s">
        <v>15</v>
      </c>
      <c r="B217" s="1" t="s">
        <v>16</v>
      </c>
      <c r="C217" s="1" t="s">
        <v>17</v>
      </c>
      <c r="D217" s="1">
        <v>19.0</v>
      </c>
      <c r="E217" s="1">
        <v>15.0</v>
      </c>
      <c r="F217" s="1">
        <v>3.0</v>
      </c>
      <c r="G217" s="1">
        <v>5.0</v>
      </c>
      <c r="H217" s="1" t="s">
        <v>18</v>
      </c>
      <c r="I217" s="2">
        <v>45903.0</v>
      </c>
      <c r="J217" s="1">
        <v>8500000.0</v>
      </c>
      <c r="K217" s="2">
        <v>45901.0</v>
      </c>
    </row>
    <row r="218">
      <c r="A218" s="1" t="s">
        <v>21</v>
      </c>
      <c r="B218" s="1" t="s">
        <v>22</v>
      </c>
      <c r="C218" s="1" t="s">
        <v>23</v>
      </c>
      <c r="D218" s="1">
        <v>0.0</v>
      </c>
      <c r="E218" s="1">
        <v>50.0</v>
      </c>
      <c r="F218" s="1">
        <v>12.0</v>
      </c>
      <c r="G218" s="1">
        <v>5.0</v>
      </c>
      <c r="H218" s="1" t="s">
        <v>24</v>
      </c>
      <c r="I218" s="2">
        <v>45971.0</v>
      </c>
      <c r="J218" s="1">
        <v>350000.0</v>
      </c>
      <c r="K218" s="2">
        <v>45962.0</v>
      </c>
    </row>
    <row r="219">
      <c r="A219" s="1" t="s">
        <v>51</v>
      </c>
      <c r="B219" s="1" t="s">
        <v>52</v>
      </c>
      <c r="C219" s="1" t="s">
        <v>36</v>
      </c>
      <c r="D219" s="1">
        <v>37.0</v>
      </c>
      <c r="E219" s="1">
        <v>60.0</v>
      </c>
      <c r="F219" s="1">
        <v>8.0</v>
      </c>
      <c r="G219" s="1">
        <v>5.0</v>
      </c>
      <c r="H219" s="1" t="s">
        <v>50</v>
      </c>
      <c r="I219" s="2">
        <v>45795.0</v>
      </c>
      <c r="J219" s="1">
        <v>175000.0</v>
      </c>
      <c r="K219" s="2">
        <v>45778.0</v>
      </c>
    </row>
    <row r="220" hidden="1">
      <c r="A220" s="1" t="s">
        <v>21</v>
      </c>
      <c r="B220" s="1" t="s">
        <v>22</v>
      </c>
      <c r="C220" s="1" t="s">
        <v>23</v>
      </c>
      <c r="D220" s="1">
        <v>49.0</v>
      </c>
      <c r="E220" s="1">
        <v>50.0</v>
      </c>
      <c r="F220" s="1">
        <v>5.0</v>
      </c>
      <c r="G220" s="3"/>
      <c r="H220" s="1" t="s">
        <v>24</v>
      </c>
      <c r="I220" s="2">
        <v>45784.0</v>
      </c>
      <c r="J220" s="1">
        <v>350000.0</v>
      </c>
      <c r="K220" s="2">
        <v>45778.0</v>
      </c>
    </row>
    <row r="221">
      <c r="A221" s="1" t="s">
        <v>60</v>
      </c>
      <c r="B221" s="1" t="s">
        <v>61</v>
      </c>
      <c r="C221" s="1" t="s">
        <v>17</v>
      </c>
      <c r="D221" s="1">
        <v>22.0</v>
      </c>
      <c r="E221" s="1">
        <v>20.0</v>
      </c>
      <c r="F221" s="1">
        <v>4.0</v>
      </c>
      <c r="G221" s="1">
        <v>8.0</v>
      </c>
      <c r="H221" s="1" t="s">
        <v>27</v>
      </c>
      <c r="I221" s="2">
        <v>46103.0</v>
      </c>
      <c r="J221" s="1">
        <v>3200000.0</v>
      </c>
      <c r="K221" s="2">
        <v>46082.0</v>
      </c>
    </row>
    <row r="222">
      <c r="A222" s="1" t="s">
        <v>55</v>
      </c>
      <c r="B222" s="1" t="s">
        <v>56</v>
      </c>
      <c r="C222" s="1" t="s">
        <v>36</v>
      </c>
      <c r="D222" s="1">
        <v>58.0</v>
      </c>
      <c r="E222" s="1">
        <v>100.0</v>
      </c>
      <c r="F222" s="1">
        <v>14.0</v>
      </c>
      <c r="G222" s="1">
        <v>3.0</v>
      </c>
      <c r="H222" s="1" t="s">
        <v>37</v>
      </c>
      <c r="I222" s="2">
        <v>45951.0</v>
      </c>
      <c r="J222" s="1">
        <v>85000.0</v>
      </c>
      <c r="K222" s="2">
        <v>45931.0</v>
      </c>
    </row>
    <row r="223">
      <c r="A223" s="1" t="s">
        <v>40</v>
      </c>
      <c r="B223" s="1" t="s">
        <v>41</v>
      </c>
      <c r="C223" s="1" t="s">
        <v>42</v>
      </c>
      <c r="D223" s="1">
        <v>14.0</v>
      </c>
      <c r="E223" s="1">
        <v>15.0</v>
      </c>
      <c r="F223" s="1">
        <v>2.0</v>
      </c>
      <c r="G223" s="1">
        <v>5.0</v>
      </c>
      <c r="H223" s="1" t="s">
        <v>43</v>
      </c>
      <c r="I223" s="2">
        <v>45858.0</v>
      </c>
      <c r="J223" s="1">
        <v>1200000.0</v>
      </c>
      <c r="K223" s="2">
        <v>45839.0</v>
      </c>
    </row>
    <row r="224">
      <c r="A224" s="1" t="s">
        <v>60</v>
      </c>
      <c r="B224" s="1" t="s">
        <v>61</v>
      </c>
      <c r="C224" s="1" t="s">
        <v>17</v>
      </c>
      <c r="D224" s="1">
        <v>0.0</v>
      </c>
      <c r="E224" s="1">
        <v>20.0</v>
      </c>
      <c r="F224" s="1">
        <v>4.0</v>
      </c>
      <c r="G224" s="1">
        <v>17.0</v>
      </c>
      <c r="H224" s="1" t="s">
        <v>27</v>
      </c>
      <c r="I224" s="2">
        <v>45964.0</v>
      </c>
      <c r="J224" s="1">
        <v>3200000.0</v>
      </c>
      <c r="K224" s="2">
        <v>45962.0</v>
      </c>
    </row>
    <row r="225">
      <c r="A225" s="1" t="s">
        <v>64</v>
      </c>
      <c r="B225" s="1" t="s">
        <v>65</v>
      </c>
      <c r="C225" s="1" t="s">
        <v>42</v>
      </c>
      <c r="D225" s="1">
        <v>26.0</v>
      </c>
      <c r="E225" s="1">
        <v>20.0</v>
      </c>
      <c r="F225" s="1">
        <v>2.0</v>
      </c>
      <c r="G225" s="1">
        <v>10.0</v>
      </c>
      <c r="H225" s="1" t="s">
        <v>59</v>
      </c>
      <c r="I225" s="2">
        <v>45762.0</v>
      </c>
      <c r="J225" s="1">
        <v>750000.0</v>
      </c>
      <c r="K225" s="2">
        <v>45748.0</v>
      </c>
    </row>
    <row r="226">
      <c r="A226" s="1" t="s">
        <v>48</v>
      </c>
      <c r="B226" s="1" t="s">
        <v>49</v>
      </c>
      <c r="C226" s="1" t="s">
        <v>36</v>
      </c>
      <c r="D226" s="1">
        <v>12.0</v>
      </c>
      <c r="E226" s="1">
        <v>120.0</v>
      </c>
      <c r="F226" s="1">
        <v>21.0</v>
      </c>
      <c r="G226" s="1">
        <v>5.0</v>
      </c>
      <c r="H226" s="1" t="s">
        <v>50</v>
      </c>
      <c r="I226" s="2">
        <v>45706.0</v>
      </c>
      <c r="J226" s="1">
        <v>55000.0</v>
      </c>
      <c r="K226" s="2">
        <v>45689.0</v>
      </c>
    </row>
    <row r="227">
      <c r="A227" s="1" t="s">
        <v>53</v>
      </c>
      <c r="B227" s="1" t="s">
        <v>54</v>
      </c>
      <c r="C227" s="1" t="s">
        <v>13</v>
      </c>
      <c r="D227" s="1">
        <v>292.0</v>
      </c>
      <c r="E227" s="1">
        <v>60.0</v>
      </c>
      <c r="F227" s="1">
        <v>3.0</v>
      </c>
      <c r="G227" s="1">
        <v>8.0</v>
      </c>
      <c r="H227" s="1" t="s">
        <v>14</v>
      </c>
      <c r="I227" s="2">
        <v>45869.0</v>
      </c>
      <c r="J227" s="1">
        <v>165000.0</v>
      </c>
      <c r="K227" s="2">
        <v>45839.0</v>
      </c>
    </row>
    <row r="228">
      <c r="A228" s="1" t="s">
        <v>40</v>
      </c>
      <c r="B228" s="1" t="s">
        <v>41</v>
      </c>
      <c r="C228" s="1" t="s">
        <v>42</v>
      </c>
      <c r="D228" s="1">
        <v>18.0</v>
      </c>
      <c r="E228" s="1">
        <v>15.0</v>
      </c>
      <c r="F228" s="1">
        <v>3.0</v>
      </c>
      <c r="G228" s="1">
        <v>5.0</v>
      </c>
      <c r="H228" s="1" t="s">
        <v>43</v>
      </c>
      <c r="I228" s="2">
        <v>45774.0</v>
      </c>
      <c r="J228" s="1">
        <v>1200000.0</v>
      </c>
      <c r="K228" s="2">
        <v>45748.0</v>
      </c>
    </row>
    <row r="229">
      <c r="A229" s="1" t="s">
        <v>25</v>
      </c>
      <c r="B229" s="1" t="s">
        <v>26</v>
      </c>
      <c r="C229" s="1" t="s">
        <v>17</v>
      </c>
      <c r="D229" s="1">
        <v>29.0</v>
      </c>
      <c r="E229" s="1">
        <v>25.0</v>
      </c>
      <c r="F229" s="1">
        <v>4.0</v>
      </c>
      <c r="G229" s="1">
        <v>11.0</v>
      </c>
      <c r="H229" s="1" t="s">
        <v>27</v>
      </c>
      <c r="I229" s="2">
        <v>45917.0</v>
      </c>
      <c r="J229" s="1">
        <v>4500000.0</v>
      </c>
      <c r="K229" s="2">
        <v>45901.0</v>
      </c>
    </row>
    <row r="230">
      <c r="A230" s="1" t="s">
        <v>48</v>
      </c>
      <c r="B230" s="1" t="s">
        <v>49</v>
      </c>
      <c r="C230" s="1" t="s">
        <v>36</v>
      </c>
      <c r="D230" s="1">
        <v>68.0</v>
      </c>
      <c r="E230" s="1">
        <v>120.0</v>
      </c>
      <c r="F230" s="1">
        <v>16.0</v>
      </c>
      <c r="G230" s="1">
        <v>6.0</v>
      </c>
      <c r="H230" s="1" t="s">
        <v>50</v>
      </c>
      <c r="I230" s="2">
        <v>45672.0</v>
      </c>
      <c r="J230" s="1">
        <v>55000.0</v>
      </c>
      <c r="K230" s="2">
        <v>45658.0</v>
      </c>
    </row>
    <row r="231">
      <c r="A231" s="1" t="s">
        <v>46</v>
      </c>
      <c r="B231" s="1" t="s">
        <v>47</v>
      </c>
      <c r="C231" s="1" t="s">
        <v>23</v>
      </c>
      <c r="D231" s="1">
        <v>35.0</v>
      </c>
      <c r="E231" s="1">
        <v>40.0</v>
      </c>
      <c r="F231" s="1">
        <v>4.0</v>
      </c>
      <c r="G231" s="1">
        <v>5.0</v>
      </c>
      <c r="H231" s="1" t="s">
        <v>30</v>
      </c>
      <c r="I231" s="2">
        <v>46161.0</v>
      </c>
      <c r="J231" s="1">
        <v>550000.0</v>
      </c>
      <c r="K231" s="2">
        <v>45809.0</v>
      </c>
    </row>
    <row r="232">
      <c r="A232" s="1" t="s">
        <v>38</v>
      </c>
      <c r="B232" s="1" t="s">
        <v>39</v>
      </c>
      <c r="C232" s="1" t="s">
        <v>23</v>
      </c>
      <c r="D232" s="1">
        <v>15.0</v>
      </c>
      <c r="E232" s="1">
        <v>45.0</v>
      </c>
      <c r="F232" s="1">
        <v>7.0</v>
      </c>
      <c r="G232" s="1">
        <v>4.0</v>
      </c>
      <c r="H232" s="1" t="s">
        <v>24</v>
      </c>
      <c r="I232" s="2">
        <v>45856.0</v>
      </c>
      <c r="J232" s="1">
        <v>450000.0</v>
      </c>
      <c r="K232" s="2">
        <v>45839.0</v>
      </c>
    </row>
    <row r="233">
      <c r="A233" s="1" t="s">
        <v>11</v>
      </c>
      <c r="B233" s="1" t="s">
        <v>12</v>
      </c>
      <c r="C233" s="1" t="s">
        <v>13</v>
      </c>
      <c r="D233" s="1">
        <v>172.0</v>
      </c>
      <c r="E233" s="1">
        <v>50.0</v>
      </c>
      <c r="F233" s="1">
        <v>2.0</v>
      </c>
      <c r="G233" s="1">
        <v>6.0</v>
      </c>
      <c r="H233" s="1" t="s">
        <v>14</v>
      </c>
      <c r="I233" s="2">
        <v>46018.0</v>
      </c>
      <c r="J233" s="1">
        <v>125000.0</v>
      </c>
      <c r="K233" s="2">
        <v>45992.0</v>
      </c>
    </row>
    <row r="234">
      <c r="A234" s="1" t="s">
        <v>62</v>
      </c>
      <c r="B234" s="1" t="s">
        <v>63</v>
      </c>
      <c r="C234" s="1" t="s">
        <v>13</v>
      </c>
      <c r="D234" s="1">
        <v>392.0</v>
      </c>
      <c r="E234" s="1">
        <v>80.0</v>
      </c>
      <c r="F234" s="1">
        <v>3.0</v>
      </c>
      <c r="G234" s="1">
        <v>6.0</v>
      </c>
      <c r="H234" s="1" t="s">
        <v>33</v>
      </c>
      <c r="I234" s="2">
        <v>46030.0</v>
      </c>
      <c r="J234" s="1">
        <v>85000.0</v>
      </c>
      <c r="K234" s="2">
        <v>46023.0</v>
      </c>
    </row>
    <row r="235">
      <c r="A235" s="1" t="s">
        <v>53</v>
      </c>
      <c r="B235" s="1" t="s">
        <v>54</v>
      </c>
      <c r="C235" s="1" t="s">
        <v>13</v>
      </c>
      <c r="D235" s="1">
        <v>205.0</v>
      </c>
      <c r="E235" s="1">
        <v>60.0</v>
      </c>
      <c r="F235" s="1">
        <v>4.0</v>
      </c>
      <c r="G235" s="1">
        <v>7.0</v>
      </c>
      <c r="H235" s="1" t="s">
        <v>14</v>
      </c>
      <c r="I235" s="2">
        <v>45739.0</v>
      </c>
      <c r="J235" s="1">
        <v>165000.0</v>
      </c>
      <c r="K235" s="2">
        <v>45717.0</v>
      </c>
    </row>
    <row r="236">
      <c r="A236" s="1" t="s">
        <v>60</v>
      </c>
      <c r="B236" s="1" t="s">
        <v>61</v>
      </c>
      <c r="C236" s="1" t="s">
        <v>17</v>
      </c>
      <c r="D236" s="1">
        <v>7.0</v>
      </c>
      <c r="E236" s="1">
        <v>20.0</v>
      </c>
      <c r="F236" s="1">
        <v>2.0</v>
      </c>
      <c r="G236" s="1">
        <v>7.0</v>
      </c>
      <c r="H236" s="1" t="s">
        <v>27</v>
      </c>
      <c r="I236" s="2">
        <v>45933.0</v>
      </c>
      <c r="J236" s="1">
        <v>3200000.0</v>
      </c>
      <c r="K236" s="2">
        <v>45931.0</v>
      </c>
    </row>
    <row r="237">
      <c r="A237" s="1" t="s">
        <v>55</v>
      </c>
      <c r="B237" s="1" t="s">
        <v>56</v>
      </c>
      <c r="C237" s="1" t="s">
        <v>36</v>
      </c>
      <c r="D237" s="1">
        <v>60.0</v>
      </c>
      <c r="E237" s="1">
        <v>100.0</v>
      </c>
      <c r="F237" s="1">
        <v>22.0</v>
      </c>
      <c r="G237" s="1">
        <v>5.0</v>
      </c>
      <c r="H237" s="1" t="s">
        <v>37</v>
      </c>
      <c r="I237" s="2">
        <v>46109.0</v>
      </c>
      <c r="J237" s="1">
        <v>85000.0</v>
      </c>
      <c r="K237" s="2">
        <v>46082.0</v>
      </c>
    </row>
    <row r="238">
      <c r="A238" s="1" t="s">
        <v>11</v>
      </c>
      <c r="B238" s="1" t="s">
        <v>12</v>
      </c>
      <c r="C238" s="1" t="s">
        <v>13</v>
      </c>
      <c r="D238" s="1">
        <v>230.0</v>
      </c>
      <c r="E238" s="1">
        <v>50.0</v>
      </c>
      <c r="F238" s="1">
        <v>1.0</v>
      </c>
      <c r="G238" s="1">
        <v>4.0</v>
      </c>
      <c r="H238" s="1" t="s">
        <v>14</v>
      </c>
      <c r="I238" s="2">
        <v>45939.0</v>
      </c>
      <c r="J238" s="1">
        <v>125000.0</v>
      </c>
      <c r="K238" s="2">
        <v>45931.0</v>
      </c>
    </row>
    <row r="239">
      <c r="A239" s="1" t="s">
        <v>34</v>
      </c>
      <c r="B239" s="1" t="s">
        <v>35</v>
      </c>
      <c r="C239" s="1" t="s">
        <v>36</v>
      </c>
      <c r="D239" s="1">
        <v>0.0</v>
      </c>
      <c r="E239" s="1">
        <v>80.0</v>
      </c>
      <c r="F239" s="1">
        <v>17.0</v>
      </c>
      <c r="G239" s="1">
        <v>5.0</v>
      </c>
      <c r="H239" s="1" t="s">
        <v>37</v>
      </c>
      <c r="I239" s="2">
        <v>46012.0</v>
      </c>
      <c r="J239" s="1">
        <v>65000.0</v>
      </c>
      <c r="K239" s="2">
        <v>45992.0</v>
      </c>
    </row>
    <row r="240">
      <c r="A240" s="1" t="s">
        <v>62</v>
      </c>
      <c r="B240" s="1" t="s">
        <v>63</v>
      </c>
      <c r="C240" s="1" t="s">
        <v>13</v>
      </c>
      <c r="D240" s="1">
        <v>302.0</v>
      </c>
      <c r="E240" s="1">
        <v>80.0</v>
      </c>
      <c r="F240" s="1">
        <v>3.0</v>
      </c>
      <c r="G240" s="1">
        <v>5.0</v>
      </c>
      <c r="H240" s="1" t="s">
        <v>33</v>
      </c>
      <c r="I240" s="2">
        <v>45797.0</v>
      </c>
      <c r="J240" s="1">
        <v>85000.0</v>
      </c>
      <c r="K240" s="2">
        <v>45778.0</v>
      </c>
    </row>
    <row r="241">
      <c r="A241" s="1" t="s">
        <v>15</v>
      </c>
      <c r="B241" s="1" t="s">
        <v>16</v>
      </c>
      <c r="C241" s="1" t="s">
        <v>17</v>
      </c>
      <c r="D241" s="1">
        <v>9.0</v>
      </c>
      <c r="E241" s="1">
        <v>15.0</v>
      </c>
      <c r="F241" s="1">
        <v>1.0</v>
      </c>
      <c r="G241" s="1">
        <v>6.0</v>
      </c>
      <c r="H241" s="1" t="s">
        <v>18</v>
      </c>
      <c r="I241" s="2">
        <v>46109.0</v>
      </c>
      <c r="J241" s="1">
        <v>8500000.0</v>
      </c>
      <c r="K241" s="2">
        <v>46082.0</v>
      </c>
    </row>
    <row r="242">
      <c r="A242" s="1" t="s">
        <v>19</v>
      </c>
      <c r="B242" s="1" t="s">
        <v>20</v>
      </c>
      <c r="C242" s="1" t="s">
        <v>17</v>
      </c>
      <c r="D242" s="1">
        <v>26.0</v>
      </c>
      <c r="E242" s="1">
        <v>30.0</v>
      </c>
      <c r="F242" s="1">
        <v>2.0</v>
      </c>
      <c r="G242" s="1">
        <v>9.0</v>
      </c>
      <c r="H242" s="1" t="s">
        <v>18</v>
      </c>
      <c r="I242" s="2">
        <v>45731.0</v>
      </c>
      <c r="J242" s="1">
        <v>1200000.0</v>
      </c>
      <c r="K242" s="2">
        <v>45717.0</v>
      </c>
    </row>
    <row r="243">
      <c r="A243" s="1" t="s">
        <v>28</v>
      </c>
      <c r="B243" s="1" t="s">
        <v>29</v>
      </c>
      <c r="C243" s="1" t="s">
        <v>23</v>
      </c>
      <c r="D243" s="1">
        <v>20.0</v>
      </c>
      <c r="E243" s="1">
        <v>35.0</v>
      </c>
      <c r="F243" s="1">
        <v>5.0</v>
      </c>
      <c r="G243" s="1">
        <v>8.0</v>
      </c>
      <c r="H243" s="1" t="s">
        <v>30</v>
      </c>
      <c r="I243" s="2">
        <v>45784.0</v>
      </c>
      <c r="J243" s="1">
        <v>1250000.0</v>
      </c>
      <c r="K243" s="2">
        <v>45778.0</v>
      </c>
    </row>
    <row r="244">
      <c r="A244" s="1" t="s">
        <v>51</v>
      </c>
      <c r="B244" s="1" t="s">
        <v>52</v>
      </c>
      <c r="C244" s="1" t="s">
        <v>36</v>
      </c>
      <c r="D244" s="1">
        <v>15.0</v>
      </c>
      <c r="E244" s="1">
        <v>60.0</v>
      </c>
      <c r="F244" s="1">
        <v>7.0</v>
      </c>
      <c r="G244" s="1">
        <v>5.0</v>
      </c>
      <c r="H244" s="1" t="s">
        <v>50</v>
      </c>
      <c r="I244" s="2">
        <v>45827.0</v>
      </c>
      <c r="J244" s="1">
        <v>175000.0</v>
      </c>
      <c r="K244" s="2">
        <v>45809.0</v>
      </c>
    </row>
    <row r="245">
      <c r="A245" s="1" t="s">
        <v>51</v>
      </c>
      <c r="B245" s="1" t="s">
        <v>52</v>
      </c>
      <c r="C245" s="1" t="s">
        <v>36</v>
      </c>
      <c r="D245" s="1">
        <v>0.0</v>
      </c>
      <c r="E245" s="1">
        <v>60.0</v>
      </c>
      <c r="F245" s="1">
        <v>11.0</v>
      </c>
      <c r="G245" s="1">
        <v>5.0</v>
      </c>
      <c r="H245" s="1" t="s">
        <v>50</v>
      </c>
      <c r="I245" s="2">
        <v>46083.0</v>
      </c>
      <c r="J245" s="1">
        <v>175000.0</v>
      </c>
      <c r="K245" s="2">
        <v>46082.0</v>
      </c>
    </row>
    <row r="246">
      <c r="A246" s="1" t="s">
        <v>62</v>
      </c>
      <c r="B246" s="1" t="s">
        <v>63</v>
      </c>
      <c r="C246" s="1" t="s">
        <v>13</v>
      </c>
      <c r="D246" s="1">
        <v>386.0</v>
      </c>
      <c r="E246" s="1">
        <v>80.0</v>
      </c>
      <c r="F246" s="1">
        <v>3.0</v>
      </c>
      <c r="G246" s="1">
        <v>6.0</v>
      </c>
      <c r="H246" s="1" t="s">
        <v>33</v>
      </c>
      <c r="I246" s="2">
        <v>45852.0</v>
      </c>
      <c r="J246" s="1">
        <v>85000.0</v>
      </c>
      <c r="K246" s="2">
        <v>45839.0</v>
      </c>
    </row>
    <row r="247">
      <c r="A247" s="1" t="s">
        <v>40</v>
      </c>
      <c r="B247" s="1" t="s">
        <v>41</v>
      </c>
      <c r="C247" s="1" t="s">
        <v>42</v>
      </c>
      <c r="D247" s="1">
        <v>9.0</v>
      </c>
      <c r="E247" s="1">
        <v>15.0</v>
      </c>
      <c r="F247" s="1">
        <v>1.0</v>
      </c>
      <c r="G247" s="1">
        <v>8.0</v>
      </c>
      <c r="H247" s="1" t="s">
        <v>43</v>
      </c>
      <c r="I247" s="2">
        <v>46014.0</v>
      </c>
      <c r="J247" s="1">
        <v>1200000.0</v>
      </c>
      <c r="K247" s="2">
        <v>45992.0</v>
      </c>
    </row>
    <row r="248">
      <c r="A248" s="1" t="s">
        <v>60</v>
      </c>
      <c r="B248" s="1" t="s">
        <v>61</v>
      </c>
      <c r="C248" s="1" t="s">
        <v>17</v>
      </c>
      <c r="D248" s="1">
        <v>27.0</v>
      </c>
      <c r="E248" s="1">
        <v>20.0</v>
      </c>
      <c r="F248" s="1">
        <v>2.0</v>
      </c>
      <c r="G248" s="1">
        <v>13.0</v>
      </c>
      <c r="H248" s="1" t="s">
        <v>27</v>
      </c>
      <c r="I248" s="2">
        <v>46057.0</v>
      </c>
      <c r="J248" s="1">
        <v>3200000.0</v>
      </c>
      <c r="K248" s="2">
        <v>46054.0</v>
      </c>
    </row>
    <row r="249">
      <c r="A249" s="1" t="s">
        <v>53</v>
      </c>
      <c r="B249" s="1" t="s">
        <v>54</v>
      </c>
      <c r="C249" s="1" t="s">
        <v>13</v>
      </c>
      <c r="D249" s="1">
        <v>292.0</v>
      </c>
      <c r="E249" s="1">
        <v>60.0</v>
      </c>
      <c r="F249" s="1">
        <v>3.0</v>
      </c>
      <c r="G249" s="1">
        <v>6.0</v>
      </c>
      <c r="H249" s="1" t="s">
        <v>14</v>
      </c>
      <c r="I249" s="2">
        <v>45888.0</v>
      </c>
      <c r="J249" s="1">
        <v>165000.0</v>
      </c>
      <c r="K249" s="2">
        <v>45870.0</v>
      </c>
    </row>
    <row r="250">
      <c r="A250" s="1" t="s">
        <v>31</v>
      </c>
      <c r="B250" s="1" t="s">
        <v>32</v>
      </c>
      <c r="C250" s="1" t="s">
        <v>13</v>
      </c>
      <c r="D250" s="1">
        <v>186.0</v>
      </c>
      <c r="E250" s="1">
        <v>40.0</v>
      </c>
      <c r="F250" s="1">
        <v>2.0</v>
      </c>
      <c r="G250" s="1">
        <v>4.0</v>
      </c>
      <c r="H250" s="1" t="s">
        <v>33</v>
      </c>
      <c r="I250" s="2">
        <v>45971.0</v>
      </c>
      <c r="J250" s="1">
        <v>550000.0</v>
      </c>
      <c r="K250" s="2">
        <v>45962.0</v>
      </c>
    </row>
    <row r="251">
      <c r="A251" s="1" t="s">
        <v>34</v>
      </c>
      <c r="B251" s="1" t="s">
        <v>35</v>
      </c>
      <c r="C251" s="1" t="s">
        <v>36</v>
      </c>
      <c r="D251" s="1">
        <v>35.0</v>
      </c>
      <c r="E251" s="1">
        <v>80.0</v>
      </c>
      <c r="F251" s="1">
        <v>13.0</v>
      </c>
      <c r="G251" s="1">
        <v>4.0</v>
      </c>
      <c r="H251" s="1" t="s">
        <v>37</v>
      </c>
      <c r="I251" s="2">
        <v>45800.0</v>
      </c>
      <c r="J251" s="1">
        <v>65000.0</v>
      </c>
      <c r="K251" s="2">
        <v>45778.0</v>
      </c>
    </row>
    <row r="252">
      <c r="A252" s="1" t="s">
        <v>46</v>
      </c>
      <c r="B252" s="1" t="s">
        <v>47</v>
      </c>
      <c r="C252" s="1" t="s">
        <v>23</v>
      </c>
      <c r="D252" s="1">
        <v>14.0</v>
      </c>
      <c r="E252" s="1">
        <v>40.0</v>
      </c>
      <c r="F252" s="1">
        <v>4.0</v>
      </c>
      <c r="G252" s="1">
        <v>8.0</v>
      </c>
      <c r="H252" s="1" t="s">
        <v>30</v>
      </c>
      <c r="I252" s="2">
        <v>45687.0</v>
      </c>
      <c r="J252" s="1">
        <v>550000.0</v>
      </c>
      <c r="K252" s="2">
        <v>45658.0</v>
      </c>
    </row>
    <row r="253">
      <c r="A253" s="1" t="s">
        <v>19</v>
      </c>
      <c r="B253" s="1" t="s">
        <v>20</v>
      </c>
      <c r="C253" s="1" t="s">
        <v>17</v>
      </c>
      <c r="D253" s="1">
        <v>31.0</v>
      </c>
      <c r="E253" s="1">
        <v>30.0</v>
      </c>
      <c r="F253" s="1">
        <v>3.0</v>
      </c>
      <c r="G253" s="1">
        <v>8.0</v>
      </c>
      <c r="H253" s="1" t="s">
        <v>18</v>
      </c>
      <c r="I253" s="2">
        <v>45929.0</v>
      </c>
      <c r="J253" s="1">
        <v>1200000.0</v>
      </c>
      <c r="K253" s="2">
        <v>45901.0</v>
      </c>
    </row>
    <row r="254">
      <c r="A254" s="1" t="s">
        <v>15</v>
      </c>
      <c r="B254" s="1" t="s">
        <v>16</v>
      </c>
      <c r="C254" s="1" t="s">
        <v>17</v>
      </c>
      <c r="D254" s="1">
        <v>13.0</v>
      </c>
      <c r="E254" s="1">
        <v>15.0</v>
      </c>
      <c r="F254" s="1">
        <v>1.0</v>
      </c>
      <c r="G254" s="1">
        <v>5.0</v>
      </c>
      <c r="H254" s="1" t="s">
        <v>18</v>
      </c>
      <c r="I254" s="2">
        <v>45710.0</v>
      </c>
      <c r="J254" s="1">
        <v>8500000.0</v>
      </c>
      <c r="K254" s="2">
        <v>45689.0</v>
      </c>
    </row>
    <row r="255">
      <c r="A255" s="1" t="s">
        <v>19</v>
      </c>
      <c r="B255" s="1" t="s">
        <v>20</v>
      </c>
      <c r="C255" s="1" t="s">
        <v>17</v>
      </c>
      <c r="D255" s="1">
        <v>26.0</v>
      </c>
      <c r="E255" s="1">
        <v>30.0</v>
      </c>
      <c r="F255" s="1">
        <v>4.0</v>
      </c>
      <c r="G255" s="1">
        <v>8.0</v>
      </c>
      <c r="H255" s="1" t="s">
        <v>18</v>
      </c>
      <c r="I255" s="2">
        <v>45803.0</v>
      </c>
      <c r="J255" s="1">
        <v>1200000.0</v>
      </c>
      <c r="K255" s="2">
        <v>45778.0</v>
      </c>
    </row>
    <row r="256">
      <c r="A256" s="1" t="s">
        <v>38</v>
      </c>
      <c r="B256" s="1" t="s">
        <v>39</v>
      </c>
      <c r="C256" s="1" t="s">
        <v>23</v>
      </c>
      <c r="D256" s="1">
        <v>36.0</v>
      </c>
      <c r="E256" s="1">
        <v>45.0</v>
      </c>
      <c r="F256" s="1">
        <v>4.0</v>
      </c>
      <c r="G256" s="1">
        <v>3.0</v>
      </c>
      <c r="H256" s="1" t="s">
        <v>24</v>
      </c>
      <c r="I256" s="2">
        <v>45812.0</v>
      </c>
      <c r="J256" s="1">
        <v>450000.0</v>
      </c>
      <c r="K256" s="2">
        <v>45809.0</v>
      </c>
    </row>
    <row r="257">
      <c r="A257" s="1" t="s">
        <v>62</v>
      </c>
      <c r="B257" s="1" t="s">
        <v>63</v>
      </c>
      <c r="C257" s="1" t="s">
        <v>13</v>
      </c>
      <c r="D257" s="1">
        <v>264.0</v>
      </c>
      <c r="E257" s="1">
        <v>80.0</v>
      </c>
      <c r="F257" s="1">
        <v>3.0</v>
      </c>
      <c r="G257" s="1">
        <v>5.0</v>
      </c>
      <c r="H257" s="1" t="s">
        <v>33</v>
      </c>
      <c r="I257" s="2">
        <v>45984.0</v>
      </c>
      <c r="J257" s="1">
        <v>85000.0</v>
      </c>
      <c r="K257" s="2">
        <v>45962.0</v>
      </c>
    </row>
    <row r="258">
      <c r="A258" s="1" t="s">
        <v>60</v>
      </c>
      <c r="B258" s="1" t="s">
        <v>61</v>
      </c>
      <c r="C258" s="1" t="s">
        <v>17</v>
      </c>
      <c r="D258" s="1">
        <v>38.0</v>
      </c>
      <c r="E258" s="1">
        <v>20.0</v>
      </c>
      <c r="F258" s="1">
        <v>2.0</v>
      </c>
      <c r="G258" s="1">
        <v>11.0</v>
      </c>
      <c r="H258" s="1" t="s">
        <v>27</v>
      </c>
      <c r="I258" s="2">
        <v>45782.0</v>
      </c>
      <c r="J258" s="1">
        <v>3200000.0</v>
      </c>
      <c r="K258" s="2">
        <v>45778.0</v>
      </c>
    </row>
    <row r="259">
      <c r="A259" s="1" t="s">
        <v>34</v>
      </c>
      <c r="B259" s="1" t="s">
        <v>35</v>
      </c>
      <c r="C259" s="1" t="s">
        <v>36</v>
      </c>
      <c r="D259" s="1">
        <v>46.0</v>
      </c>
      <c r="E259" s="1">
        <v>80.0</v>
      </c>
      <c r="F259" s="1">
        <v>13.0</v>
      </c>
      <c r="G259" s="1">
        <v>5.0</v>
      </c>
      <c r="H259" s="1" t="s">
        <v>37</v>
      </c>
      <c r="I259" s="2">
        <v>45924.0</v>
      </c>
      <c r="J259" s="1">
        <v>65000.0</v>
      </c>
      <c r="K259" s="2">
        <v>45901.0</v>
      </c>
    </row>
    <row r="260">
      <c r="A260" s="1" t="s">
        <v>28</v>
      </c>
      <c r="B260" s="1" t="s">
        <v>29</v>
      </c>
      <c r="C260" s="1" t="s">
        <v>23</v>
      </c>
      <c r="D260" s="1">
        <v>27.0</v>
      </c>
      <c r="E260" s="1">
        <v>35.0</v>
      </c>
      <c r="F260" s="1">
        <v>5.0</v>
      </c>
      <c r="G260" s="1">
        <v>3.0</v>
      </c>
      <c r="H260" s="1" t="s">
        <v>30</v>
      </c>
      <c r="I260" s="2">
        <v>45701.0</v>
      </c>
      <c r="J260" s="1">
        <v>1250000.0</v>
      </c>
      <c r="K260" s="2">
        <v>45689.0</v>
      </c>
    </row>
    <row r="261">
      <c r="A261" s="1" t="s">
        <v>19</v>
      </c>
      <c r="B261" s="1" t="s">
        <v>20</v>
      </c>
      <c r="C261" s="1" t="s">
        <v>17</v>
      </c>
      <c r="D261" s="1">
        <v>44.0</v>
      </c>
      <c r="E261" s="1">
        <v>30.0</v>
      </c>
      <c r="F261" s="1">
        <v>4.0</v>
      </c>
      <c r="G261" s="1">
        <v>8.0</v>
      </c>
      <c r="H261" s="1" t="s">
        <v>18</v>
      </c>
      <c r="I261" s="2">
        <v>45885.0</v>
      </c>
      <c r="J261" s="1">
        <v>1200000.0</v>
      </c>
      <c r="K261" s="2">
        <v>45870.0</v>
      </c>
    </row>
    <row r="262">
      <c r="A262" s="1" t="s">
        <v>34</v>
      </c>
      <c r="B262" s="1" t="s">
        <v>35</v>
      </c>
      <c r="C262" s="1" t="s">
        <v>36</v>
      </c>
      <c r="D262" s="1">
        <v>34.0</v>
      </c>
      <c r="E262" s="1">
        <v>80.0</v>
      </c>
      <c r="F262" s="1">
        <v>9.0</v>
      </c>
      <c r="G262" s="1">
        <v>3.0</v>
      </c>
      <c r="H262" s="1" t="s">
        <v>37</v>
      </c>
      <c r="I262" s="2">
        <v>45950.0</v>
      </c>
      <c r="J262" s="1">
        <v>65000.0</v>
      </c>
      <c r="K262" s="2">
        <v>45931.0</v>
      </c>
    </row>
    <row r="263">
      <c r="A263" s="1" t="s">
        <v>55</v>
      </c>
      <c r="B263" s="1" t="s">
        <v>56</v>
      </c>
      <c r="C263" s="1" t="s">
        <v>36</v>
      </c>
      <c r="D263" s="1">
        <v>145.0</v>
      </c>
      <c r="E263" s="1">
        <v>100.0</v>
      </c>
      <c r="F263" s="1">
        <v>17.0</v>
      </c>
      <c r="G263" s="1">
        <v>4.0</v>
      </c>
      <c r="H263" s="1" t="s">
        <v>37</v>
      </c>
      <c r="I263" s="2">
        <v>45711.0</v>
      </c>
      <c r="J263" s="1">
        <v>85000.0</v>
      </c>
      <c r="K263" s="2">
        <v>45689.0</v>
      </c>
    </row>
    <row r="264">
      <c r="A264" s="1" t="s">
        <v>15</v>
      </c>
      <c r="B264" s="1" t="s">
        <v>16</v>
      </c>
      <c r="C264" s="1" t="s">
        <v>17</v>
      </c>
      <c r="D264" s="1">
        <v>15.0</v>
      </c>
      <c r="E264" s="1">
        <v>15.0</v>
      </c>
      <c r="F264" s="1">
        <v>1.0</v>
      </c>
      <c r="G264" s="1">
        <v>5.0</v>
      </c>
      <c r="H264" s="1" t="s">
        <v>18</v>
      </c>
      <c r="I264" s="2">
        <v>46055.0</v>
      </c>
      <c r="J264" s="1">
        <v>8500000.0</v>
      </c>
      <c r="K264" s="2">
        <v>46054.0</v>
      </c>
    </row>
    <row r="265">
      <c r="A265" s="1" t="s">
        <v>38</v>
      </c>
      <c r="B265" s="1" t="s">
        <v>39</v>
      </c>
      <c r="C265" s="1" t="s">
        <v>23</v>
      </c>
      <c r="D265" s="1">
        <v>12.0</v>
      </c>
      <c r="E265" s="1">
        <v>45.0</v>
      </c>
      <c r="F265" s="1">
        <v>8.0</v>
      </c>
      <c r="G265" s="1">
        <v>6.0</v>
      </c>
      <c r="H265" s="1" t="s">
        <v>24</v>
      </c>
      <c r="I265" s="2">
        <v>46054.0</v>
      </c>
      <c r="J265" s="1">
        <v>450000.0</v>
      </c>
      <c r="K265" s="2">
        <v>46054.0</v>
      </c>
    </row>
    <row r="266">
      <c r="A266" s="1" t="s">
        <v>51</v>
      </c>
      <c r="B266" s="1" t="s">
        <v>52</v>
      </c>
      <c r="C266" s="1" t="s">
        <v>36</v>
      </c>
      <c r="D266" s="1">
        <v>19.0</v>
      </c>
      <c r="E266" s="1">
        <v>60.0</v>
      </c>
      <c r="F266" s="1">
        <v>6.0</v>
      </c>
      <c r="G266" s="1">
        <v>6.0</v>
      </c>
      <c r="H266" s="1" t="s">
        <v>50</v>
      </c>
      <c r="I266" s="2">
        <v>45775.0</v>
      </c>
      <c r="J266" s="1">
        <v>175000.0</v>
      </c>
      <c r="K266" s="2">
        <v>45748.0</v>
      </c>
    </row>
    <row r="267" hidden="1">
      <c r="A267" s="1" t="s">
        <v>44</v>
      </c>
      <c r="B267" s="1" t="s">
        <v>45</v>
      </c>
      <c r="C267" s="1" t="s">
        <v>42</v>
      </c>
      <c r="D267" s="1">
        <v>22.0</v>
      </c>
      <c r="E267" s="1">
        <v>30.0</v>
      </c>
      <c r="F267" s="1">
        <v>6.0</v>
      </c>
      <c r="G267" s="3"/>
      <c r="H267" s="1" t="s">
        <v>43</v>
      </c>
      <c r="I267" s="2">
        <v>45702.0</v>
      </c>
      <c r="J267" s="1">
        <v>350000.0</v>
      </c>
      <c r="K267" s="2">
        <v>45689.0</v>
      </c>
    </row>
    <row r="268">
      <c r="A268" s="1" t="s">
        <v>44</v>
      </c>
      <c r="B268" s="1" t="s">
        <v>45</v>
      </c>
      <c r="C268" s="1" t="s">
        <v>42</v>
      </c>
      <c r="D268" s="1">
        <v>59.0</v>
      </c>
      <c r="E268" s="1">
        <v>30.0</v>
      </c>
      <c r="F268" s="1">
        <v>3.0</v>
      </c>
      <c r="G268" s="1">
        <v>6.0</v>
      </c>
      <c r="H268" s="1" t="s">
        <v>43</v>
      </c>
      <c r="I268" s="2">
        <v>45880.0</v>
      </c>
      <c r="J268" s="1">
        <v>350000.0</v>
      </c>
      <c r="K268" s="2">
        <v>45870.0</v>
      </c>
    </row>
    <row r="269">
      <c r="A269" s="1" t="s">
        <v>64</v>
      </c>
      <c r="B269" s="1" t="s">
        <v>65</v>
      </c>
      <c r="C269" s="1" t="s">
        <v>42</v>
      </c>
      <c r="D269" s="1">
        <v>41.0</v>
      </c>
      <c r="E269" s="1">
        <v>20.0</v>
      </c>
      <c r="F269" s="1">
        <v>3.0</v>
      </c>
      <c r="G269" s="1">
        <v>9.0</v>
      </c>
      <c r="H269" s="1" t="s">
        <v>59</v>
      </c>
      <c r="I269" s="2">
        <v>46092.0</v>
      </c>
      <c r="J269" s="1">
        <v>750000.0</v>
      </c>
      <c r="K269" s="2">
        <v>46082.0</v>
      </c>
    </row>
    <row r="270" hidden="1">
      <c r="A270" s="1" t="s">
        <v>48</v>
      </c>
      <c r="B270" s="1" t="s">
        <v>49</v>
      </c>
      <c r="C270" s="1" t="s">
        <v>36</v>
      </c>
      <c r="D270" s="1">
        <v>121.0</v>
      </c>
      <c r="E270" s="1">
        <v>120.0</v>
      </c>
      <c r="F270" s="1">
        <v>27.0</v>
      </c>
      <c r="G270" s="3"/>
      <c r="H270" s="1" t="s">
        <v>50</v>
      </c>
      <c r="I270" s="2">
        <v>46095.0</v>
      </c>
      <c r="J270" s="1">
        <v>55000.0</v>
      </c>
      <c r="K270" s="2">
        <v>46082.0</v>
      </c>
    </row>
    <row r="271">
      <c r="A271" s="1" t="s">
        <v>55</v>
      </c>
      <c r="B271" s="1" t="s">
        <v>56</v>
      </c>
      <c r="C271" s="1" t="s">
        <v>36</v>
      </c>
      <c r="D271" s="1">
        <v>125.0</v>
      </c>
      <c r="E271" s="1">
        <v>100.0</v>
      </c>
      <c r="F271" s="1">
        <v>14.0</v>
      </c>
      <c r="G271" s="1">
        <v>4.0</v>
      </c>
      <c r="H271" s="1" t="s">
        <v>37</v>
      </c>
      <c r="I271" s="2">
        <v>45775.0</v>
      </c>
      <c r="J271" s="1">
        <v>85000.0</v>
      </c>
      <c r="K271" s="2">
        <v>45748.0</v>
      </c>
    </row>
    <row r="272">
      <c r="A272" s="1" t="s">
        <v>19</v>
      </c>
      <c r="B272" s="1" t="s">
        <v>20</v>
      </c>
      <c r="C272" s="1" t="s">
        <v>17</v>
      </c>
      <c r="D272" s="1">
        <v>42.0</v>
      </c>
      <c r="E272" s="1">
        <v>30.0</v>
      </c>
      <c r="F272" s="1">
        <v>4.0</v>
      </c>
      <c r="G272" s="1">
        <v>7.0</v>
      </c>
      <c r="H272" s="1" t="s">
        <v>18</v>
      </c>
      <c r="I272" s="2">
        <v>45960.0</v>
      </c>
      <c r="J272" s="1">
        <v>1200000.0</v>
      </c>
      <c r="K272" s="2">
        <v>45931.0</v>
      </c>
    </row>
    <row r="273">
      <c r="A273" s="1" t="s">
        <v>19</v>
      </c>
      <c r="B273" s="1" t="s">
        <v>20</v>
      </c>
      <c r="C273" s="1" t="s">
        <v>17</v>
      </c>
      <c r="D273" s="1">
        <v>21.0</v>
      </c>
      <c r="E273" s="1">
        <v>30.0</v>
      </c>
      <c r="F273" s="1">
        <v>4.0</v>
      </c>
      <c r="G273" s="1">
        <v>9.0</v>
      </c>
      <c r="H273" s="1" t="s">
        <v>18</v>
      </c>
      <c r="I273" s="2">
        <v>46197.0</v>
      </c>
      <c r="J273" s="1">
        <v>1200000.0</v>
      </c>
      <c r="K273" s="2">
        <v>45809.0</v>
      </c>
    </row>
    <row r="274">
      <c r="A274" s="1" t="s">
        <v>44</v>
      </c>
      <c r="B274" s="1" t="s">
        <v>45</v>
      </c>
      <c r="C274" s="1" t="s">
        <v>42</v>
      </c>
      <c r="D274" s="1">
        <v>41.0</v>
      </c>
      <c r="E274" s="1">
        <v>30.0</v>
      </c>
      <c r="F274" s="1">
        <v>6.0</v>
      </c>
      <c r="G274" s="1">
        <v>10.0</v>
      </c>
      <c r="H274" s="1" t="s">
        <v>43</v>
      </c>
      <c r="I274" s="2">
        <v>45945.0</v>
      </c>
      <c r="J274" s="1">
        <v>350000.0</v>
      </c>
      <c r="K274" s="2">
        <v>45931.0</v>
      </c>
    </row>
    <row r="275">
      <c r="A275" s="1" t="s">
        <v>31</v>
      </c>
      <c r="B275" s="1" t="s">
        <v>32</v>
      </c>
      <c r="C275" s="1" t="s">
        <v>13</v>
      </c>
      <c r="D275" s="1">
        <v>172.0</v>
      </c>
      <c r="E275" s="1">
        <v>40.0</v>
      </c>
      <c r="F275" s="1">
        <v>2.0</v>
      </c>
      <c r="G275" s="1">
        <v>6.0</v>
      </c>
      <c r="H275" s="1" t="s">
        <v>33</v>
      </c>
      <c r="I275" s="2">
        <v>45955.0</v>
      </c>
      <c r="J275" s="1">
        <v>550000.0</v>
      </c>
      <c r="K275" s="2">
        <v>45931.0</v>
      </c>
    </row>
    <row r="276">
      <c r="A276" s="1" t="s">
        <v>46</v>
      </c>
      <c r="B276" s="1" t="s">
        <v>47</v>
      </c>
      <c r="C276" s="1" t="s">
        <v>23</v>
      </c>
      <c r="D276" s="1">
        <v>36.0</v>
      </c>
      <c r="E276" s="1">
        <v>40.0</v>
      </c>
      <c r="F276" s="1">
        <v>6.0</v>
      </c>
      <c r="G276" s="1">
        <v>4.0</v>
      </c>
      <c r="H276" s="1" t="s">
        <v>30</v>
      </c>
      <c r="I276" s="2">
        <v>46044.0</v>
      </c>
      <c r="J276" s="1">
        <v>550000.0</v>
      </c>
      <c r="K276" s="2">
        <v>46023.0</v>
      </c>
    </row>
    <row r="277">
      <c r="A277" s="1" t="s">
        <v>31</v>
      </c>
      <c r="B277" s="1" t="s">
        <v>32</v>
      </c>
      <c r="C277" s="1" t="s">
        <v>13</v>
      </c>
      <c r="D277" s="1">
        <v>160.0</v>
      </c>
      <c r="E277" s="1">
        <v>40.0</v>
      </c>
      <c r="F277" s="1">
        <v>3.0</v>
      </c>
      <c r="G277" s="1">
        <v>6.0</v>
      </c>
      <c r="H277" s="1" t="s">
        <v>33</v>
      </c>
      <c r="I277" s="2">
        <v>45887.0</v>
      </c>
      <c r="J277" s="1">
        <v>550000.0</v>
      </c>
      <c r="K277" s="2">
        <v>45870.0</v>
      </c>
    </row>
    <row r="278">
      <c r="A278" s="1" t="s">
        <v>44</v>
      </c>
      <c r="B278" s="1" t="s">
        <v>45</v>
      </c>
      <c r="C278" s="1" t="s">
        <v>42</v>
      </c>
      <c r="D278" s="1">
        <v>45.0</v>
      </c>
      <c r="E278" s="1">
        <v>30.0</v>
      </c>
      <c r="F278" s="1">
        <v>5.0</v>
      </c>
      <c r="G278" s="1">
        <v>5.0</v>
      </c>
      <c r="H278" s="1" t="s">
        <v>43</v>
      </c>
      <c r="I278" s="2">
        <v>45801.0</v>
      </c>
      <c r="J278" s="1">
        <v>350000.0</v>
      </c>
      <c r="K278" s="2">
        <v>45778.0</v>
      </c>
    </row>
    <row r="279">
      <c r="A279" s="1" t="s">
        <v>19</v>
      </c>
      <c r="B279" s="1" t="s">
        <v>20</v>
      </c>
      <c r="C279" s="1" t="s">
        <v>17</v>
      </c>
      <c r="D279" s="1">
        <v>52.0</v>
      </c>
      <c r="E279" s="1">
        <v>30.0</v>
      </c>
      <c r="F279" s="1">
        <v>5.0</v>
      </c>
      <c r="G279" s="1">
        <v>5.0</v>
      </c>
      <c r="H279" s="1" t="s">
        <v>18</v>
      </c>
      <c r="I279" s="2">
        <v>46321.0</v>
      </c>
      <c r="J279" s="1">
        <v>1200000.0</v>
      </c>
      <c r="K279" s="2">
        <v>46054.0</v>
      </c>
    </row>
    <row r="280">
      <c r="A280" s="1" t="s">
        <v>19</v>
      </c>
      <c r="B280" s="1" t="s">
        <v>20</v>
      </c>
      <c r="C280" s="1" t="s">
        <v>17</v>
      </c>
      <c r="D280" s="1">
        <v>51.0</v>
      </c>
      <c r="E280" s="1">
        <v>30.0</v>
      </c>
      <c r="F280" s="1">
        <v>4.0</v>
      </c>
      <c r="G280" s="1">
        <v>6.0</v>
      </c>
      <c r="H280" s="1" t="s">
        <v>18</v>
      </c>
      <c r="I280" s="2">
        <v>45775.0</v>
      </c>
      <c r="J280" s="1">
        <v>1200000.0</v>
      </c>
      <c r="K280" s="2">
        <v>45748.0</v>
      </c>
    </row>
    <row r="281">
      <c r="A281" s="1" t="s">
        <v>11</v>
      </c>
      <c r="B281" s="1" t="s">
        <v>12</v>
      </c>
      <c r="C281" s="1" t="s">
        <v>13</v>
      </c>
      <c r="D281" s="1">
        <v>290.0</v>
      </c>
      <c r="E281" s="1">
        <v>50.0</v>
      </c>
      <c r="F281" s="1">
        <v>3.0</v>
      </c>
      <c r="G281" s="1">
        <v>6.0</v>
      </c>
      <c r="H281" s="1" t="s">
        <v>14</v>
      </c>
      <c r="I281" s="2">
        <v>45991.0</v>
      </c>
      <c r="J281" s="1">
        <v>125000.0</v>
      </c>
      <c r="K281" s="2">
        <v>45962.0</v>
      </c>
    </row>
    <row r="282">
      <c r="A282" s="1" t="s">
        <v>55</v>
      </c>
      <c r="B282" s="1" t="s">
        <v>56</v>
      </c>
      <c r="C282" s="1" t="s">
        <v>36</v>
      </c>
      <c r="D282" s="1">
        <v>57.0</v>
      </c>
      <c r="E282" s="1">
        <v>100.0</v>
      </c>
      <c r="F282" s="1">
        <v>15.0</v>
      </c>
      <c r="G282" s="1">
        <v>4.0</v>
      </c>
      <c r="H282" s="1" t="s">
        <v>37</v>
      </c>
      <c r="I282" s="2">
        <v>46034.0</v>
      </c>
      <c r="J282" s="1">
        <v>85000.0</v>
      </c>
      <c r="K282" s="2">
        <v>46023.0</v>
      </c>
    </row>
    <row r="283">
      <c r="A283" s="1" t="s">
        <v>25</v>
      </c>
      <c r="B283" s="1" t="s">
        <v>26</v>
      </c>
      <c r="C283" s="1" t="s">
        <v>17</v>
      </c>
      <c r="D283" s="1">
        <v>11.0</v>
      </c>
      <c r="E283" s="1">
        <v>25.0</v>
      </c>
      <c r="F283" s="1">
        <v>7.0</v>
      </c>
      <c r="G283" s="1">
        <v>14.0</v>
      </c>
      <c r="H283" s="1" t="s">
        <v>27</v>
      </c>
      <c r="I283" s="2">
        <v>45862.0</v>
      </c>
      <c r="J283" s="1">
        <v>4500000.0</v>
      </c>
      <c r="K283" s="2">
        <v>45839.0</v>
      </c>
    </row>
    <row r="284">
      <c r="A284" s="1" t="s">
        <v>40</v>
      </c>
      <c r="B284" s="1" t="s">
        <v>41</v>
      </c>
      <c r="C284" s="1" t="s">
        <v>42</v>
      </c>
      <c r="D284" s="1">
        <v>21.0</v>
      </c>
      <c r="E284" s="1">
        <v>15.0</v>
      </c>
      <c r="F284" s="1">
        <v>1.0</v>
      </c>
      <c r="G284" s="1">
        <v>9.0</v>
      </c>
      <c r="H284" s="1" t="s">
        <v>43</v>
      </c>
      <c r="I284" s="2">
        <v>45968.0</v>
      </c>
      <c r="J284" s="1">
        <v>1200000.0</v>
      </c>
      <c r="K284" s="2">
        <v>45962.0</v>
      </c>
    </row>
    <row r="285">
      <c r="A285" s="1" t="s">
        <v>51</v>
      </c>
      <c r="B285" s="1" t="s">
        <v>52</v>
      </c>
      <c r="C285" s="1" t="s">
        <v>36</v>
      </c>
      <c r="D285" s="1">
        <v>44.0</v>
      </c>
      <c r="E285" s="1">
        <v>60.0</v>
      </c>
      <c r="F285" s="1">
        <v>6.0</v>
      </c>
      <c r="G285" s="1">
        <v>6.0</v>
      </c>
      <c r="H285" s="1" t="s">
        <v>50</v>
      </c>
      <c r="I285" s="2">
        <v>45839.0</v>
      </c>
      <c r="J285" s="1">
        <v>175000.0</v>
      </c>
      <c r="K285" s="2">
        <v>45839.0</v>
      </c>
    </row>
    <row r="286">
      <c r="A286" s="1" t="s">
        <v>31</v>
      </c>
      <c r="B286" s="1" t="s">
        <v>32</v>
      </c>
      <c r="C286" s="1" t="s">
        <v>13</v>
      </c>
      <c r="D286" s="1">
        <v>127.0</v>
      </c>
      <c r="E286" s="1">
        <v>40.0</v>
      </c>
      <c r="F286" s="1">
        <v>3.0</v>
      </c>
      <c r="G286" s="1">
        <v>4.0</v>
      </c>
      <c r="H286" s="1" t="s">
        <v>33</v>
      </c>
      <c r="I286" s="2">
        <v>46001.0</v>
      </c>
      <c r="J286" s="1">
        <v>550000.0</v>
      </c>
      <c r="K286" s="2">
        <v>45992.0</v>
      </c>
    </row>
    <row r="287">
      <c r="A287" s="1" t="s">
        <v>48</v>
      </c>
      <c r="B287" s="1" t="s">
        <v>49</v>
      </c>
      <c r="C287" s="1" t="s">
        <v>36</v>
      </c>
      <c r="D287" s="1">
        <v>170.0</v>
      </c>
      <c r="E287" s="1">
        <v>120.0</v>
      </c>
      <c r="F287" s="1">
        <v>17.0</v>
      </c>
      <c r="G287" s="1">
        <v>3.0</v>
      </c>
      <c r="H287" s="1" t="s">
        <v>50</v>
      </c>
      <c r="I287" s="2">
        <v>45905.0</v>
      </c>
      <c r="J287" s="1">
        <v>55000.0</v>
      </c>
      <c r="K287" s="2">
        <v>45901.0</v>
      </c>
    </row>
    <row r="288">
      <c r="A288" s="1" t="s">
        <v>34</v>
      </c>
      <c r="B288" s="1" t="s">
        <v>35</v>
      </c>
      <c r="C288" s="1" t="s">
        <v>36</v>
      </c>
      <c r="D288" s="1">
        <v>0.0</v>
      </c>
      <c r="E288" s="1">
        <v>80.0</v>
      </c>
      <c r="F288" s="1">
        <v>18.0</v>
      </c>
      <c r="G288" s="1">
        <v>4.0</v>
      </c>
      <c r="H288" s="1" t="s">
        <v>37</v>
      </c>
      <c r="I288" s="2">
        <v>45745.0</v>
      </c>
      <c r="J288" s="1">
        <v>65000.0</v>
      </c>
      <c r="K288" s="2">
        <v>45717.0</v>
      </c>
    </row>
    <row r="289">
      <c r="A289" s="1" t="s">
        <v>57</v>
      </c>
      <c r="B289" s="1" t="s">
        <v>58</v>
      </c>
      <c r="C289" s="1" t="s">
        <v>42</v>
      </c>
      <c r="D289" s="1">
        <v>44.0</v>
      </c>
      <c r="E289" s="1">
        <v>25.0</v>
      </c>
      <c r="F289" s="1">
        <v>4.0</v>
      </c>
      <c r="G289" s="1">
        <v>8.0</v>
      </c>
      <c r="H289" s="1" t="s">
        <v>59</v>
      </c>
      <c r="I289" s="2">
        <v>46108.0</v>
      </c>
      <c r="J289" s="1">
        <v>450000.0</v>
      </c>
      <c r="K289" s="2">
        <v>46082.0</v>
      </c>
    </row>
    <row r="290">
      <c r="A290" s="1" t="s">
        <v>64</v>
      </c>
      <c r="B290" s="1" t="s">
        <v>65</v>
      </c>
      <c r="C290" s="1" t="s">
        <v>42</v>
      </c>
      <c r="D290" s="1">
        <v>27.0</v>
      </c>
      <c r="E290" s="1">
        <v>20.0</v>
      </c>
      <c r="F290" s="1">
        <v>3.0</v>
      </c>
      <c r="G290" s="1">
        <v>8.0</v>
      </c>
      <c r="H290" s="1" t="s">
        <v>59</v>
      </c>
      <c r="I290" s="2">
        <v>45976.0</v>
      </c>
      <c r="J290" s="1">
        <v>750000.0</v>
      </c>
      <c r="K290" s="2">
        <v>45962.0</v>
      </c>
    </row>
    <row r="291">
      <c r="A291" s="1" t="s">
        <v>40</v>
      </c>
      <c r="B291" s="1" t="s">
        <v>41</v>
      </c>
      <c r="C291" s="1" t="s">
        <v>42</v>
      </c>
      <c r="D291" s="1">
        <v>22.0</v>
      </c>
      <c r="E291" s="1">
        <v>15.0</v>
      </c>
      <c r="F291" s="1">
        <v>2.0</v>
      </c>
      <c r="G291" s="1">
        <v>5.0</v>
      </c>
      <c r="H291" s="1" t="s">
        <v>43</v>
      </c>
      <c r="I291" s="2">
        <v>45709.0</v>
      </c>
      <c r="J291" s="1">
        <v>1200000.0</v>
      </c>
      <c r="K291" s="2">
        <v>45689.0</v>
      </c>
    </row>
    <row r="292">
      <c r="A292" s="1" t="s">
        <v>28</v>
      </c>
      <c r="B292" s="1" t="s">
        <v>29</v>
      </c>
      <c r="C292" s="1" t="s">
        <v>23</v>
      </c>
      <c r="D292" s="1">
        <v>18.0</v>
      </c>
      <c r="E292" s="1">
        <v>35.0</v>
      </c>
      <c r="F292" s="1">
        <v>5.0</v>
      </c>
      <c r="G292" s="1">
        <v>4.0</v>
      </c>
      <c r="H292" s="1" t="s">
        <v>30</v>
      </c>
      <c r="I292" s="2">
        <v>45949.0</v>
      </c>
      <c r="J292" s="1">
        <v>1250000.0</v>
      </c>
      <c r="K292" s="2">
        <v>45931.0</v>
      </c>
    </row>
    <row r="293">
      <c r="A293" s="1" t="s">
        <v>38</v>
      </c>
      <c r="B293" s="1" t="s">
        <v>39</v>
      </c>
      <c r="C293" s="1" t="s">
        <v>23</v>
      </c>
      <c r="D293" s="1">
        <v>17.0</v>
      </c>
      <c r="E293" s="1">
        <v>45.0</v>
      </c>
      <c r="F293" s="1">
        <v>8.0</v>
      </c>
      <c r="G293" s="1">
        <v>4.0</v>
      </c>
      <c r="H293" s="1" t="s">
        <v>24</v>
      </c>
      <c r="I293" s="2">
        <v>46050.0</v>
      </c>
      <c r="J293" s="1">
        <v>450000.0</v>
      </c>
      <c r="K293" s="2">
        <v>46023.0</v>
      </c>
    </row>
    <row r="294">
      <c r="A294" s="1" t="s">
        <v>53</v>
      </c>
      <c r="B294" s="1" t="s">
        <v>54</v>
      </c>
      <c r="C294" s="1" t="s">
        <v>13</v>
      </c>
      <c r="D294" s="1">
        <v>273.0</v>
      </c>
      <c r="E294" s="1">
        <v>60.0</v>
      </c>
      <c r="F294" s="1">
        <v>1.0</v>
      </c>
      <c r="G294" s="1">
        <v>4.0</v>
      </c>
      <c r="H294" s="1" t="s">
        <v>14</v>
      </c>
      <c r="I294" s="2">
        <v>45806.0</v>
      </c>
      <c r="J294" s="1">
        <v>165000.0</v>
      </c>
      <c r="K294" s="2">
        <v>45778.0</v>
      </c>
    </row>
    <row r="295">
      <c r="A295" s="1" t="s">
        <v>64</v>
      </c>
      <c r="B295" s="1" t="s">
        <v>65</v>
      </c>
      <c r="C295" s="1" t="s">
        <v>42</v>
      </c>
      <c r="D295" s="1">
        <v>40.0</v>
      </c>
      <c r="E295" s="1">
        <v>20.0</v>
      </c>
      <c r="F295" s="1">
        <v>1.0</v>
      </c>
      <c r="G295" s="1">
        <v>7.0</v>
      </c>
      <c r="H295" s="1" t="s">
        <v>59</v>
      </c>
      <c r="I295" s="2">
        <v>45693.0</v>
      </c>
      <c r="J295" s="1">
        <v>750000.0</v>
      </c>
      <c r="K295" s="2">
        <v>45689.0</v>
      </c>
    </row>
    <row r="296">
      <c r="A296" s="1" t="s">
        <v>38</v>
      </c>
      <c r="B296" s="1" t="s">
        <v>39</v>
      </c>
      <c r="C296" s="1" t="s">
        <v>23</v>
      </c>
      <c r="D296" s="1">
        <v>17.0</v>
      </c>
      <c r="E296" s="1">
        <v>45.0</v>
      </c>
      <c r="F296" s="1">
        <v>8.0</v>
      </c>
      <c r="G296" s="1">
        <v>4.0</v>
      </c>
      <c r="H296" s="1" t="s">
        <v>24</v>
      </c>
      <c r="I296" s="2">
        <v>46050.0</v>
      </c>
      <c r="J296" s="1">
        <v>450000.0</v>
      </c>
      <c r="K296" s="2">
        <v>46023.0</v>
      </c>
    </row>
    <row r="297">
      <c r="A297" s="1" t="s">
        <v>25</v>
      </c>
      <c r="B297" s="1" t="s">
        <v>26</v>
      </c>
      <c r="C297" s="1" t="s">
        <v>17</v>
      </c>
      <c r="D297" s="1">
        <v>5.0</v>
      </c>
      <c r="E297" s="1">
        <v>25.0</v>
      </c>
      <c r="F297" s="1">
        <v>7.0</v>
      </c>
      <c r="G297" s="1">
        <v>19.0</v>
      </c>
      <c r="H297" s="1" t="s">
        <v>27</v>
      </c>
      <c r="I297" s="2">
        <v>45837.0</v>
      </c>
      <c r="J297" s="1">
        <v>4500000.0</v>
      </c>
      <c r="K297" s="2">
        <v>45809.0</v>
      </c>
    </row>
    <row r="298">
      <c r="A298" s="1" t="s">
        <v>31</v>
      </c>
      <c r="B298" s="1" t="s">
        <v>32</v>
      </c>
      <c r="C298" s="1" t="s">
        <v>13</v>
      </c>
      <c r="D298" s="1">
        <v>129.0</v>
      </c>
      <c r="E298" s="1">
        <v>40.0</v>
      </c>
      <c r="F298" s="1">
        <v>4.0</v>
      </c>
      <c r="G298" s="1">
        <v>6.0</v>
      </c>
      <c r="H298" s="1" t="s">
        <v>33</v>
      </c>
      <c r="I298" s="2">
        <v>45916.0</v>
      </c>
      <c r="J298" s="1">
        <v>550000.0</v>
      </c>
      <c r="K298" s="2">
        <v>45901.0</v>
      </c>
    </row>
    <row r="299">
      <c r="A299" s="1" t="s">
        <v>21</v>
      </c>
      <c r="B299" s="1" t="s">
        <v>22</v>
      </c>
      <c r="C299" s="1" t="s">
        <v>23</v>
      </c>
      <c r="D299" s="1">
        <v>0.0</v>
      </c>
      <c r="E299" s="1">
        <v>50.0</v>
      </c>
      <c r="F299" s="1">
        <v>14.0</v>
      </c>
      <c r="G299" s="1">
        <v>7.0</v>
      </c>
      <c r="H299" s="1" t="s">
        <v>24</v>
      </c>
      <c r="I299" s="2">
        <v>46014.0</v>
      </c>
      <c r="J299" s="1">
        <v>350000.0</v>
      </c>
      <c r="K299" s="2">
        <v>45992.0</v>
      </c>
    </row>
    <row r="300">
      <c r="A300" s="1" t="s">
        <v>46</v>
      </c>
      <c r="B300" s="1" t="s">
        <v>47</v>
      </c>
      <c r="C300" s="1" t="s">
        <v>23</v>
      </c>
      <c r="D300" s="1">
        <v>9.0</v>
      </c>
      <c r="E300" s="1">
        <v>40.0</v>
      </c>
      <c r="F300" s="1">
        <v>5.0</v>
      </c>
      <c r="G300" s="1">
        <v>8.0</v>
      </c>
      <c r="H300" s="1" t="s">
        <v>30</v>
      </c>
      <c r="I300" s="2">
        <v>45698.0</v>
      </c>
      <c r="J300" s="1">
        <v>550000.0</v>
      </c>
      <c r="K300" s="2">
        <v>45689.0</v>
      </c>
    </row>
    <row r="301">
      <c r="A301" s="1" t="s">
        <v>51</v>
      </c>
      <c r="B301" s="1" t="s">
        <v>52</v>
      </c>
      <c r="C301" s="1" t="s">
        <v>36</v>
      </c>
      <c r="D301" s="1">
        <v>20.0</v>
      </c>
      <c r="E301" s="1">
        <v>60.0</v>
      </c>
      <c r="F301" s="1">
        <v>9.0</v>
      </c>
      <c r="G301" s="1">
        <v>5.0</v>
      </c>
      <c r="H301" s="1" t="s">
        <v>50</v>
      </c>
      <c r="I301" s="2">
        <v>45687.0</v>
      </c>
      <c r="J301" s="1">
        <v>175000.0</v>
      </c>
      <c r="K301" s="2">
        <v>45658.0</v>
      </c>
    </row>
    <row r="302">
      <c r="A302" s="1" t="s">
        <v>28</v>
      </c>
      <c r="B302" s="1" t="s">
        <v>29</v>
      </c>
      <c r="C302" s="1" t="s">
        <v>23</v>
      </c>
      <c r="D302" s="1">
        <v>16.0</v>
      </c>
      <c r="E302" s="1">
        <v>35.0</v>
      </c>
      <c r="F302" s="1">
        <v>7.0</v>
      </c>
      <c r="G302" s="1">
        <v>5.0</v>
      </c>
      <c r="H302" s="1" t="s">
        <v>30</v>
      </c>
      <c r="I302" s="2">
        <v>46024.0</v>
      </c>
      <c r="J302" s="1">
        <v>1250000.0</v>
      </c>
      <c r="K302" s="2">
        <v>46023.0</v>
      </c>
    </row>
  </sheetData>
  <autoFilter ref="$A$1:$K$302">
    <filterColumn colId="5">
      <colorFilter dxfId="1"/>
    </filterColumn>
  </autoFilter>
  <conditionalFormatting sqref="A2:K302">
    <cfRule type="expression" dxfId="2" priority="1">
      <formula>(COUNTBLANK($A2:$D2) + COUNTBLANK($A2:$K2)) &gt; 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66</v>
      </c>
    </row>
    <row r="2">
      <c r="A2" s="1" t="s">
        <v>15</v>
      </c>
      <c r="B2" s="1" t="s">
        <v>16</v>
      </c>
      <c r="C2" s="1" t="s">
        <v>17</v>
      </c>
      <c r="D2" s="1">
        <v>17.0</v>
      </c>
      <c r="E2" s="1">
        <v>15.0</v>
      </c>
      <c r="F2" s="1">
        <v>1.0</v>
      </c>
      <c r="G2" s="1">
        <v>6.0</v>
      </c>
      <c r="H2" s="1" t="s">
        <v>18</v>
      </c>
      <c r="I2" s="2">
        <v>45665.0</v>
      </c>
      <c r="J2" s="1">
        <v>8500000.0</v>
      </c>
      <c r="K2" s="2">
        <v>45658.0</v>
      </c>
      <c r="L2" s="3" t="str">
        <f t="shared" ref="L2:L283" si="1">IF(D2 &lt;= E2, "STOCKOUT", "OK")</f>
        <v>OK</v>
      </c>
      <c r="N2" s="3">
        <f>COUNTIF(L:L, "STOCKOUT")</f>
        <v>152</v>
      </c>
    </row>
    <row r="3">
      <c r="A3" s="1" t="s">
        <v>15</v>
      </c>
      <c r="B3" s="1" t="s">
        <v>16</v>
      </c>
      <c r="C3" s="1" t="s">
        <v>17</v>
      </c>
      <c r="D3" s="1">
        <v>13.0</v>
      </c>
      <c r="E3" s="1">
        <v>15.0</v>
      </c>
      <c r="F3" s="1">
        <v>1.0</v>
      </c>
      <c r="G3" s="1">
        <v>5.0</v>
      </c>
      <c r="H3" s="1" t="s">
        <v>18</v>
      </c>
      <c r="I3" s="2">
        <v>45710.0</v>
      </c>
      <c r="J3" s="1">
        <v>8500000.0</v>
      </c>
      <c r="K3" s="2">
        <v>45689.0</v>
      </c>
      <c r="L3" s="3" t="str">
        <f t="shared" si="1"/>
        <v>STOCKOUT</v>
      </c>
    </row>
    <row r="4">
      <c r="A4" s="1" t="s">
        <v>15</v>
      </c>
      <c r="B4" s="1" t="s">
        <v>16</v>
      </c>
      <c r="C4" s="1" t="s">
        <v>17</v>
      </c>
      <c r="D4" s="1">
        <v>25.0</v>
      </c>
      <c r="E4" s="1">
        <v>15.0</v>
      </c>
      <c r="F4" s="1">
        <v>2.0</v>
      </c>
      <c r="G4" s="1">
        <v>8.0</v>
      </c>
      <c r="H4" s="1" t="s">
        <v>18</v>
      </c>
      <c r="I4" s="2">
        <v>45718.0</v>
      </c>
      <c r="J4" s="1">
        <v>8500000.0</v>
      </c>
      <c r="K4" s="2">
        <v>45717.0</v>
      </c>
      <c r="L4" s="3" t="str">
        <f t="shared" si="1"/>
        <v>OK</v>
      </c>
    </row>
    <row r="5">
      <c r="A5" s="1" t="s">
        <v>15</v>
      </c>
      <c r="B5" s="1" t="s">
        <v>16</v>
      </c>
      <c r="C5" s="1" t="s">
        <v>17</v>
      </c>
      <c r="D5" s="1">
        <v>11.0</v>
      </c>
      <c r="E5" s="1">
        <v>15.0</v>
      </c>
      <c r="F5" s="1">
        <v>1.0</v>
      </c>
      <c r="G5" s="1">
        <v>5.0</v>
      </c>
      <c r="H5" s="1" t="s">
        <v>18</v>
      </c>
      <c r="I5" s="2">
        <v>45754.0</v>
      </c>
      <c r="J5" s="1">
        <v>8500000.0</v>
      </c>
      <c r="K5" s="2">
        <v>45748.0</v>
      </c>
      <c r="L5" s="3" t="str">
        <f t="shared" si="1"/>
        <v>STOCKOUT</v>
      </c>
    </row>
    <row r="6">
      <c r="A6" s="1" t="s">
        <v>15</v>
      </c>
      <c r="B6" s="1" t="s">
        <v>16</v>
      </c>
      <c r="C6" s="1" t="s">
        <v>17</v>
      </c>
      <c r="D6" s="1">
        <v>28.0</v>
      </c>
      <c r="E6" s="1">
        <v>15.0</v>
      </c>
      <c r="F6" s="1">
        <v>1.0</v>
      </c>
      <c r="G6" s="1">
        <v>6.0</v>
      </c>
      <c r="H6" s="1" t="s">
        <v>18</v>
      </c>
      <c r="I6" s="2">
        <v>45800.0</v>
      </c>
      <c r="J6" s="1">
        <v>8500000.0</v>
      </c>
      <c r="K6" s="2">
        <v>45778.0</v>
      </c>
      <c r="L6" s="3" t="str">
        <f t="shared" si="1"/>
        <v>OK</v>
      </c>
    </row>
    <row r="7">
      <c r="A7" s="1" t="s">
        <v>15</v>
      </c>
      <c r="B7" s="1" t="s">
        <v>16</v>
      </c>
      <c r="C7" s="1" t="s">
        <v>17</v>
      </c>
      <c r="D7" s="1">
        <v>26.0</v>
      </c>
      <c r="E7" s="1">
        <v>15.0</v>
      </c>
      <c r="F7" s="1">
        <v>3.0</v>
      </c>
      <c r="G7" s="1">
        <v>8.0</v>
      </c>
      <c r="H7" s="1" t="s">
        <v>18</v>
      </c>
      <c r="I7" s="2">
        <v>45816.0</v>
      </c>
      <c r="J7" s="1">
        <v>8500000.0</v>
      </c>
      <c r="K7" s="2">
        <v>45809.0</v>
      </c>
      <c r="L7" s="3" t="str">
        <f t="shared" si="1"/>
        <v>OK</v>
      </c>
    </row>
    <row r="8">
      <c r="A8" s="1" t="s">
        <v>15</v>
      </c>
      <c r="B8" s="1" t="s">
        <v>16</v>
      </c>
      <c r="C8" s="1" t="s">
        <v>17</v>
      </c>
      <c r="D8" s="1">
        <v>1.0</v>
      </c>
      <c r="E8" s="1">
        <v>15.0</v>
      </c>
      <c r="F8" s="1">
        <v>2.0</v>
      </c>
      <c r="G8" s="1">
        <v>6.0</v>
      </c>
      <c r="H8" s="1" t="s">
        <v>18</v>
      </c>
      <c r="I8" s="2">
        <v>45861.0</v>
      </c>
      <c r="J8" s="1">
        <v>8500000.0</v>
      </c>
      <c r="K8" s="2">
        <v>45839.0</v>
      </c>
      <c r="L8" s="3" t="str">
        <f t="shared" si="1"/>
        <v>STOCKOUT</v>
      </c>
    </row>
    <row r="9">
      <c r="A9" s="1" t="s">
        <v>15</v>
      </c>
      <c r="B9" s="1" t="s">
        <v>16</v>
      </c>
      <c r="C9" s="1" t="s">
        <v>17</v>
      </c>
      <c r="D9" s="1">
        <v>22.0</v>
      </c>
      <c r="E9" s="1">
        <v>15.0</v>
      </c>
      <c r="F9" s="1">
        <v>2.0</v>
      </c>
      <c r="G9" s="1">
        <v>7.0</v>
      </c>
      <c r="H9" s="1" t="s">
        <v>18</v>
      </c>
      <c r="I9" s="2">
        <v>45878.0</v>
      </c>
      <c r="J9" s="1">
        <v>8500000.0</v>
      </c>
      <c r="K9" s="2">
        <v>45870.0</v>
      </c>
      <c r="L9" s="3" t="str">
        <f t="shared" si="1"/>
        <v>OK</v>
      </c>
    </row>
    <row r="10">
      <c r="A10" s="1" t="s">
        <v>15</v>
      </c>
      <c r="B10" s="1" t="s">
        <v>16</v>
      </c>
      <c r="C10" s="1" t="s">
        <v>17</v>
      </c>
      <c r="D10" s="1">
        <v>19.0</v>
      </c>
      <c r="E10" s="1">
        <v>15.0</v>
      </c>
      <c r="F10" s="1">
        <v>3.0</v>
      </c>
      <c r="G10" s="1">
        <v>5.0</v>
      </c>
      <c r="H10" s="1" t="s">
        <v>18</v>
      </c>
      <c r="I10" s="2">
        <v>45903.0</v>
      </c>
      <c r="J10" s="1">
        <v>8500000.0</v>
      </c>
      <c r="K10" s="2">
        <v>45901.0</v>
      </c>
      <c r="L10" s="3" t="str">
        <f t="shared" si="1"/>
        <v>OK</v>
      </c>
    </row>
    <row r="11">
      <c r="A11" s="1" t="s">
        <v>15</v>
      </c>
      <c r="B11" s="1" t="s">
        <v>16</v>
      </c>
      <c r="C11" s="1" t="s">
        <v>17</v>
      </c>
      <c r="D11" s="1">
        <v>21.0</v>
      </c>
      <c r="E11" s="1">
        <v>15.0</v>
      </c>
      <c r="F11" s="1">
        <v>4.0</v>
      </c>
      <c r="G11" s="1">
        <v>5.0</v>
      </c>
      <c r="H11" s="1" t="s">
        <v>18</v>
      </c>
      <c r="I11" s="2">
        <v>45942.0</v>
      </c>
      <c r="J11" s="1">
        <v>8500000.0</v>
      </c>
      <c r="K11" s="2">
        <v>45931.0</v>
      </c>
      <c r="L11" s="3" t="str">
        <f t="shared" si="1"/>
        <v>OK</v>
      </c>
    </row>
    <row r="12">
      <c r="A12" s="1" t="s">
        <v>15</v>
      </c>
      <c r="B12" s="1" t="s">
        <v>16</v>
      </c>
      <c r="C12" s="1" t="s">
        <v>17</v>
      </c>
      <c r="D12" s="1">
        <v>0.0</v>
      </c>
      <c r="E12" s="1">
        <v>15.0</v>
      </c>
      <c r="F12" s="1">
        <v>3.0</v>
      </c>
      <c r="G12" s="1">
        <v>8.0</v>
      </c>
      <c r="H12" s="1" t="s">
        <v>18</v>
      </c>
      <c r="I12" s="2">
        <v>45979.0</v>
      </c>
      <c r="J12" s="1">
        <v>8500000.0</v>
      </c>
      <c r="K12" s="2">
        <v>45962.0</v>
      </c>
      <c r="L12" s="3" t="str">
        <f t="shared" si="1"/>
        <v>STOCKOUT</v>
      </c>
    </row>
    <row r="13">
      <c r="A13" s="1" t="s">
        <v>15</v>
      </c>
      <c r="B13" s="1" t="s">
        <v>16</v>
      </c>
      <c r="C13" s="1" t="s">
        <v>17</v>
      </c>
      <c r="D13" s="1">
        <v>0.0</v>
      </c>
      <c r="E13" s="1">
        <v>15.0</v>
      </c>
      <c r="F13" s="1">
        <v>2.0</v>
      </c>
      <c r="G13" s="1">
        <v>8.0</v>
      </c>
      <c r="H13" s="1" t="s">
        <v>18</v>
      </c>
      <c r="I13" s="2">
        <v>45994.0</v>
      </c>
      <c r="J13" s="1">
        <v>8500000.0</v>
      </c>
      <c r="K13" s="2">
        <v>45992.0</v>
      </c>
      <c r="L13" s="3" t="str">
        <f t="shared" si="1"/>
        <v>STOCKOUT</v>
      </c>
    </row>
    <row r="14">
      <c r="A14" s="1" t="s">
        <v>15</v>
      </c>
      <c r="B14" s="1" t="s">
        <v>16</v>
      </c>
      <c r="C14" s="1" t="s">
        <v>17</v>
      </c>
      <c r="D14" s="1">
        <v>28.0</v>
      </c>
      <c r="E14" s="1">
        <v>15.0</v>
      </c>
      <c r="F14" s="1">
        <v>1.0</v>
      </c>
      <c r="G14" s="1">
        <v>7.0</v>
      </c>
      <c r="H14" s="1" t="s">
        <v>18</v>
      </c>
      <c r="I14" s="2">
        <v>46041.0</v>
      </c>
      <c r="J14" s="1">
        <v>8500000.0</v>
      </c>
      <c r="K14" s="2">
        <v>46023.0</v>
      </c>
      <c r="L14" s="3" t="str">
        <f t="shared" si="1"/>
        <v>OK</v>
      </c>
    </row>
    <row r="15">
      <c r="A15" s="1" t="s">
        <v>15</v>
      </c>
      <c r="B15" s="1" t="s">
        <v>16</v>
      </c>
      <c r="C15" s="1" t="s">
        <v>17</v>
      </c>
      <c r="D15" s="1">
        <v>15.0</v>
      </c>
      <c r="E15" s="1">
        <v>15.0</v>
      </c>
      <c r="F15" s="1">
        <v>1.0</v>
      </c>
      <c r="G15" s="1">
        <v>5.0</v>
      </c>
      <c r="H15" s="1" t="s">
        <v>18</v>
      </c>
      <c r="I15" s="2">
        <v>46055.0</v>
      </c>
      <c r="J15" s="1">
        <v>8500000.0</v>
      </c>
      <c r="K15" s="2">
        <v>46054.0</v>
      </c>
      <c r="L15" s="3" t="str">
        <f t="shared" si="1"/>
        <v>STOCKOUT</v>
      </c>
    </row>
    <row r="16">
      <c r="A16" s="1" t="s">
        <v>15</v>
      </c>
      <c r="B16" s="1" t="s">
        <v>16</v>
      </c>
      <c r="C16" s="1" t="s">
        <v>17</v>
      </c>
      <c r="D16" s="1">
        <v>9.0</v>
      </c>
      <c r="E16" s="1">
        <v>15.0</v>
      </c>
      <c r="F16" s="1">
        <v>1.0</v>
      </c>
      <c r="G16" s="1">
        <v>6.0</v>
      </c>
      <c r="H16" s="1" t="s">
        <v>18</v>
      </c>
      <c r="I16" s="2">
        <v>46109.0</v>
      </c>
      <c r="J16" s="1">
        <v>8500000.0</v>
      </c>
      <c r="K16" s="2">
        <v>46082.0</v>
      </c>
      <c r="L16" s="3" t="str">
        <f t="shared" si="1"/>
        <v>STOCKOUT</v>
      </c>
    </row>
    <row r="17">
      <c r="A17" s="1" t="s">
        <v>25</v>
      </c>
      <c r="B17" s="1" t="s">
        <v>26</v>
      </c>
      <c r="C17" s="1" t="s">
        <v>17</v>
      </c>
      <c r="D17" s="1">
        <v>0.0</v>
      </c>
      <c r="E17" s="1">
        <v>25.0</v>
      </c>
      <c r="F17" s="1">
        <v>3.0</v>
      </c>
      <c r="G17" s="1">
        <v>18.0</v>
      </c>
      <c r="H17" s="1" t="s">
        <v>27</v>
      </c>
      <c r="I17" s="2">
        <v>45663.0</v>
      </c>
      <c r="J17" s="1">
        <v>4500000.0</v>
      </c>
      <c r="K17" s="2">
        <v>45658.0</v>
      </c>
      <c r="L17" s="3" t="str">
        <f t="shared" si="1"/>
        <v>STOCKOUT</v>
      </c>
    </row>
    <row r="18">
      <c r="A18" s="1" t="s">
        <v>25</v>
      </c>
      <c r="B18" s="1" t="s">
        <v>26</v>
      </c>
      <c r="C18" s="1" t="s">
        <v>17</v>
      </c>
      <c r="D18" s="1">
        <v>32.0</v>
      </c>
      <c r="E18" s="1">
        <v>25.0</v>
      </c>
      <c r="F18" s="1">
        <v>4.0</v>
      </c>
      <c r="G18" s="1">
        <v>9.0</v>
      </c>
      <c r="H18" s="1" t="s">
        <v>27</v>
      </c>
      <c r="I18" s="2">
        <v>45708.0</v>
      </c>
      <c r="J18" s="1">
        <v>4500000.0</v>
      </c>
      <c r="K18" s="2">
        <v>45689.0</v>
      </c>
      <c r="L18" s="3" t="str">
        <f t="shared" si="1"/>
        <v>OK</v>
      </c>
    </row>
    <row r="19">
      <c r="A19" s="1" t="s">
        <v>25</v>
      </c>
      <c r="B19" s="1" t="s">
        <v>26</v>
      </c>
      <c r="C19" s="1" t="s">
        <v>17</v>
      </c>
      <c r="D19" s="1">
        <v>22.0</v>
      </c>
      <c r="E19" s="1">
        <v>25.0</v>
      </c>
      <c r="F19" s="1">
        <v>5.0</v>
      </c>
      <c r="G19" s="1">
        <v>14.0</v>
      </c>
      <c r="H19" s="1" t="s">
        <v>27</v>
      </c>
      <c r="I19" s="2">
        <v>45722.0</v>
      </c>
      <c r="J19" s="1">
        <v>4500000.0</v>
      </c>
      <c r="K19" s="2">
        <v>45717.0</v>
      </c>
      <c r="L19" s="3" t="str">
        <f t="shared" si="1"/>
        <v>STOCKOUT</v>
      </c>
    </row>
    <row r="20">
      <c r="A20" s="1" t="s">
        <v>25</v>
      </c>
      <c r="B20" s="1" t="s">
        <v>26</v>
      </c>
      <c r="C20" s="1" t="s">
        <v>17</v>
      </c>
      <c r="D20" s="1">
        <v>32.0</v>
      </c>
      <c r="E20" s="1">
        <v>25.0</v>
      </c>
      <c r="F20" s="1">
        <v>3.0</v>
      </c>
      <c r="G20" s="1">
        <v>8.0</v>
      </c>
      <c r="H20" s="1" t="s">
        <v>27</v>
      </c>
      <c r="I20" s="2">
        <v>45755.0</v>
      </c>
      <c r="J20" s="1">
        <v>4500000.0</v>
      </c>
      <c r="K20" s="2">
        <v>45748.0</v>
      </c>
      <c r="L20" s="3" t="str">
        <f t="shared" si="1"/>
        <v>OK</v>
      </c>
    </row>
    <row r="21">
      <c r="A21" s="1" t="s">
        <v>25</v>
      </c>
      <c r="B21" s="1" t="s">
        <v>26</v>
      </c>
      <c r="C21" s="1" t="s">
        <v>17</v>
      </c>
      <c r="D21" s="1">
        <v>20.0</v>
      </c>
      <c r="E21" s="1">
        <v>25.0</v>
      </c>
      <c r="F21" s="1">
        <v>4.0</v>
      </c>
      <c r="G21" s="1">
        <v>19.0</v>
      </c>
      <c r="H21" s="1" t="s">
        <v>27</v>
      </c>
      <c r="I21" s="2">
        <v>45786.0</v>
      </c>
      <c r="J21" s="1">
        <v>4500000.0</v>
      </c>
      <c r="K21" s="2">
        <v>45778.0</v>
      </c>
      <c r="L21" s="3" t="str">
        <f t="shared" si="1"/>
        <v>STOCKOUT</v>
      </c>
    </row>
    <row r="22">
      <c r="A22" s="1" t="s">
        <v>25</v>
      </c>
      <c r="B22" s="1" t="s">
        <v>26</v>
      </c>
      <c r="C22" s="1" t="s">
        <v>17</v>
      </c>
      <c r="D22" s="1">
        <v>5.0</v>
      </c>
      <c r="E22" s="1">
        <v>25.0</v>
      </c>
      <c r="F22" s="1">
        <v>7.0</v>
      </c>
      <c r="G22" s="1">
        <v>19.0</v>
      </c>
      <c r="H22" s="1" t="s">
        <v>27</v>
      </c>
      <c r="I22" s="2">
        <v>45837.0</v>
      </c>
      <c r="J22" s="1">
        <v>4500000.0</v>
      </c>
      <c r="K22" s="2">
        <v>45809.0</v>
      </c>
      <c r="L22" s="3" t="str">
        <f t="shared" si="1"/>
        <v>STOCKOUT</v>
      </c>
    </row>
    <row r="23">
      <c r="A23" s="1" t="s">
        <v>25</v>
      </c>
      <c r="B23" s="1" t="s">
        <v>26</v>
      </c>
      <c r="C23" s="1" t="s">
        <v>17</v>
      </c>
      <c r="D23" s="1">
        <v>11.0</v>
      </c>
      <c r="E23" s="1">
        <v>25.0</v>
      </c>
      <c r="F23" s="1">
        <v>7.0</v>
      </c>
      <c r="G23" s="1">
        <v>14.0</v>
      </c>
      <c r="H23" s="1" t="s">
        <v>27</v>
      </c>
      <c r="I23" s="2">
        <v>45862.0</v>
      </c>
      <c r="J23" s="1">
        <v>4500000.0</v>
      </c>
      <c r="K23" s="2">
        <v>45839.0</v>
      </c>
      <c r="L23" s="3" t="str">
        <f t="shared" si="1"/>
        <v>STOCKOUT</v>
      </c>
    </row>
    <row r="24">
      <c r="A24" s="1" t="s">
        <v>25</v>
      </c>
      <c r="B24" s="1" t="s">
        <v>26</v>
      </c>
      <c r="C24" s="1" t="s">
        <v>17</v>
      </c>
      <c r="D24" s="1">
        <v>42.0</v>
      </c>
      <c r="E24" s="1">
        <v>25.0</v>
      </c>
      <c r="F24" s="1">
        <v>4.0</v>
      </c>
      <c r="G24" s="1">
        <v>19.0</v>
      </c>
      <c r="H24" s="1" t="s">
        <v>27</v>
      </c>
      <c r="I24" s="2">
        <v>45881.0</v>
      </c>
      <c r="J24" s="1">
        <v>4500000.0</v>
      </c>
      <c r="K24" s="2">
        <v>45870.0</v>
      </c>
      <c r="L24" s="3" t="str">
        <f t="shared" si="1"/>
        <v>OK</v>
      </c>
    </row>
    <row r="25">
      <c r="A25" s="1" t="s">
        <v>25</v>
      </c>
      <c r="B25" s="1" t="s">
        <v>26</v>
      </c>
      <c r="C25" s="1" t="s">
        <v>17</v>
      </c>
      <c r="D25" s="1">
        <v>29.0</v>
      </c>
      <c r="E25" s="1">
        <v>25.0</v>
      </c>
      <c r="F25" s="1">
        <v>4.0</v>
      </c>
      <c r="G25" s="1">
        <v>11.0</v>
      </c>
      <c r="H25" s="1" t="s">
        <v>27</v>
      </c>
      <c r="I25" s="2">
        <v>45917.0</v>
      </c>
      <c r="J25" s="1">
        <v>4500000.0</v>
      </c>
      <c r="K25" s="2">
        <v>45901.0</v>
      </c>
      <c r="L25" s="3" t="str">
        <f t="shared" si="1"/>
        <v>OK</v>
      </c>
    </row>
    <row r="26">
      <c r="A26" s="1" t="s">
        <v>25</v>
      </c>
      <c r="B26" s="1" t="s">
        <v>26</v>
      </c>
      <c r="C26" s="1" t="s">
        <v>17</v>
      </c>
      <c r="D26" s="1">
        <v>2.0</v>
      </c>
      <c r="E26" s="1">
        <v>25.0</v>
      </c>
      <c r="F26" s="1">
        <v>3.0</v>
      </c>
      <c r="G26" s="1">
        <v>20.0</v>
      </c>
      <c r="H26" s="1" t="s">
        <v>27</v>
      </c>
      <c r="I26" s="2">
        <v>45950.0</v>
      </c>
      <c r="J26" s="1">
        <v>4500000.0</v>
      </c>
      <c r="K26" s="2">
        <v>45931.0</v>
      </c>
      <c r="L26" s="3" t="str">
        <f t="shared" si="1"/>
        <v>STOCKOUT</v>
      </c>
    </row>
    <row r="27">
      <c r="A27" s="1" t="s">
        <v>25</v>
      </c>
      <c r="B27" s="1" t="s">
        <v>26</v>
      </c>
      <c r="C27" s="1" t="s">
        <v>17</v>
      </c>
      <c r="D27" s="1">
        <v>0.0</v>
      </c>
      <c r="E27" s="1">
        <v>25.0</v>
      </c>
      <c r="F27" s="1">
        <v>7.0</v>
      </c>
      <c r="G27" s="1">
        <v>21.0</v>
      </c>
      <c r="H27" s="1" t="s">
        <v>27</v>
      </c>
      <c r="I27" s="2">
        <v>45978.0</v>
      </c>
      <c r="J27" s="1">
        <v>4500000.0</v>
      </c>
      <c r="K27" s="2">
        <v>45962.0</v>
      </c>
      <c r="L27" s="3" t="str">
        <f t="shared" si="1"/>
        <v>STOCKOUT</v>
      </c>
    </row>
    <row r="28">
      <c r="A28" s="1" t="s">
        <v>25</v>
      </c>
      <c r="B28" s="1" t="s">
        <v>26</v>
      </c>
      <c r="C28" s="1" t="s">
        <v>17</v>
      </c>
      <c r="D28" s="1">
        <v>0.0</v>
      </c>
      <c r="E28" s="1">
        <v>25.0</v>
      </c>
      <c r="F28" s="1">
        <v>8.0</v>
      </c>
      <c r="G28" s="1">
        <v>10.0</v>
      </c>
      <c r="H28" s="1" t="s">
        <v>27</v>
      </c>
      <c r="I28" s="2">
        <v>46013.0</v>
      </c>
      <c r="J28" s="1">
        <v>4500000.0</v>
      </c>
      <c r="K28" s="2">
        <v>45992.0</v>
      </c>
      <c r="L28" s="3" t="str">
        <f t="shared" si="1"/>
        <v>STOCKOUT</v>
      </c>
    </row>
    <row r="29">
      <c r="A29" s="1" t="s">
        <v>25</v>
      </c>
      <c r="B29" s="1" t="s">
        <v>26</v>
      </c>
      <c r="C29" s="1" t="s">
        <v>17</v>
      </c>
      <c r="D29" s="1">
        <v>32.0</v>
      </c>
      <c r="E29" s="1">
        <v>25.0</v>
      </c>
      <c r="F29" s="1">
        <v>6.0</v>
      </c>
      <c r="G29" s="1">
        <v>17.0</v>
      </c>
      <c r="H29" s="1" t="s">
        <v>27</v>
      </c>
      <c r="I29" s="2">
        <v>46026.0</v>
      </c>
      <c r="J29" s="1">
        <v>4500000.0</v>
      </c>
      <c r="K29" s="2">
        <v>46023.0</v>
      </c>
      <c r="L29" s="3" t="str">
        <f t="shared" si="1"/>
        <v>OK</v>
      </c>
    </row>
    <row r="30">
      <c r="A30" s="1" t="s">
        <v>25</v>
      </c>
      <c r="B30" s="1" t="s">
        <v>26</v>
      </c>
      <c r="C30" s="1" t="s">
        <v>17</v>
      </c>
      <c r="D30" s="1">
        <v>15.0</v>
      </c>
      <c r="E30" s="1">
        <v>25.0</v>
      </c>
      <c r="F30" s="1">
        <v>4.0</v>
      </c>
      <c r="G30" s="1">
        <v>15.0</v>
      </c>
      <c r="H30" s="1" t="s">
        <v>27</v>
      </c>
      <c r="I30" s="2">
        <v>46070.0</v>
      </c>
      <c r="J30" s="1">
        <v>4500000.0</v>
      </c>
      <c r="K30" s="2">
        <v>46054.0</v>
      </c>
      <c r="L30" s="3" t="str">
        <f t="shared" si="1"/>
        <v>STOCKOUT</v>
      </c>
    </row>
    <row r="31">
      <c r="A31" s="1" t="s">
        <v>25</v>
      </c>
      <c r="B31" s="1" t="s">
        <v>26</v>
      </c>
      <c r="C31" s="1" t="s">
        <v>17</v>
      </c>
      <c r="D31" s="1">
        <v>23.0</v>
      </c>
      <c r="E31" s="1">
        <v>25.0</v>
      </c>
      <c r="F31" s="1">
        <v>6.0</v>
      </c>
      <c r="G31" s="1">
        <v>10.0</v>
      </c>
      <c r="H31" s="1" t="s">
        <v>27</v>
      </c>
      <c r="I31" s="2">
        <v>46109.0</v>
      </c>
      <c r="J31" s="1">
        <v>4500000.0</v>
      </c>
      <c r="K31" s="2">
        <v>46082.0</v>
      </c>
      <c r="L31" s="3" t="str">
        <f t="shared" si="1"/>
        <v>STOCKOUT</v>
      </c>
    </row>
    <row r="32">
      <c r="A32" s="1" t="s">
        <v>60</v>
      </c>
      <c r="B32" s="1" t="s">
        <v>61</v>
      </c>
      <c r="C32" s="1" t="s">
        <v>17</v>
      </c>
      <c r="D32" s="1">
        <v>28.0</v>
      </c>
      <c r="E32" s="1">
        <v>20.0</v>
      </c>
      <c r="F32" s="1">
        <v>1.0</v>
      </c>
      <c r="G32" s="1">
        <v>11.0</v>
      </c>
      <c r="H32" s="1" t="s">
        <v>27</v>
      </c>
      <c r="I32" s="2">
        <v>45669.0</v>
      </c>
      <c r="J32" s="1">
        <v>3200000.0</v>
      </c>
      <c r="K32" s="2">
        <v>45658.0</v>
      </c>
      <c r="L32" s="3" t="str">
        <f t="shared" si="1"/>
        <v>OK</v>
      </c>
    </row>
    <row r="33">
      <c r="A33" s="1" t="s">
        <v>60</v>
      </c>
      <c r="B33" s="1" t="s">
        <v>61</v>
      </c>
      <c r="C33" s="1" t="s">
        <v>17</v>
      </c>
      <c r="D33" s="1">
        <v>0.0</v>
      </c>
      <c r="E33" s="1">
        <v>20.0</v>
      </c>
      <c r="F33" s="1">
        <v>1.0</v>
      </c>
      <c r="G33" s="1">
        <v>23.0</v>
      </c>
      <c r="H33" s="1" t="s">
        <v>27</v>
      </c>
      <c r="I33" s="2">
        <v>45689.0</v>
      </c>
      <c r="J33" s="1">
        <v>3200000.0</v>
      </c>
      <c r="K33" s="2">
        <v>45689.0</v>
      </c>
      <c r="L33" s="3" t="str">
        <f t="shared" si="1"/>
        <v>STOCKOUT</v>
      </c>
    </row>
    <row r="34">
      <c r="A34" s="1" t="s">
        <v>60</v>
      </c>
      <c r="B34" s="1" t="s">
        <v>61</v>
      </c>
      <c r="C34" s="1" t="s">
        <v>17</v>
      </c>
      <c r="D34" s="1">
        <v>12.0</v>
      </c>
      <c r="E34" s="1">
        <v>20.0</v>
      </c>
      <c r="F34" s="1">
        <v>2.0</v>
      </c>
      <c r="G34" s="1">
        <v>16.0</v>
      </c>
      <c r="H34" s="1" t="s">
        <v>27</v>
      </c>
      <c r="I34" s="2">
        <v>45724.0</v>
      </c>
      <c r="J34" s="1">
        <v>3200000.0</v>
      </c>
      <c r="K34" s="2">
        <v>45717.0</v>
      </c>
      <c r="L34" s="3" t="str">
        <f t="shared" si="1"/>
        <v>STOCKOUT</v>
      </c>
    </row>
    <row r="35">
      <c r="A35" s="1" t="s">
        <v>60</v>
      </c>
      <c r="B35" s="1" t="s">
        <v>61</v>
      </c>
      <c r="C35" s="1" t="s">
        <v>17</v>
      </c>
      <c r="D35" s="1">
        <v>38.0</v>
      </c>
      <c r="E35" s="1">
        <v>20.0</v>
      </c>
      <c r="F35" s="1">
        <v>2.0</v>
      </c>
      <c r="G35" s="1">
        <v>11.0</v>
      </c>
      <c r="H35" s="1" t="s">
        <v>27</v>
      </c>
      <c r="I35" s="2">
        <v>45782.0</v>
      </c>
      <c r="J35" s="1">
        <v>3200000.0</v>
      </c>
      <c r="K35" s="2">
        <v>45778.0</v>
      </c>
      <c r="L35" s="3" t="str">
        <f t="shared" si="1"/>
        <v>OK</v>
      </c>
    </row>
    <row r="36">
      <c r="A36" s="1" t="s">
        <v>60</v>
      </c>
      <c r="B36" s="1" t="s">
        <v>61</v>
      </c>
      <c r="C36" s="1" t="s">
        <v>17</v>
      </c>
      <c r="D36" s="1">
        <v>33.0</v>
      </c>
      <c r="E36" s="1">
        <v>20.0</v>
      </c>
      <c r="F36" s="1">
        <v>1.0</v>
      </c>
      <c r="G36" s="1">
        <v>12.0</v>
      </c>
      <c r="H36" s="1" t="s">
        <v>27</v>
      </c>
      <c r="I36" s="2">
        <v>45817.0</v>
      </c>
      <c r="J36" s="1">
        <v>3200000.0</v>
      </c>
      <c r="K36" s="2">
        <v>45809.0</v>
      </c>
      <c r="L36" s="3" t="str">
        <f t="shared" si="1"/>
        <v>OK</v>
      </c>
    </row>
    <row r="37">
      <c r="A37" s="1" t="s">
        <v>60</v>
      </c>
      <c r="B37" s="1" t="s">
        <v>61</v>
      </c>
      <c r="C37" s="1" t="s">
        <v>17</v>
      </c>
      <c r="D37" s="1">
        <v>7.0</v>
      </c>
      <c r="E37" s="1">
        <v>20.0</v>
      </c>
      <c r="F37" s="1">
        <v>2.0</v>
      </c>
      <c r="G37" s="1">
        <v>13.0</v>
      </c>
      <c r="H37" s="1" t="s">
        <v>27</v>
      </c>
      <c r="I37" s="2">
        <v>45861.0</v>
      </c>
      <c r="J37" s="1">
        <v>3200000.0</v>
      </c>
      <c r="K37" s="2">
        <v>45839.0</v>
      </c>
      <c r="L37" s="3" t="str">
        <f t="shared" si="1"/>
        <v>STOCKOUT</v>
      </c>
    </row>
    <row r="38">
      <c r="A38" s="1" t="s">
        <v>60</v>
      </c>
      <c r="B38" s="1" t="s">
        <v>61</v>
      </c>
      <c r="C38" s="1" t="s">
        <v>17</v>
      </c>
      <c r="D38" s="1">
        <v>0.0</v>
      </c>
      <c r="E38" s="1">
        <v>20.0</v>
      </c>
      <c r="F38" s="1">
        <v>3.0</v>
      </c>
      <c r="G38" s="1">
        <v>7.0</v>
      </c>
      <c r="H38" s="1" t="s">
        <v>27</v>
      </c>
      <c r="I38" s="2">
        <v>45919.0</v>
      </c>
      <c r="J38" s="1">
        <v>3200000.0</v>
      </c>
      <c r="K38" s="2">
        <v>45901.0</v>
      </c>
      <c r="L38" s="3" t="str">
        <f t="shared" si="1"/>
        <v>STOCKOUT</v>
      </c>
    </row>
    <row r="39">
      <c r="A39" s="1" t="s">
        <v>60</v>
      </c>
      <c r="B39" s="1" t="s">
        <v>61</v>
      </c>
      <c r="C39" s="1" t="s">
        <v>17</v>
      </c>
      <c r="D39" s="1">
        <v>7.0</v>
      </c>
      <c r="E39" s="1">
        <v>20.0</v>
      </c>
      <c r="F39" s="1">
        <v>2.0</v>
      </c>
      <c r="G39" s="1">
        <v>7.0</v>
      </c>
      <c r="H39" s="1" t="s">
        <v>27</v>
      </c>
      <c r="I39" s="2">
        <v>45933.0</v>
      </c>
      <c r="J39" s="1">
        <v>3200000.0</v>
      </c>
      <c r="K39" s="2">
        <v>45931.0</v>
      </c>
      <c r="L39" s="3" t="str">
        <f t="shared" si="1"/>
        <v>STOCKOUT</v>
      </c>
    </row>
    <row r="40">
      <c r="A40" s="1" t="s">
        <v>60</v>
      </c>
      <c r="B40" s="1" t="s">
        <v>61</v>
      </c>
      <c r="C40" s="1" t="s">
        <v>17</v>
      </c>
      <c r="D40" s="1">
        <v>0.0</v>
      </c>
      <c r="E40" s="1">
        <v>20.0</v>
      </c>
      <c r="F40" s="1">
        <v>4.0</v>
      </c>
      <c r="G40" s="1">
        <v>17.0</v>
      </c>
      <c r="H40" s="1" t="s">
        <v>27</v>
      </c>
      <c r="I40" s="2">
        <v>45964.0</v>
      </c>
      <c r="J40" s="1">
        <v>3200000.0</v>
      </c>
      <c r="K40" s="2">
        <v>45962.0</v>
      </c>
      <c r="L40" s="3" t="str">
        <f t="shared" si="1"/>
        <v>STOCKOUT</v>
      </c>
    </row>
    <row r="41">
      <c r="A41" s="1" t="s">
        <v>60</v>
      </c>
      <c r="B41" s="1" t="s">
        <v>61</v>
      </c>
      <c r="C41" s="1" t="s">
        <v>17</v>
      </c>
      <c r="D41" s="1">
        <v>30.0</v>
      </c>
      <c r="E41" s="1">
        <v>20.0</v>
      </c>
      <c r="F41" s="1">
        <v>1.0</v>
      </c>
      <c r="G41" s="1">
        <v>14.0</v>
      </c>
      <c r="H41" s="1" t="s">
        <v>27</v>
      </c>
      <c r="I41" s="2">
        <v>46048.0</v>
      </c>
      <c r="J41" s="1">
        <v>3200000.0</v>
      </c>
      <c r="K41" s="2">
        <v>46023.0</v>
      </c>
      <c r="L41" s="3" t="str">
        <f t="shared" si="1"/>
        <v>OK</v>
      </c>
    </row>
    <row r="42">
      <c r="A42" s="1" t="s">
        <v>60</v>
      </c>
      <c r="B42" s="1" t="s">
        <v>61</v>
      </c>
      <c r="C42" s="1" t="s">
        <v>17</v>
      </c>
      <c r="D42" s="1">
        <v>27.0</v>
      </c>
      <c r="E42" s="1">
        <v>20.0</v>
      </c>
      <c r="F42" s="1">
        <v>2.0</v>
      </c>
      <c r="G42" s="1">
        <v>13.0</v>
      </c>
      <c r="H42" s="1" t="s">
        <v>27</v>
      </c>
      <c r="I42" s="2">
        <v>46057.0</v>
      </c>
      <c r="J42" s="1">
        <v>3200000.0</v>
      </c>
      <c r="K42" s="2">
        <v>46054.0</v>
      </c>
      <c r="L42" s="3" t="str">
        <f t="shared" si="1"/>
        <v>OK</v>
      </c>
    </row>
    <row r="43">
      <c r="A43" s="1" t="s">
        <v>60</v>
      </c>
      <c r="B43" s="1" t="s">
        <v>61</v>
      </c>
      <c r="C43" s="1" t="s">
        <v>17</v>
      </c>
      <c r="D43" s="1">
        <v>22.0</v>
      </c>
      <c r="E43" s="1">
        <v>20.0</v>
      </c>
      <c r="F43" s="1">
        <v>4.0</v>
      </c>
      <c r="G43" s="1">
        <v>8.0</v>
      </c>
      <c r="H43" s="1" t="s">
        <v>27</v>
      </c>
      <c r="I43" s="2">
        <v>46103.0</v>
      </c>
      <c r="J43" s="1">
        <v>3200000.0</v>
      </c>
      <c r="K43" s="2">
        <v>46082.0</v>
      </c>
      <c r="L43" s="3" t="str">
        <f t="shared" si="1"/>
        <v>OK</v>
      </c>
    </row>
    <row r="44">
      <c r="A44" s="1" t="s">
        <v>19</v>
      </c>
      <c r="B44" s="1" t="s">
        <v>20</v>
      </c>
      <c r="C44" s="1" t="s">
        <v>17</v>
      </c>
      <c r="D44" s="1">
        <v>24.0</v>
      </c>
      <c r="E44" s="1">
        <v>30.0</v>
      </c>
      <c r="F44" s="1">
        <v>4.0</v>
      </c>
      <c r="G44" s="1">
        <v>5.0</v>
      </c>
      <c r="H44" s="1" t="s">
        <v>18</v>
      </c>
      <c r="I44" s="2">
        <v>45670.0</v>
      </c>
      <c r="J44" s="1">
        <v>1200000.0</v>
      </c>
      <c r="K44" s="2">
        <v>45658.0</v>
      </c>
      <c r="L44" s="3" t="str">
        <f t="shared" si="1"/>
        <v>STOCKOUT</v>
      </c>
    </row>
    <row r="45">
      <c r="A45" s="1" t="s">
        <v>19</v>
      </c>
      <c r="B45" s="1" t="s">
        <v>20</v>
      </c>
      <c r="C45" s="1" t="s">
        <v>17</v>
      </c>
      <c r="D45" s="1">
        <v>24.0</v>
      </c>
      <c r="E45" s="1">
        <v>30.0</v>
      </c>
      <c r="F45" s="1">
        <v>3.0</v>
      </c>
      <c r="G45" s="1">
        <v>6.0</v>
      </c>
      <c r="H45" s="1" t="s">
        <v>18</v>
      </c>
      <c r="I45" s="2">
        <v>45695.0</v>
      </c>
      <c r="J45" s="1">
        <v>1200000.0</v>
      </c>
      <c r="K45" s="2">
        <v>45689.0</v>
      </c>
      <c r="L45" s="3" t="str">
        <f t="shared" si="1"/>
        <v>STOCKOUT</v>
      </c>
    </row>
    <row r="46">
      <c r="A46" s="1" t="s">
        <v>19</v>
      </c>
      <c r="B46" s="1" t="s">
        <v>20</v>
      </c>
      <c r="C46" s="1" t="s">
        <v>17</v>
      </c>
      <c r="D46" s="1">
        <v>26.0</v>
      </c>
      <c r="E46" s="1">
        <v>30.0</v>
      </c>
      <c r="F46" s="1">
        <v>2.0</v>
      </c>
      <c r="G46" s="1">
        <v>9.0</v>
      </c>
      <c r="H46" s="1" t="s">
        <v>18</v>
      </c>
      <c r="I46" s="2">
        <v>45731.0</v>
      </c>
      <c r="J46" s="1">
        <v>1200000.0</v>
      </c>
      <c r="K46" s="2">
        <v>45717.0</v>
      </c>
      <c r="L46" s="3" t="str">
        <f t="shared" si="1"/>
        <v>STOCKOUT</v>
      </c>
    </row>
    <row r="47">
      <c r="A47" s="1" t="s">
        <v>19</v>
      </c>
      <c r="B47" s="1" t="s">
        <v>20</v>
      </c>
      <c r="C47" s="1" t="s">
        <v>17</v>
      </c>
      <c r="D47" s="1">
        <v>51.0</v>
      </c>
      <c r="E47" s="1">
        <v>30.0</v>
      </c>
      <c r="F47" s="1">
        <v>4.0</v>
      </c>
      <c r="G47" s="1">
        <v>6.0</v>
      </c>
      <c r="H47" s="1" t="s">
        <v>18</v>
      </c>
      <c r="I47" s="2">
        <v>45775.0</v>
      </c>
      <c r="J47" s="1">
        <v>1200000.0</v>
      </c>
      <c r="K47" s="2">
        <v>45748.0</v>
      </c>
      <c r="L47" s="3" t="str">
        <f t="shared" si="1"/>
        <v>OK</v>
      </c>
    </row>
    <row r="48">
      <c r="A48" s="1" t="s">
        <v>19</v>
      </c>
      <c r="B48" s="1" t="s">
        <v>20</v>
      </c>
      <c r="C48" s="1" t="s">
        <v>17</v>
      </c>
      <c r="D48" s="1">
        <v>26.0</v>
      </c>
      <c r="E48" s="1">
        <v>30.0</v>
      </c>
      <c r="F48" s="1">
        <v>4.0</v>
      </c>
      <c r="G48" s="1">
        <v>8.0</v>
      </c>
      <c r="H48" s="1" t="s">
        <v>18</v>
      </c>
      <c r="I48" s="2">
        <v>45803.0</v>
      </c>
      <c r="J48" s="1">
        <v>1200000.0</v>
      </c>
      <c r="K48" s="2">
        <v>45778.0</v>
      </c>
      <c r="L48" s="3" t="str">
        <f t="shared" si="1"/>
        <v>STOCKOUT</v>
      </c>
    </row>
    <row r="49">
      <c r="A49" s="1" t="s">
        <v>19</v>
      </c>
      <c r="B49" s="1" t="s">
        <v>20</v>
      </c>
      <c r="C49" s="1" t="s">
        <v>17</v>
      </c>
      <c r="D49" s="1">
        <v>1.0</v>
      </c>
      <c r="E49" s="1">
        <v>30.0</v>
      </c>
      <c r="F49" s="1">
        <v>4.0</v>
      </c>
      <c r="G49" s="1">
        <v>5.0</v>
      </c>
      <c r="H49" s="1" t="s">
        <v>18</v>
      </c>
      <c r="I49" s="2">
        <v>45868.0</v>
      </c>
      <c r="J49" s="1">
        <v>1200000.0</v>
      </c>
      <c r="K49" s="2">
        <v>45839.0</v>
      </c>
      <c r="L49" s="3" t="str">
        <f t="shared" si="1"/>
        <v>STOCKOUT</v>
      </c>
    </row>
    <row r="50">
      <c r="A50" s="1" t="s">
        <v>19</v>
      </c>
      <c r="B50" s="1" t="s">
        <v>20</v>
      </c>
      <c r="C50" s="1" t="s">
        <v>17</v>
      </c>
      <c r="D50" s="1">
        <v>44.0</v>
      </c>
      <c r="E50" s="1">
        <v>30.0</v>
      </c>
      <c r="F50" s="1">
        <v>4.0</v>
      </c>
      <c r="G50" s="1">
        <v>8.0</v>
      </c>
      <c r="H50" s="1" t="s">
        <v>18</v>
      </c>
      <c r="I50" s="2">
        <v>45885.0</v>
      </c>
      <c r="J50" s="1">
        <v>1200000.0</v>
      </c>
      <c r="K50" s="2">
        <v>45870.0</v>
      </c>
      <c r="L50" s="3" t="str">
        <f t="shared" si="1"/>
        <v>OK</v>
      </c>
    </row>
    <row r="51">
      <c r="A51" s="1" t="s">
        <v>19</v>
      </c>
      <c r="B51" s="1" t="s">
        <v>20</v>
      </c>
      <c r="C51" s="1" t="s">
        <v>17</v>
      </c>
      <c r="D51" s="1">
        <v>31.0</v>
      </c>
      <c r="E51" s="1">
        <v>30.0</v>
      </c>
      <c r="F51" s="1">
        <v>3.0</v>
      </c>
      <c r="G51" s="1">
        <v>8.0</v>
      </c>
      <c r="H51" s="1" t="s">
        <v>18</v>
      </c>
      <c r="I51" s="2">
        <v>45929.0</v>
      </c>
      <c r="J51" s="1">
        <v>1200000.0</v>
      </c>
      <c r="K51" s="2">
        <v>45901.0</v>
      </c>
      <c r="L51" s="3" t="str">
        <f t="shared" si="1"/>
        <v>OK</v>
      </c>
    </row>
    <row r="52">
      <c r="A52" s="1" t="s">
        <v>19</v>
      </c>
      <c r="B52" s="1" t="s">
        <v>20</v>
      </c>
      <c r="C52" s="1" t="s">
        <v>17</v>
      </c>
      <c r="D52" s="1">
        <v>42.0</v>
      </c>
      <c r="E52" s="1">
        <v>30.0</v>
      </c>
      <c r="F52" s="1">
        <v>4.0</v>
      </c>
      <c r="G52" s="1">
        <v>7.0</v>
      </c>
      <c r="H52" s="1" t="s">
        <v>18</v>
      </c>
      <c r="I52" s="2">
        <v>45960.0</v>
      </c>
      <c r="J52" s="1">
        <v>1200000.0</v>
      </c>
      <c r="K52" s="2">
        <v>45931.0</v>
      </c>
      <c r="L52" s="3" t="str">
        <f t="shared" si="1"/>
        <v>OK</v>
      </c>
    </row>
    <row r="53">
      <c r="A53" s="1" t="s">
        <v>19</v>
      </c>
      <c r="B53" s="1" t="s">
        <v>20</v>
      </c>
      <c r="C53" s="1" t="s">
        <v>17</v>
      </c>
      <c r="D53" s="1">
        <v>17.0</v>
      </c>
      <c r="E53" s="1">
        <v>30.0</v>
      </c>
      <c r="F53" s="1">
        <v>6.0</v>
      </c>
      <c r="G53" s="1">
        <v>8.0</v>
      </c>
      <c r="H53" s="1" t="s">
        <v>18</v>
      </c>
      <c r="I53" s="2">
        <v>45996.0</v>
      </c>
      <c r="J53" s="1">
        <v>1200000.0</v>
      </c>
      <c r="K53" s="2">
        <v>45992.0</v>
      </c>
      <c r="L53" s="3" t="str">
        <f t="shared" si="1"/>
        <v>STOCKOUT</v>
      </c>
    </row>
    <row r="54">
      <c r="A54" s="1" t="s">
        <v>19</v>
      </c>
      <c r="B54" s="1" t="s">
        <v>20</v>
      </c>
      <c r="C54" s="1" t="s">
        <v>17</v>
      </c>
      <c r="D54" s="1">
        <v>30.0</v>
      </c>
      <c r="E54" s="1">
        <v>30.0</v>
      </c>
      <c r="F54" s="1">
        <v>2.0</v>
      </c>
      <c r="G54" s="1">
        <v>7.0</v>
      </c>
      <c r="H54" s="1" t="s">
        <v>18</v>
      </c>
      <c r="I54" s="2">
        <v>46029.0</v>
      </c>
      <c r="J54" s="1">
        <v>1200000.0</v>
      </c>
      <c r="K54" s="2">
        <v>46023.0</v>
      </c>
      <c r="L54" s="3" t="str">
        <f t="shared" si="1"/>
        <v>STOCKOUT</v>
      </c>
    </row>
    <row r="55">
      <c r="A55" s="1" t="s">
        <v>19</v>
      </c>
      <c r="B55" s="1" t="s">
        <v>20</v>
      </c>
      <c r="C55" s="1" t="s">
        <v>17</v>
      </c>
      <c r="D55" s="1">
        <v>34.0</v>
      </c>
      <c r="E55" s="1">
        <v>30.0</v>
      </c>
      <c r="F55" s="1">
        <v>4.0</v>
      </c>
      <c r="G55" s="1">
        <v>5.0</v>
      </c>
      <c r="H55" s="1" t="s">
        <v>18</v>
      </c>
      <c r="I55" s="2">
        <v>46083.0</v>
      </c>
      <c r="J55" s="1">
        <v>1200000.0</v>
      </c>
      <c r="K55" s="2">
        <v>46082.0</v>
      </c>
      <c r="L55" s="3" t="str">
        <f t="shared" si="1"/>
        <v>OK</v>
      </c>
    </row>
    <row r="56">
      <c r="A56" s="1" t="s">
        <v>19</v>
      </c>
      <c r="B56" s="1" t="s">
        <v>20</v>
      </c>
      <c r="C56" s="1" t="s">
        <v>17</v>
      </c>
      <c r="D56" s="1">
        <v>21.0</v>
      </c>
      <c r="E56" s="1">
        <v>30.0</v>
      </c>
      <c r="F56" s="1">
        <v>4.0</v>
      </c>
      <c r="G56" s="1">
        <v>9.0</v>
      </c>
      <c r="H56" s="1" t="s">
        <v>18</v>
      </c>
      <c r="I56" s="2">
        <v>46197.0</v>
      </c>
      <c r="J56" s="1">
        <v>1200000.0</v>
      </c>
      <c r="K56" s="2">
        <v>45809.0</v>
      </c>
      <c r="L56" s="3" t="str">
        <f t="shared" si="1"/>
        <v>STOCKOUT</v>
      </c>
    </row>
    <row r="57">
      <c r="A57" s="1" t="s">
        <v>19</v>
      </c>
      <c r="B57" s="1" t="s">
        <v>20</v>
      </c>
      <c r="C57" s="1" t="s">
        <v>17</v>
      </c>
      <c r="D57" s="1">
        <v>52.0</v>
      </c>
      <c r="E57" s="1">
        <v>30.0</v>
      </c>
      <c r="F57" s="1">
        <v>5.0</v>
      </c>
      <c r="G57" s="1">
        <v>5.0</v>
      </c>
      <c r="H57" s="1" t="s">
        <v>18</v>
      </c>
      <c r="I57" s="2">
        <v>46321.0</v>
      </c>
      <c r="J57" s="1">
        <v>1200000.0</v>
      </c>
      <c r="K57" s="2">
        <v>46054.0</v>
      </c>
      <c r="L57" s="3" t="str">
        <f t="shared" si="1"/>
        <v>OK</v>
      </c>
    </row>
    <row r="58">
      <c r="A58" s="1" t="s">
        <v>21</v>
      </c>
      <c r="B58" s="1" t="s">
        <v>22</v>
      </c>
      <c r="C58" s="1" t="s">
        <v>23</v>
      </c>
      <c r="D58" s="1">
        <v>25.0</v>
      </c>
      <c r="E58" s="1">
        <v>50.0</v>
      </c>
      <c r="F58" s="1">
        <v>6.0</v>
      </c>
      <c r="G58" s="1">
        <v>3.0</v>
      </c>
      <c r="H58" s="1" t="s">
        <v>24</v>
      </c>
      <c r="I58" s="2">
        <v>45688.0</v>
      </c>
      <c r="J58" s="1">
        <v>350000.0</v>
      </c>
      <c r="K58" s="2">
        <v>45658.0</v>
      </c>
      <c r="L58" s="3" t="str">
        <f t="shared" si="1"/>
        <v>STOCKOUT</v>
      </c>
    </row>
    <row r="59">
      <c r="A59" s="1" t="s">
        <v>21</v>
      </c>
      <c r="B59" s="1" t="s">
        <v>22</v>
      </c>
      <c r="C59" s="1" t="s">
        <v>23</v>
      </c>
      <c r="D59" s="1">
        <v>13.0</v>
      </c>
      <c r="E59" s="1">
        <v>50.0</v>
      </c>
      <c r="F59" s="1">
        <v>8.0</v>
      </c>
      <c r="G59" s="1">
        <v>4.0</v>
      </c>
      <c r="H59" s="1" t="s">
        <v>24</v>
      </c>
      <c r="I59" s="2">
        <v>45691.0</v>
      </c>
      <c r="J59" s="1">
        <v>350000.0</v>
      </c>
      <c r="K59" s="2">
        <v>45689.0</v>
      </c>
      <c r="L59" s="3" t="str">
        <f t="shared" si="1"/>
        <v>STOCKOUT</v>
      </c>
    </row>
    <row r="60">
      <c r="A60" s="1" t="s">
        <v>21</v>
      </c>
      <c r="B60" s="1" t="s">
        <v>22</v>
      </c>
      <c r="C60" s="1" t="s">
        <v>23</v>
      </c>
      <c r="D60" s="1">
        <v>0.0</v>
      </c>
      <c r="E60" s="1">
        <v>50.0</v>
      </c>
      <c r="F60" s="1">
        <v>13.0</v>
      </c>
      <c r="G60" s="1">
        <v>3.0</v>
      </c>
      <c r="H60" s="1" t="s">
        <v>24</v>
      </c>
      <c r="I60" s="2">
        <v>45747.0</v>
      </c>
      <c r="J60" s="1">
        <v>350000.0</v>
      </c>
      <c r="K60" s="2">
        <v>45717.0</v>
      </c>
      <c r="L60" s="3" t="str">
        <f t="shared" si="1"/>
        <v>STOCKOUT</v>
      </c>
    </row>
    <row r="61">
      <c r="A61" s="1" t="s">
        <v>21</v>
      </c>
      <c r="B61" s="1" t="s">
        <v>22</v>
      </c>
      <c r="C61" s="1" t="s">
        <v>23</v>
      </c>
      <c r="D61" s="1">
        <v>0.0</v>
      </c>
      <c r="E61" s="1">
        <v>50.0</v>
      </c>
      <c r="F61" s="1">
        <v>11.0</v>
      </c>
      <c r="G61" s="1">
        <v>7.0</v>
      </c>
      <c r="H61" s="1" t="s">
        <v>24</v>
      </c>
      <c r="I61" s="2">
        <v>45749.0</v>
      </c>
      <c r="J61" s="1">
        <v>350000.0</v>
      </c>
      <c r="K61" s="2">
        <v>45748.0</v>
      </c>
      <c r="L61" s="3" t="str">
        <f t="shared" si="1"/>
        <v>STOCKOUT</v>
      </c>
    </row>
    <row r="62">
      <c r="A62" s="1" t="s">
        <v>21</v>
      </c>
      <c r="B62" s="1" t="s">
        <v>22</v>
      </c>
      <c r="C62" s="1" t="s">
        <v>23</v>
      </c>
      <c r="D62" s="1">
        <v>42.0</v>
      </c>
      <c r="E62" s="1">
        <v>50.0</v>
      </c>
      <c r="F62" s="1">
        <v>6.0</v>
      </c>
      <c r="G62" s="1">
        <v>4.0</v>
      </c>
      <c r="H62" s="1" t="s">
        <v>24</v>
      </c>
      <c r="I62" s="2">
        <v>45817.0</v>
      </c>
      <c r="J62" s="1">
        <v>350000.0</v>
      </c>
      <c r="K62" s="2">
        <v>45809.0</v>
      </c>
      <c r="L62" s="3" t="str">
        <f t="shared" si="1"/>
        <v>STOCKOUT</v>
      </c>
    </row>
    <row r="63">
      <c r="A63" s="1" t="s">
        <v>21</v>
      </c>
      <c r="B63" s="1" t="s">
        <v>22</v>
      </c>
      <c r="C63" s="1" t="s">
        <v>23</v>
      </c>
      <c r="D63" s="1">
        <v>34.0</v>
      </c>
      <c r="E63" s="1">
        <v>50.0</v>
      </c>
      <c r="F63" s="1">
        <v>6.0</v>
      </c>
      <c r="G63" s="1">
        <v>6.0</v>
      </c>
      <c r="H63" s="1" t="s">
        <v>24</v>
      </c>
      <c r="I63" s="2">
        <v>45849.0</v>
      </c>
      <c r="J63" s="1">
        <v>350000.0</v>
      </c>
      <c r="K63" s="2">
        <v>45839.0</v>
      </c>
      <c r="L63" s="3" t="str">
        <f t="shared" si="1"/>
        <v>STOCKOUT</v>
      </c>
    </row>
    <row r="64">
      <c r="A64" s="1" t="s">
        <v>21</v>
      </c>
      <c r="B64" s="1" t="s">
        <v>22</v>
      </c>
      <c r="C64" s="1" t="s">
        <v>23</v>
      </c>
      <c r="D64" s="1">
        <v>26.0</v>
      </c>
      <c r="E64" s="1">
        <v>50.0</v>
      </c>
      <c r="F64" s="1">
        <v>8.0</v>
      </c>
      <c r="G64" s="1">
        <v>3.0</v>
      </c>
      <c r="H64" s="1" t="s">
        <v>24</v>
      </c>
      <c r="I64" s="2">
        <v>45884.0</v>
      </c>
      <c r="J64" s="1">
        <v>350000.0</v>
      </c>
      <c r="K64" s="2">
        <v>45870.0</v>
      </c>
      <c r="L64" s="3" t="str">
        <f t="shared" si="1"/>
        <v>STOCKOUT</v>
      </c>
    </row>
    <row r="65">
      <c r="A65" s="1" t="s">
        <v>21</v>
      </c>
      <c r="B65" s="1" t="s">
        <v>22</v>
      </c>
      <c r="C65" s="1" t="s">
        <v>23</v>
      </c>
      <c r="D65" s="1">
        <v>21.0</v>
      </c>
      <c r="E65" s="1">
        <v>50.0</v>
      </c>
      <c r="F65" s="1">
        <v>7.0</v>
      </c>
      <c r="G65" s="1">
        <v>3.0</v>
      </c>
      <c r="H65" s="1" t="s">
        <v>24</v>
      </c>
      <c r="I65" s="2">
        <v>45918.0</v>
      </c>
      <c r="J65" s="1">
        <v>350000.0</v>
      </c>
      <c r="K65" s="2">
        <v>45901.0</v>
      </c>
      <c r="L65" s="3" t="str">
        <f t="shared" si="1"/>
        <v>STOCKOUT</v>
      </c>
    </row>
    <row r="66">
      <c r="A66" s="1" t="s">
        <v>21</v>
      </c>
      <c r="B66" s="1" t="s">
        <v>22</v>
      </c>
      <c r="C66" s="1" t="s">
        <v>23</v>
      </c>
      <c r="D66" s="1">
        <v>28.0</v>
      </c>
      <c r="E66" s="1">
        <v>50.0</v>
      </c>
      <c r="F66" s="1">
        <v>7.0</v>
      </c>
      <c r="G66" s="1">
        <v>7.0</v>
      </c>
      <c r="H66" s="1" t="s">
        <v>24</v>
      </c>
      <c r="I66" s="2">
        <v>45939.0</v>
      </c>
      <c r="J66" s="1">
        <v>350000.0</v>
      </c>
      <c r="K66" s="2">
        <v>45931.0</v>
      </c>
      <c r="L66" s="3" t="str">
        <f t="shared" si="1"/>
        <v>STOCKOUT</v>
      </c>
    </row>
    <row r="67">
      <c r="A67" s="1" t="s">
        <v>21</v>
      </c>
      <c r="B67" s="1" t="s">
        <v>22</v>
      </c>
      <c r="C67" s="1" t="s">
        <v>23</v>
      </c>
      <c r="D67" s="1">
        <v>0.0</v>
      </c>
      <c r="E67" s="1">
        <v>50.0</v>
      </c>
      <c r="F67" s="1">
        <v>12.0</v>
      </c>
      <c r="G67" s="1">
        <v>5.0</v>
      </c>
      <c r="H67" s="1" t="s">
        <v>24</v>
      </c>
      <c r="I67" s="2">
        <v>45971.0</v>
      </c>
      <c r="J67" s="1">
        <v>350000.0</v>
      </c>
      <c r="K67" s="2">
        <v>45962.0</v>
      </c>
      <c r="L67" s="3" t="str">
        <f t="shared" si="1"/>
        <v>STOCKOUT</v>
      </c>
    </row>
    <row r="68">
      <c r="A68" s="1" t="s">
        <v>21</v>
      </c>
      <c r="B68" s="1" t="s">
        <v>22</v>
      </c>
      <c r="C68" s="1" t="s">
        <v>23</v>
      </c>
      <c r="D68" s="1">
        <v>0.0</v>
      </c>
      <c r="E68" s="1">
        <v>50.0</v>
      </c>
      <c r="F68" s="1">
        <v>14.0</v>
      </c>
      <c r="G68" s="1">
        <v>7.0</v>
      </c>
      <c r="H68" s="1" t="s">
        <v>24</v>
      </c>
      <c r="I68" s="2">
        <v>46014.0</v>
      </c>
      <c r="J68" s="1">
        <v>350000.0</v>
      </c>
      <c r="K68" s="2">
        <v>45992.0</v>
      </c>
      <c r="L68" s="3" t="str">
        <f t="shared" si="1"/>
        <v>STOCKOUT</v>
      </c>
    </row>
    <row r="69">
      <c r="A69" s="1" t="s">
        <v>21</v>
      </c>
      <c r="B69" s="1" t="s">
        <v>22</v>
      </c>
      <c r="C69" s="1" t="s">
        <v>23</v>
      </c>
      <c r="D69" s="1">
        <v>15.0</v>
      </c>
      <c r="E69" s="1">
        <v>50.0</v>
      </c>
      <c r="F69" s="1">
        <v>7.0</v>
      </c>
      <c r="G69" s="1">
        <v>7.0</v>
      </c>
      <c r="H69" s="1" t="s">
        <v>24</v>
      </c>
      <c r="I69" s="2">
        <v>46032.0</v>
      </c>
      <c r="J69" s="1">
        <v>350000.0</v>
      </c>
      <c r="K69" s="2">
        <v>46023.0</v>
      </c>
      <c r="L69" s="3" t="str">
        <f t="shared" si="1"/>
        <v>STOCKOUT</v>
      </c>
    </row>
    <row r="70">
      <c r="A70" s="1" t="s">
        <v>21</v>
      </c>
      <c r="B70" s="1" t="s">
        <v>22</v>
      </c>
      <c r="C70" s="1" t="s">
        <v>23</v>
      </c>
      <c r="D70" s="1">
        <v>14.0</v>
      </c>
      <c r="E70" s="1">
        <v>50.0</v>
      </c>
      <c r="F70" s="1">
        <v>11.0</v>
      </c>
      <c r="G70" s="1">
        <v>4.0</v>
      </c>
      <c r="H70" s="1" t="s">
        <v>24</v>
      </c>
      <c r="I70" s="2">
        <v>46062.0</v>
      </c>
      <c r="J70" s="1">
        <v>350000.0</v>
      </c>
      <c r="K70" s="2">
        <v>46054.0</v>
      </c>
      <c r="L70" s="3" t="str">
        <f t="shared" si="1"/>
        <v>STOCKOUT</v>
      </c>
    </row>
    <row r="71">
      <c r="A71" s="1" t="s">
        <v>21</v>
      </c>
      <c r="B71" s="1" t="s">
        <v>22</v>
      </c>
      <c r="C71" s="1" t="s">
        <v>23</v>
      </c>
      <c r="D71" s="1">
        <v>0.0</v>
      </c>
      <c r="E71" s="1">
        <v>50.0</v>
      </c>
      <c r="F71" s="1">
        <v>14.0</v>
      </c>
      <c r="G71" s="1">
        <v>5.0</v>
      </c>
      <c r="H71" s="1" t="s">
        <v>24</v>
      </c>
      <c r="I71" s="2">
        <v>46101.0</v>
      </c>
      <c r="J71" s="1">
        <v>350000.0</v>
      </c>
      <c r="K71" s="2">
        <v>46082.0</v>
      </c>
      <c r="L71" s="3" t="str">
        <f t="shared" si="1"/>
        <v>STOCKOUT</v>
      </c>
    </row>
    <row r="72">
      <c r="A72" s="1" t="s">
        <v>38</v>
      </c>
      <c r="B72" s="1" t="s">
        <v>39</v>
      </c>
      <c r="C72" s="1" t="s">
        <v>23</v>
      </c>
      <c r="D72" s="1">
        <v>23.0</v>
      </c>
      <c r="E72" s="1">
        <v>45.0</v>
      </c>
      <c r="F72" s="1">
        <v>6.0</v>
      </c>
      <c r="G72" s="1">
        <v>6.0</v>
      </c>
      <c r="H72" s="1" t="s">
        <v>24</v>
      </c>
      <c r="I72" s="2">
        <v>45697.0</v>
      </c>
      <c r="J72" s="1">
        <v>450000.0</v>
      </c>
      <c r="K72" s="2">
        <v>45689.0</v>
      </c>
      <c r="L72" s="3" t="str">
        <f t="shared" si="1"/>
        <v>STOCKOUT</v>
      </c>
    </row>
    <row r="73">
      <c r="A73" s="1" t="s">
        <v>38</v>
      </c>
      <c r="B73" s="1" t="s">
        <v>39</v>
      </c>
      <c r="C73" s="1" t="s">
        <v>23</v>
      </c>
      <c r="D73" s="1">
        <v>0.0</v>
      </c>
      <c r="E73" s="1">
        <v>45.0</v>
      </c>
      <c r="F73" s="1">
        <v>10.0</v>
      </c>
      <c r="G73" s="1">
        <v>3.0</v>
      </c>
      <c r="H73" s="1" t="s">
        <v>24</v>
      </c>
      <c r="I73" s="2">
        <v>45737.0</v>
      </c>
      <c r="J73" s="1">
        <v>450000.0</v>
      </c>
      <c r="K73" s="2">
        <v>45717.0</v>
      </c>
      <c r="L73" s="3" t="str">
        <f t="shared" si="1"/>
        <v>STOCKOUT</v>
      </c>
    </row>
    <row r="74">
      <c r="A74" s="1" t="s">
        <v>38</v>
      </c>
      <c r="B74" s="1" t="s">
        <v>39</v>
      </c>
      <c r="C74" s="1" t="s">
        <v>23</v>
      </c>
      <c r="D74" s="1">
        <v>0.0</v>
      </c>
      <c r="E74" s="1">
        <v>45.0</v>
      </c>
      <c r="F74" s="1">
        <v>10.0</v>
      </c>
      <c r="G74" s="1">
        <v>4.0</v>
      </c>
      <c r="H74" s="1" t="s">
        <v>24</v>
      </c>
      <c r="I74" s="2">
        <v>45768.0</v>
      </c>
      <c r="J74" s="1">
        <v>450000.0</v>
      </c>
      <c r="K74" s="2">
        <v>45748.0</v>
      </c>
      <c r="L74" s="3" t="str">
        <f t="shared" si="1"/>
        <v>STOCKOUT</v>
      </c>
    </row>
    <row r="75">
      <c r="A75" s="1" t="s">
        <v>38</v>
      </c>
      <c r="B75" s="1" t="s">
        <v>39</v>
      </c>
      <c r="C75" s="1" t="s">
        <v>23</v>
      </c>
      <c r="D75" s="1">
        <v>34.0</v>
      </c>
      <c r="E75" s="1">
        <v>45.0</v>
      </c>
      <c r="F75" s="1">
        <v>5.0</v>
      </c>
      <c r="G75" s="1">
        <v>4.0</v>
      </c>
      <c r="H75" s="1" t="s">
        <v>24</v>
      </c>
      <c r="I75" s="2">
        <v>45801.0</v>
      </c>
      <c r="J75" s="1">
        <v>450000.0</v>
      </c>
      <c r="K75" s="2">
        <v>45778.0</v>
      </c>
      <c r="L75" s="3" t="str">
        <f t="shared" si="1"/>
        <v>STOCKOUT</v>
      </c>
    </row>
    <row r="76">
      <c r="A76" s="1" t="s">
        <v>38</v>
      </c>
      <c r="B76" s="1" t="s">
        <v>39</v>
      </c>
      <c r="C76" s="1" t="s">
        <v>23</v>
      </c>
      <c r="D76" s="1">
        <v>36.0</v>
      </c>
      <c r="E76" s="1">
        <v>45.0</v>
      </c>
      <c r="F76" s="1">
        <v>4.0</v>
      </c>
      <c r="G76" s="1">
        <v>3.0</v>
      </c>
      <c r="H76" s="1" t="s">
        <v>24</v>
      </c>
      <c r="I76" s="2">
        <v>45812.0</v>
      </c>
      <c r="J76" s="1">
        <v>450000.0</v>
      </c>
      <c r="K76" s="2">
        <v>45809.0</v>
      </c>
      <c r="L76" s="3" t="str">
        <f t="shared" si="1"/>
        <v>STOCKOUT</v>
      </c>
    </row>
    <row r="77">
      <c r="A77" s="1" t="s">
        <v>38</v>
      </c>
      <c r="B77" s="1" t="s">
        <v>39</v>
      </c>
      <c r="C77" s="1" t="s">
        <v>23</v>
      </c>
      <c r="D77" s="1">
        <v>15.0</v>
      </c>
      <c r="E77" s="1">
        <v>45.0</v>
      </c>
      <c r="F77" s="1">
        <v>7.0</v>
      </c>
      <c r="G77" s="1">
        <v>4.0</v>
      </c>
      <c r="H77" s="1" t="s">
        <v>24</v>
      </c>
      <c r="I77" s="2">
        <v>45856.0</v>
      </c>
      <c r="J77" s="1">
        <v>450000.0</v>
      </c>
      <c r="K77" s="2">
        <v>45839.0</v>
      </c>
      <c r="L77" s="3" t="str">
        <f t="shared" si="1"/>
        <v>STOCKOUT</v>
      </c>
    </row>
    <row r="78">
      <c r="A78" s="1" t="s">
        <v>38</v>
      </c>
      <c r="B78" s="1" t="s">
        <v>39</v>
      </c>
      <c r="C78" s="1" t="s">
        <v>23</v>
      </c>
      <c r="D78" s="1">
        <v>36.0</v>
      </c>
      <c r="E78" s="1">
        <v>45.0</v>
      </c>
      <c r="F78" s="1">
        <v>7.0</v>
      </c>
      <c r="G78" s="1">
        <v>4.0</v>
      </c>
      <c r="H78" s="1" t="s">
        <v>24</v>
      </c>
      <c r="I78" s="2">
        <v>45883.0</v>
      </c>
      <c r="J78" s="1">
        <v>450000.0</v>
      </c>
      <c r="K78" s="2">
        <v>45870.0</v>
      </c>
      <c r="L78" s="3" t="str">
        <f t="shared" si="1"/>
        <v>STOCKOUT</v>
      </c>
    </row>
    <row r="79">
      <c r="A79" s="1" t="s">
        <v>38</v>
      </c>
      <c r="B79" s="1" t="s">
        <v>39</v>
      </c>
      <c r="C79" s="1" t="s">
        <v>23</v>
      </c>
      <c r="D79" s="1">
        <v>17.0</v>
      </c>
      <c r="E79" s="1">
        <v>45.0</v>
      </c>
      <c r="F79" s="1">
        <v>7.0</v>
      </c>
      <c r="G79" s="1">
        <v>3.0</v>
      </c>
      <c r="H79" s="1" t="s">
        <v>24</v>
      </c>
      <c r="I79" s="2">
        <v>45910.0</v>
      </c>
      <c r="J79" s="1">
        <v>450000.0</v>
      </c>
      <c r="K79" s="2">
        <v>45901.0</v>
      </c>
      <c r="L79" s="3" t="str">
        <f t="shared" si="1"/>
        <v>STOCKOUT</v>
      </c>
    </row>
    <row r="80">
      <c r="A80" s="1" t="s">
        <v>38</v>
      </c>
      <c r="B80" s="1" t="s">
        <v>39</v>
      </c>
      <c r="C80" s="1" t="s">
        <v>23</v>
      </c>
      <c r="D80" s="1">
        <v>40.0</v>
      </c>
      <c r="E80" s="1">
        <v>45.0</v>
      </c>
      <c r="F80" s="1">
        <v>5.0</v>
      </c>
      <c r="G80" s="1">
        <v>3.0</v>
      </c>
      <c r="H80" s="1" t="s">
        <v>24</v>
      </c>
      <c r="I80" s="2">
        <v>45959.0</v>
      </c>
      <c r="J80" s="1">
        <v>450000.0</v>
      </c>
      <c r="K80" s="2">
        <v>45931.0</v>
      </c>
      <c r="L80" s="3" t="str">
        <f t="shared" si="1"/>
        <v>STOCKOUT</v>
      </c>
    </row>
    <row r="81">
      <c r="A81" s="1" t="s">
        <v>38</v>
      </c>
      <c r="B81" s="1" t="s">
        <v>39</v>
      </c>
      <c r="C81" s="1" t="s">
        <v>23</v>
      </c>
      <c r="D81" s="1">
        <v>0.0</v>
      </c>
      <c r="E81" s="1">
        <v>45.0</v>
      </c>
      <c r="F81" s="1">
        <v>12.0</v>
      </c>
      <c r="G81" s="1">
        <v>4.0</v>
      </c>
      <c r="H81" s="1" t="s">
        <v>24</v>
      </c>
      <c r="I81" s="2">
        <v>45983.0</v>
      </c>
      <c r="J81" s="1">
        <v>450000.0</v>
      </c>
      <c r="K81" s="2">
        <v>45962.0</v>
      </c>
      <c r="L81" s="3" t="str">
        <f t="shared" si="1"/>
        <v>STOCKOUT</v>
      </c>
    </row>
    <row r="82">
      <c r="A82" s="1" t="s">
        <v>38</v>
      </c>
      <c r="B82" s="1" t="s">
        <v>39</v>
      </c>
      <c r="C82" s="1" t="s">
        <v>23</v>
      </c>
      <c r="D82" s="1">
        <v>0.0</v>
      </c>
      <c r="E82" s="1">
        <v>45.0</v>
      </c>
      <c r="F82" s="1">
        <v>13.0</v>
      </c>
      <c r="G82" s="1">
        <v>7.0</v>
      </c>
      <c r="H82" s="1" t="s">
        <v>24</v>
      </c>
      <c r="I82" s="2">
        <v>46015.0</v>
      </c>
      <c r="J82" s="1">
        <v>450000.0</v>
      </c>
      <c r="K82" s="2">
        <v>45992.0</v>
      </c>
      <c r="L82" s="3" t="str">
        <f t="shared" si="1"/>
        <v>STOCKOUT</v>
      </c>
    </row>
    <row r="83">
      <c r="A83" s="1" t="s">
        <v>38</v>
      </c>
      <c r="B83" s="1" t="s">
        <v>39</v>
      </c>
      <c r="C83" s="1" t="s">
        <v>23</v>
      </c>
      <c r="D83" s="1">
        <v>17.0</v>
      </c>
      <c r="E83" s="1">
        <v>45.0</v>
      </c>
      <c r="F83" s="1">
        <v>8.0</v>
      </c>
      <c r="G83" s="1">
        <v>4.0</v>
      </c>
      <c r="H83" s="1" t="s">
        <v>24</v>
      </c>
      <c r="I83" s="2">
        <v>46050.0</v>
      </c>
      <c r="J83" s="1">
        <v>450000.0</v>
      </c>
      <c r="K83" s="2">
        <v>46023.0</v>
      </c>
      <c r="L83" s="3" t="str">
        <f t="shared" si="1"/>
        <v>STOCKOUT</v>
      </c>
    </row>
    <row r="84">
      <c r="A84" s="1" t="s">
        <v>38</v>
      </c>
      <c r="B84" s="1" t="s">
        <v>39</v>
      </c>
      <c r="C84" s="1" t="s">
        <v>23</v>
      </c>
      <c r="D84" s="1">
        <v>12.0</v>
      </c>
      <c r="E84" s="1">
        <v>45.0</v>
      </c>
      <c r="F84" s="1">
        <v>8.0</v>
      </c>
      <c r="G84" s="1">
        <v>6.0</v>
      </c>
      <c r="H84" s="1" t="s">
        <v>24</v>
      </c>
      <c r="I84" s="2">
        <v>46054.0</v>
      </c>
      <c r="J84" s="1">
        <v>450000.0</v>
      </c>
      <c r="K84" s="2">
        <v>46054.0</v>
      </c>
      <c r="L84" s="3" t="str">
        <f t="shared" si="1"/>
        <v>STOCKOUT</v>
      </c>
    </row>
    <row r="85">
      <c r="A85" s="1" t="s">
        <v>38</v>
      </c>
      <c r="B85" s="1" t="s">
        <v>39</v>
      </c>
      <c r="C85" s="1" t="s">
        <v>23</v>
      </c>
      <c r="D85" s="1">
        <v>0.0</v>
      </c>
      <c r="E85" s="1">
        <v>45.0</v>
      </c>
      <c r="F85" s="1">
        <v>14.0</v>
      </c>
      <c r="G85" s="1">
        <v>6.0</v>
      </c>
      <c r="H85" s="1" t="s">
        <v>24</v>
      </c>
      <c r="I85" s="2">
        <v>46107.0</v>
      </c>
      <c r="J85" s="1">
        <v>450000.0</v>
      </c>
      <c r="K85" s="2">
        <v>46082.0</v>
      </c>
      <c r="L85" s="3" t="str">
        <f t="shared" si="1"/>
        <v>STOCKOUT</v>
      </c>
    </row>
    <row r="86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  <c r="L86" s="3" t="str">
        <f t="shared" si="1"/>
        <v>STOCKOUT</v>
      </c>
    </row>
    <row r="87">
      <c r="A87" s="1" t="s">
        <v>28</v>
      </c>
      <c r="B87" s="1" t="s">
        <v>29</v>
      </c>
      <c r="C87" s="1" t="s">
        <v>23</v>
      </c>
      <c r="D87" s="1">
        <v>27.0</v>
      </c>
      <c r="E87" s="1">
        <v>35.0</v>
      </c>
      <c r="F87" s="1">
        <v>5.0</v>
      </c>
      <c r="G87" s="1">
        <v>3.0</v>
      </c>
      <c r="H87" s="1" t="s">
        <v>30</v>
      </c>
      <c r="I87" s="2">
        <v>45701.0</v>
      </c>
      <c r="J87" s="1">
        <v>1250000.0</v>
      </c>
      <c r="K87" s="2">
        <v>45689.0</v>
      </c>
      <c r="L87" s="3" t="str">
        <f t="shared" si="1"/>
        <v>STOCKOUT</v>
      </c>
    </row>
    <row r="88">
      <c r="A88" s="1" t="s">
        <v>28</v>
      </c>
      <c r="B88" s="1" t="s">
        <v>29</v>
      </c>
      <c r="C88" s="1" t="s">
        <v>23</v>
      </c>
      <c r="D88" s="1">
        <v>0.0</v>
      </c>
      <c r="E88" s="1">
        <v>35.0</v>
      </c>
      <c r="F88" s="1">
        <v>12.0</v>
      </c>
      <c r="G88" s="1">
        <v>9.0</v>
      </c>
      <c r="H88" s="1" t="s">
        <v>30</v>
      </c>
      <c r="I88" s="2">
        <v>45746.0</v>
      </c>
      <c r="J88" s="1">
        <v>1250000.0</v>
      </c>
      <c r="K88" s="2">
        <v>45717.0</v>
      </c>
      <c r="L88" s="3" t="str">
        <f t="shared" si="1"/>
        <v>STOCKOUT</v>
      </c>
    </row>
    <row r="89">
      <c r="A89" s="1" t="s">
        <v>28</v>
      </c>
      <c r="B89" s="1" t="s">
        <v>29</v>
      </c>
      <c r="C89" s="1" t="s">
        <v>23</v>
      </c>
      <c r="D89" s="1">
        <v>0.0</v>
      </c>
      <c r="E89" s="1">
        <v>35.0</v>
      </c>
      <c r="F89" s="1">
        <v>8.0</v>
      </c>
      <c r="G89" s="1">
        <v>5.0</v>
      </c>
      <c r="H89" s="1" t="s">
        <v>30</v>
      </c>
      <c r="I89" s="2">
        <v>45774.0</v>
      </c>
      <c r="J89" s="1">
        <v>1250000.0</v>
      </c>
      <c r="K89" s="2">
        <v>45748.0</v>
      </c>
      <c r="L89" s="3" t="str">
        <f t="shared" si="1"/>
        <v>STOCKOUT</v>
      </c>
    </row>
    <row r="90">
      <c r="A90" s="1" t="s">
        <v>28</v>
      </c>
      <c r="B90" s="1" t="s">
        <v>29</v>
      </c>
      <c r="C90" s="1" t="s">
        <v>23</v>
      </c>
      <c r="D90" s="1">
        <v>20.0</v>
      </c>
      <c r="E90" s="1">
        <v>35.0</v>
      </c>
      <c r="F90" s="1">
        <v>5.0</v>
      </c>
      <c r="G90" s="1">
        <v>8.0</v>
      </c>
      <c r="H90" s="1" t="s">
        <v>30</v>
      </c>
      <c r="I90" s="2">
        <v>45784.0</v>
      </c>
      <c r="J90" s="1">
        <v>1250000.0</v>
      </c>
      <c r="K90" s="2">
        <v>45778.0</v>
      </c>
      <c r="L90" s="3" t="str">
        <f t="shared" si="1"/>
        <v>STOCKOUT</v>
      </c>
    </row>
    <row r="91">
      <c r="A91" s="1" t="s">
        <v>28</v>
      </c>
      <c r="B91" s="1" t="s">
        <v>29</v>
      </c>
      <c r="C91" s="1" t="s">
        <v>23</v>
      </c>
      <c r="D91" s="1">
        <v>27.0</v>
      </c>
      <c r="E91" s="1">
        <v>35.0</v>
      </c>
      <c r="F91" s="1">
        <v>4.0</v>
      </c>
      <c r="G91" s="1">
        <v>5.0</v>
      </c>
      <c r="H91" s="1" t="s">
        <v>30</v>
      </c>
      <c r="I91" s="2">
        <v>45817.0</v>
      </c>
      <c r="J91" s="1">
        <v>1250000.0</v>
      </c>
      <c r="K91" s="2">
        <v>45809.0</v>
      </c>
      <c r="L91" s="3" t="str">
        <f t="shared" si="1"/>
        <v>STOCKOUT</v>
      </c>
    </row>
    <row r="92">
      <c r="A92" s="1" t="s">
        <v>28</v>
      </c>
      <c r="B92" s="1" t="s">
        <v>29</v>
      </c>
      <c r="C92" s="1" t="s">
        <v>23</v>
      </c>
      <c r="D92" s="1">
        <v>18.0</v>
      </c>
      <c r="E92" s="1">
        <v>35.0</v>
      </c>
      <c r="F92" s="1">
        <v>7.0</v>
      </c>
      <c r="G92" s="1">
        <v>5.0</v>
      </c>
      <c r="H92" s="1" t="s">
        <v>30</v>
      </c>
      <c r="I92" s="2">
        <v>45859.0</v>
      </c>
      <c r="J92" s="1">
        <v>1250000.0</v>
      </c>
      <c r="K92" s="2">
        <v>45839.0</v>
      </c>
      <c r="L92" s="3" t="str">
        <f t="shared" si="1"/>
        <v>STOCKOUT</v>
      </c>
    </row>
    <row r="93">
      <c r="A93" s="1" t="s">
        <v>28</v>
      </c>
      <c r="B93" s="1" t="s">
        <v>29</v>
      </c>
      <c r="C93" s="1" t="s">
        <v>23</v>
      </c>
      <c r="D93" s="1">
        <v>31.0</v>
      </c>
      <c r="E93" s="1">
        <v>35.0</v>
      </c>
      <c r="F93" s="1">
        <v>3.0</v>
      </c>
      <c r="G93" s="1">
        <v>6.0</v>
      </c>
      <c r="H93" s="1" t="s">
        <v>30</v>
      </c>
      <c r="I93" s="2">
        <v>45891.0</v>
      </c>
      <c r="J93" s="1">
        <v>1250000.0</v>
      </c>
      <c r="K93" s="2">
        <v>45870.0</v>
      </c>
      <c r="L93" s="3" t="str">
        <f t="shared" si="1"/>
        <v>STOCKOUT</v>
      </c>
    </row>
    <row r="94">
      <c r="A94" s="1" t="s">
        <v>28</v>
      </c>
      <c r="B94" s="1" t="s">
        <v>29</v>
      </c>
      <c r="C94" s="1" t="s">
        <v>23</v>
      </c>
      <c r="D94" s="1">
        <v>10.0</v>
      </c>
      <c r="E94" s="1">
        <v>35.0</v>
      </c>
      <c r="F94" s="1">
        <v>7.0</v>
      </c>
      <c r="G94" s="1">
        <v>3.0</v>
      </c>
      <c r="H94" s="1" t="s">
        <v>30</v>
      </c>
      <c r="I94" s="2">
        <v>45929.0</v>
      </c>
      <c r="J94" s="1">
        <v>1250000.0</v>
      </c>
      <c r="K94" s="2">
        <v>45901.0</v>
      </c>
      <c r="L94" s="3" t="str">
        <f t="shared" si="1"/>
        <v>STOCKOUT</v>
      </c>
    </row>
    <row r="95">
      <c r="A95" s="1" t="s">
        <v>28</v>
      </c>
      <c r="B95" s="1" t="s">
        <v>29</v>
      </c>
      <c r="C95" s="1" t="s">
        <v>23</v>
      </c>
      <c r="D95" s="1">
        <v>18.0</v>
      </c>
      <c r="E95" s="1">
        <v>35.0</v>
      </c>
      <c r="F95" s="1">
        <v>5.0</v>
      </c>
      <c r="G95" s="1">
        <v>4.0</v>
      </c>
      <c r="H95" s="1" t="s">
        <v>30</v>
      </c>
      <c r="I95" s="2">
        <v>45949.0</v>
      </c>
      <c r="J95" s="1">
        <v>1250000.0</v>
      </c>
      <c r="K95" s="2">
        <v>45931.0</v>
      </c>
      <c r="L95" s="3" t="str">
        <f t="shared" si="1"/>
        <v>STOCKOUT</v>
      </c>
    </row>
    <row r="96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9.0</v>
      </c>
      <c r="G96" s="1">
        <v>6.0</v>
      </c>
      <c r="H96" s="1" t="s">
        <v>30</v>
      </c>
      <c r="I96" s="2">
        <v>45973.0</v>
      </c>
      <c r="J96" s="1">
        <v>1250000.0</v>
      </c>
      <c r="K96" s="2">
        <v>45962.0</v>
      </c>
      <c r="L96" s="3" t="str">
        <f t="shared" si="1"/>
        <v>STOCKOUT</v>
      </c>
    </row>
    <row r="97">
      <c r="A97" s="1" t="s">
        <v>28</v>
      </c>
      <c r="B97" s="1" t="s">
        <v>29</v>
      </c>
      <c r="C97" s="1" t="s">
        <v>23</v>
      </c>
      <c r="D97" s="1">
        <v>0.0</v>
      </c>
      <c r="E97" s="1">
        <v>35.0</v>
      </c>
      <c r="F97" s="1">
        <v>10.0</v>
      </c>
      <c r="G97" s="1">
        <v>7.0</v>
      </c>
      <c r="H97" s="1" t="s">
        <v>30</v>
      </c>
      <c r="I97" s="2">
        <v>46008.0</v>
      </c>
      <c r="J97" s="1">
        <v>1250000.0</v>
      </c>
      <c r="K97" s="2">
        <v>45992.0</v>
      </c>
      <c r="L97" s="3" t="str">
        <f t="shared" si="1"/>
        <v>STOCKOUT</v>
      </c>
    </row>
    <row r="98">
      <c r="A98" s="1" t="s">
        <v>28</v>
      </c>
      <c r="B98" s="1" t="s">
        <v>29</v>
      </c>
      <c r="C98" s="1" t="s">
        <v>23</v>
      </c>
      <c r="D98" s="1">
        <v>16.0</v>
      </c>
      <c r="E98" s="1">
        <v>35.0</v>
      </c>
      <c r="F98" s="1">
        <v>7.0</v>
      </c>
      <c r="G98" s="1">
        <v>5.0</v>
      </c>
      <c r="H98" s="1" t="s">
        <v>30</v>
      </c>
      <c r="I98" s="2">
        <v>46024.0</v>
      </c>
      <c r="J98" s="1">
        <v>1250000.0</v>
      </c>
      <c r="K98" s="2">
        <v>46023.0</v>
      </c>
      <c r="L98" s="3" t="str">
        <f t="shared" si="1"/>
        <v>STOCKOUT</v>
      </c>
    </row>
    <row r="99">
      <c r="A99" s="1" t="s">
        <v>28</v>
      </c>
      <c r="B99" s="1" t="s">
        <v>29</v>
      </c>
      <c r="C99" s="1" t="s">
        <v>23</v>
      </c>
      <c r="D99" s="1">
        <v>27.0</v>
      </c>
      <c r="E99" s="1">
        <v>35.0</v>
      </c>
      <c r="F99" s="1">
        <v>8.0</v>
      </c>
      <c r="G99" s="1">
        <v>6.0</v>
      </c>
      <c r="H99" s="1" t="s">
        <v>30</v>
      </c>
      <c r="I99" s="2">
        <v>46054.0</v>
      </c>
      <c r="J99" s="1">
        <v>1250000.0</v>
      </c>
      <c r="K99" s="2">
        <v>46054.0</v>
      </c>
      <c r="L99" s="3" t="str">
        <f t="shared" si="1"/>
        <v>STOCKOUT</v>
      </c>
    </row>
    <row r="100">
      <c r="A100" s="1" t="s">
        <v>28</v>
      </c>
      <c r="B100" s="1" t="s">
        <v>29</v>
      </c>
      <c r="C100" s="1" t="s">
        <v>23</v>
      </c>
      <c r="D100" s="1">
        <v>0.0</v>
      </c>
      <c r="E100" s="1">
        <v>35.0</v>
      </c>
      <c r="F100" s="1">
        <v>9.0</v>
      </c>
      <c r="G100" s="1">
        <v>5.0</v>
      </c>
      <c r="H100" s="1" t="s">
        <v>30</v>
      </c>
      <c r="I100" s="2">
        <v>46095.0</v>
      </c>
      <c r="J100" s="1">
        <v>1250000.0</v>
      </c>
      <c r="K100" s="2">
        <v>46082.0</v>
      </c>
      <c r="L100" s="3" t="str">
        <f t="shared" si="1"/>
        <v>STOCKOUT</v>
      </c>
    </row>
    <row r="101">
      <c r="A101" s="1" t="s">
        <v>46</v>
      </c>
      <c r="B101" s="1" t="s">
        <v>47</v>
      </c>
      <c r="C101" s="1" t="s">
        <v>23</v>
      </c>
      <c r="D101" s="1">
        <v>14.0</v>
      </c>
      <c r="E101" s="1">
        <v>40.0</v>
      </c>
      <c r="F101" s="1">
        <v>4.0</v>
      </c>
      <c r="G101" s="1">
        <v>8.0</v>
      </c>
      <c r="H101" s="1" t="s">
        <v>30</v>
      </c>
      <c r="I101" s="2">
        <v>45687.0</v>
      </c>
      <c r="J101" s="1">
        <v>550000.0</v>
      </c>
      <c r="K101" s="2">
        <v>45658.0</v>
      </c>
      <c r="L101" s="3" t="str">
        <f t="shared" si="1"/>
        <v>STOCKOUT</v>
      </c>
    </row>
    <row r="102">
      <c r="A102" s="1" t="s">
        <v>46</v>
      </c>
      <c r="B102" s="1" t="s">
        <v>47</v>
      </c>
      <c r="C102" s="1" t="s">
        <v>23</v>
      </c>
      <c r="D102" s="1">
        <v>9.0</v>
      </c>
      <c r="E102" s="1">
        <v>40.0</v>
      </c>
      <c r="F102" s="1">
        <v>5.0</v>
      </c>
      <c r="G102" s="1">
        <v>8.0</v>
      </c>
      <c r="H102" s="1" t="s">
        <v>30</v>
      </c>
      <c r="I102" s="2">
        <v>45698.0</v>
      </c>
      <c r="J102" s="1">
        <v>550000.0</v>
      </c>
      <c r="K102" s="2">
        <v>45689.0</v>
      </c>
      <c r="L102" s="3" t="str">
        <f t="shared" si="1"/>
        <v>STOCKOUT</v>
      </c>
    </row>
    <row r="103">
      <c r="A103" s="1" t="s">
        <v>46</v>
      </c>
      <c r="B103" s="1" t="s">
        <v>47</v>
      </c>
      <c r="C103" s="1" t="s">
        <v>23</v>
      </c>
      <c r="D103" s="1">
        <v>0.0</v>
      </c>
      <c r="E103" s="1">
        <v>40.0</v>
      </c>
      <c r="F103" s="1">
        <v>9.0</v>
      </c>
      <c r="G103" s="1">
        <v>8.0</v>
      </c>
      <c r="H103" s="1" t="s">
        <v>30</v>
      </c>
      <c r="I103" s="2">
        <v>45730.0</v>
      </c>
      <c r="J103" s="1">
        <v>550000.0</v>
      </c>
      <c r="K103" s="2">
        <v>45717.0</v>
      </c>
      <c r="L103" s="3" t="str">
        <f t="shared" si="1"/>
        <v>STOCKOUT</v>
      </c>
    </row>
    <row r="104">
      <c r="A104" s="1" t="s">
        <v>46</v>
      </c>
      <c r="B104" s="1" t="s">
        <v>47</v>
      </c>
      <c r="C104" s="1" t="s">
        <v>23</v>
      </c>
      <c r="D104" s="1">
        <v>0.0</v>
      </c>
      <c r="E104" s="1">
        <v>40.0</v>
      </c>
      <c r="F104" s="1">
        <v>7.0</v>
      </c>
      <c r="G104" s="1">
        <v>4.0</v>
      </c>
      <c r="H104" s="1" t="s">
        <v>30</v>
      </c>
      <c r="I104" s="2">
        <v>45761.0</v>
      </c>
      <c r="J104" s="1">
        <v>550000.0</v>
      </c>
      <c r="K104" s="2">
        <v>45748.0</v>
      </c>
      <c r="L104" s="3" t="str">
        <f t="shared" si="1"/>
        <v>STOCKOUT</v>
      </c>
    </row>
    <row r="105">
      <c r="A105" s="1" t="s">
        <v>46</v>
      </c>
      <c r="B105" s="1" t="s">
        <v>47</v>
      </c>
      <c r="C105" s="1" t="s">
        <v>23</v>
      </c>
      <c r="D105" s="1">
        <v>44.0</v>
      </c>
      <c r="E105" s="1">
        <v>40.0</v>
      </c>
      <c r="F105" s="1">
        <v>5.0</v>
      </c>
      <c r="G105" s="1">
        <v>6.0</v>
      </c>
      <c r="H105" s="1" t="s">
        <v>30</v>
      </c>
      <c r="I105" s="2">
        <v>45799.0</v>
      </c>
      <c r="J105" s="1">
        <v>550000.0</v>
      </c>
      <c r="K105" s="2">
        <v>45778.0</v>
      </c>
      <c r="L105" s="3" t="str">
        <f t="shared" si="1"/>
        <v>OK</v>
      </c>
    </row>
    <row r="106">
      <c r="A106" s="1" t="s">
        <v>46</v>
      </c>
      <c r="B106" s="1" t="s">
        <v>47</v>
      </c>
      <c r="C106" s="1" t="s">
        <v>23</v>
      </c>
      <c r="D106" s="1">
        <v>29.0</v>
      </c>
      <c r="E106" s="1">
        <v>40.0</v>
      </c>
      <c r="F106" s="1">
        <v>4.0</v>
      </c>
      <c r="G106" s="1">
        <v>9.0</v>
      </c>
      <c r="H106" s="1" t="s">
        <v>30</v>
      </c>
      <c r="I106" s="2">
        <v>45839.0</v>
      </c>
      <c r="J106" s="1">
        <v>550000.0</v>
      </c>
      <c r="K106" s="2">
        <v>45839.0</v>
      </c>
      <c r="L106" s="3" t="str">
        <f t="shared" si="1"/>
        <v>STOCKOUT</v>
      </c>
    </row>
    <row r="107">
      <c r="A107" s="1" t="s">
        <v>46</v>
      </c>
      <c r="B107" s="1" t="s">
        <v>47</v>
      </c>
      <c r="C107" s="1" t="s">
        <v>23</v>
      </c>
      <c r="D107" s="1">
        <v>42.0</v>
      </c>
      <c r="E107" s="1">
        <v>40.0</v>
      </c>
      <c r="F107" s="1">
        <v>4.0</v>
      </c>
      <c r="G107" s="1">
        <v>7.0</v>
      </c>
      <c r="H107" s="1" t="s">
        <v>30</v>
      </c>
      <c r="I107" s="2">
        <v>45889.0</v>
      </c>
      <c r="J107" s="1">
        <v>550000.0</v>
      </c>
      <c r="K107" s="2">
        <v>45870.0</v>
      </c>
      <c r="L107" s="3" t="str">
        <f t="shared" si="1"/>
        <v>OK</v>
      </c>
    </row>
    <row r="108">
      <c r="A108" s="1" t="s">
        <v>46</v>
      </c>
      <c r="B108" s="1" t="s">
        <v>47</v>
      </c>
      <c r="C108" s="1" t="s">
        <v>23</v>
      </c>
      <c r="D108" s="1">
        <v>32.0</v>
      </c>
      <c r="E108" s="1">
        <v>40.0</v>
      </c>
      <c r="F108" s="1">
        <v>5.0</v>
      </c>
      <c r="G108" s="1">
        <v>5.0</v>
      </c>
      <c r="H108" s="1" t="s">
        <v>30</v>
      </c>
      <c r="I108" s="2">
        <v>45915.0</v>
      </c>
      <c r="J108" s="1">
        <v>550000.0</v>
      </c>
      <c r="K108" s="2">
        <v>45901.0</v>
      </c>
      <c r="L108" s="3" t="str">
        <f t="shared" si="1"/>
        <v>STOCKOUT</v>
      </c>
    </row>
    <row r="109">
      <c r="A109" s="1" t="s">
        <v>46</v>
      </c>
      <c r="B109" s="1" t="s">
        <v>47</v>
      </c>
      <c r="C109" s="1" t="s">
        <v>23</v>
      </c>
      <c r="D109" s="1">
        <v>28.0</v>
      </c>
      <c r="E109" s="1">
        <v>40.0</v>
      </c>
      <c r="F109" s="1">
        <v>3.0</v>
      </c>
      <c r="G109" s="1">
        <v>6.0</v>
      </c>
      <c r="H109" s="1" t="s">
        <v>30</v>
      </c>
      <c r="I109" s="2">
        <v>45956.0</v>
      </c>
      <c r="J109" s="1">
        <v>550000.0</v>
      </c>
      <c r="K109" s="2">
        <v>45931.0</v>
      </c>
      <c r="L109" s="3" t="str">
        <f t="shared" si="1"/>
        <v>STOCKOUT</v>
      </c>
    </row>
    <row r="110">
      <c r="A110" s="1" t="s">
        <v>46</v>
      </c>
      <c r="B110" s="1" t="s">
        <v>47</v>
      </c>
      <c r="C110" s="1" t="s">
        <v>23</v>
      </c>
      <c r="D110" s="1">
        <v>0.0</v>
      </c>
      <c r="E110" s="1">
        <v>40.0</v>
      </c>
      <c r="F110" s="1">
        <v>8.0</v>
      </c>
      <c r="G110" s="1">
        <v>8.0</v>
      </c>
      <c r="H110" s="1" t="s">
        <v>30</v>
      </c>
      <c r="I110" s="2">
        <v>45964.0</v>
      </c>
      <c r="J110" s="1">
        <v>550000.0</v>
      </c>
      <c r="K110" s="2">
        <v>45962.0</v>
      </c>
      <c r="L110" s="3" t="str">
        <f t="shared" si="1"/>
        <v>STOCKOUT</v>
      </c>
    </row>
    <row r="111">
      <c r="A111" s="1" t="s">
        <v>46</v>
      </c>
      <c r="B111" s="1" t="s">
        <v>47</v>
      </c>
      <c r="C111" s="1" t="s">
        <v>23</v>
      </c>
      <c r="D111" s="1">
        <v>0.0</v>
      </c>
      <c r="E111" s="1">
        <v>40.0</v>
      </c>
      <c r="F111" s="1">
        <v>8.0</v>
      </c>
      <c r="G111" s="1">
        <v>3.0</v>
      </c>
      <c r="H111" s="1" t="s">
        <v>30</v>
      </c>
      <c r="I111" s="2">
        <v>46018.0</v>
      </c>
      <c r="J111" s="1">
        <v>550000.0</v>
      </c>
      <c r="K111" s="2">
        <v>45992.0</v>
      </c>
      <c r="L111" s="3" t="str">
        <f t="shared" si="1"/>
        <v>STOCKOUT</v>
      </c>
    </row>
    <row r="112">
      <c r="A112" s="1" t="s">
        <v>46</v>
      </c>
      <c r="B112" s="1" t="s">
        <v>47</v>
      </c>
      <c r="C112" s="1" t="s">
        <v>23</v>
      </c>
      <c r="D112" s="1">
        <v>36.0</v>
      </c>
      <c r="E112" s="1">
        <v>40.0</v>
      </c>
      <c r="F112" s="1">
        <v>6.0</v>
      </c>
      <c r="G112" s="1">
        <v>4.0</v>
      </c>
      <c r="H112" s="1" t="s">
        <v>30</v>
      </c>
      <c r="I112" s="2">
        <v>46044.0</v>
      </c>
      <c r="J112" s="1">
        <v>550000.0</v>
      </c>
      <c r="K112" s="2">
        <v>46023.0</v>
      </c>
      <c r="L112" s="3" t="str">
        <f t="shared" si="1"/>
        <v>STOCKOUT</v>
      </c>
    </row>
    <row r="113">
      <c r="A113" s="1" t="s">
        <v>46</v>
      </c>
      <c r="B113" s="1" t="s">
        <v>47</v>
      </c>
      <c r="C113" s="1" t="s">
        <v>23</v>
      </c>
      <c r="D113" s="1">
        <v>10.0</v>
      </c>
      <c r="E113" s="1">
        <v>40.0</v>
      </c>
      <c r="F113" s="1">
        <v>4.0</v>
      </c>
      <c r="G113" s="1">
        <v>3.0</v>
      </c>
      <c r="H113" s="1" t="s">
        <v>30</v>
      </c>
      <c r="I113" s="2">
        <v>46055.0</v>
      </c>
      <c r="J113" s="1">
        <v>550000.0</v>
      </c>
      <c r="K113" s="2">
        <v>46054.0</v>
      </c>
      <c r="L113" s="3" t="str">
        <f t="shared" si="1"/>
        <v>STOCKOUT</v>
      </c>
    </row>
    <row r="114">
      <c r="A114" s="1" t="s">
        <v>46</v>
      </c>
      <c r="B114" s="1" t="s">
        <v>47</v>
      </c>
      <c r="C114" s="1" t="s">
        <v>23</v>
      </c>
      <c r="D114" s="1">
        <v>0.0</v>
      </c>
      <c r="E114" s="1">
        <v>40.0</v>
      </c>
      <c r="F114" s="1">
        <v>10.0</v>
      </c>
      <c r="G114" s="1">
        <v>7.0</v>
      </c>
      <c r="H114" s="1" t="s">
        <v>30</v>
      </c>
      <c r="I114" s="2">
        <v>46109.0</v>
      </c>
      <c r="J114" s="1">
        <v>550000.0</v>
      </c>
      <c r="K114" s="2">
        <v>46082.0</v>
      </c>
      <c r="L114" s="3" t="str">
        <f t="shared" si="1"/>
        <v>STOCKOUT</v>
      </c>
    </row>
    <row r="115">
      <c r="A115" s="1" t="s">
        <v>46</v>
      </c>
      <c r="B115" s="1" t="s">
        <v>47</v>
      </c>
      <c r="C115" s="1" t="s">
        <v>23</v>
      </c>
      <c r="D115" s="1">
        <v>35.0</v>
      </c>
      <c r="E115" s="1">
        <v>40.0</v>
      </c>
      <c r="F115" s="1">
        <v>4.0</v>
      </c>
      <c r="G115" s="1">
        <v>5.0</v>
      </c>
      <c r="H115" s="1" t="s">
        <v>30</v>
      </c>
      <c r="I115" s="2">
        <v>46161.0</v>
      </c>
      <c r="J115" s="1">
        <v>550000.0</v>
      </c>
      <c r="K115" s="2">
        <v>45809.0</v>
      </c>
      <c r="L115" s="3" t="str">
        <f t="shared" si="1"/>
        <v>STOCKOUT</v>
      </c>
    </row>
    <row r="116">
      <c r="A116" s="1" t="s">
        <v>64</v>
      </c>
      <c r="B116" s="1" t="s">
        <v>65</v>
      </c>
      <c r="C116" s="1" t="s">
        <v>42</v>
      </c>
      <c r="D116" s="1">
        <v>27.0</v>
      </c>
      <c r="E116" s="1">
        <v>20.0</v>
      </c>
      <c r="F116" s="1">
        <v>3.0</v>
      </c>
      <c r="G116" s="1">
        <v>9.0</v>
      </c>
      <c r="H116" s="1" t="s">
        <v>59</v>
      </c>
      <c r="I116" s="2">
        <v>45673.0</v>
      </c>
      <c r="J116" s="1">
        <v>750000.0</v>
      </c>
      <c r="K116" s="2">
        <v>45658.0</v>
      </c>
      <c r="L116" s="3" t="str">
        <f t="shared" si="1"/>
        <v>OK</v>
      </c>
    </row>
    <row r="117">
      <c r="A117" s="1" t="s">
        <v>64</v>
      </c>
      <c r="B117" s="1" t="s">
        <v>65</v>
      </c>
      <c r="C117" s="1" t="s">
        <v>42</v>
      </c>
      <c r="D117" s="1">
        <v>40.0</v>
      </c>
      <c r="E117" s="1">
        <v>20.0</v>
      </c>
      <c r="F117" s="1">
        <v>1.0</v>
      </c>
      <c r="G117" s="1">
        <v>7.0</v>
      </c>
      <c r="H117" s="1" t="s">
        <v>59</v>
      </c>
      <c r="I117" s="2">
        <v>45693.0</v>
      </c>
      <c r="J117" s="1">
        <v>750000.0</v>
      </c>
      <c r="K117" s="2">
        <v>45689.0</v>
      </c>
      <c r="L117" s="3" t="str">
        <f t="shared" si="1"/>
        <v>OK</v>
      </c>
    </row>
    <row r="118">
      <c r="A118" s="1" t="s">
        <v>64</v>
      </c>
      <c r="B118" s="1" t="s">
        <v>65</v>
      </c>
      <c r="C118" s="1" t="s">
        <v>42</v>
      </c>
      <c r="D118" s="1">
        <v>21.0</v>
      </c>
      <c r="E118" s="1">
        <v>20.0</v>
      </c>
      <c r="F118" s="1">
        <v>2.0</v>
      </c>
      <c r="G118" s="1">
        <v>9.0</v>
      </c>
      <c r="H118" s="1" t="s">
        <v>59</v>
      </c>
      <c r="I118" s="2">
        <v>45724.0</v>
      </c>
      <c r="J118" s="1">
        <v>750000.0</v>
      </c>
      <c r="K118" s="2">
        <v>45717.0</v>
      </c>
      <c r="L118" s="3" t="str">
        <f t="shared" si="1"/>
        <v>OK</v>
      </c>
    </row>
    <row r="119">
      <c r="A119" s="1" t="s">
        <v>64</v>
      </c>
      <c r="B119" s="1" t="s">
        <v>65</v>
      </c>
      <c r="C119" s="1" t="s">
        <v>42</v>
      </c>
      <c r="D119" s="1">
        <v>26.0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45762.0</v>
      </c>
      <c r="J119" s="1">
        <v>750000.0</v>
      </c>
      <c r="K119" s="2">
        <v>45748.0</v>
      </c>
      <c r="L119" s="3" t="str">
        <f t="shared" si="1"/>
        <v>OK</v>
      </c>
    </row>
    <row r="120">
      <c r="A120" s="1" t="s">
        <v>64</v>
      </c>
      <c r="B120" s="1" t="s">
        <v>65</v>
      </c>
      <c r="C120" s="1" t="s">
        <v>42</v>
      </c>
      <c r="D120" s="1">
        <v>19.0</v>
      </c>
      <c r="E120" s="1">
        <v>20.0</v>
      </c>
      <c r="F120" s="1">
        <v>4.0</v>
      </c>
      <c r="G120" s="1">
        <v>9.0</v>
      </c>
      <c r="H120" s="1" t="s">
        <v>59</v>
      </c>
      <c r="I120" s="2">
        <v>45782.0</v>
      </c>
      <c r="J120" s="1">
        <v>750000.0</v>
      </c>
      <c r="K120" s="2">
        <v>45778.0</v>
      </c>
      <c r="L120" s="3" t="str">
        <f t="shared" si="1"/>
        <v>STOCKOUT</v>
      </c>
    </row>
    <row r="121">
      <c r="A121" s="1" t="s">
        <v>64</v>
      </c>
      <c r="B121" s="1" t="s">
        <v>65</v>
      </c>
      <c r="C121" s="1" t="s">
        <v>42</v>
      </c>
      <c r="D121" s="1">
        <v>29.0</v>
      </c>
      <c r="E121" s="1">
        <v>20.0</v>
      </c>
      <c r="F121" s="1">
        <v>4.0</v>
      </c>
      <c r="G121" s="1">
        <v>10.0</v>
      </c>
      <c r="H121" s="1" t="s">
        <v>59</v>
      </c>
      <c r="I121" s="2">
        <v>45826.0</v>
      </c>
      <c r="J121" s="1">
        <v>750000.0</v>
      </c>
      <c r="K121" s="2">
        <v>45809.0</v>
      </c>
      <c r="L121" s="3" t="str">
        <f t="shared" si="1"/>
        <v>OK</v>
      </c>
    </row>
    <row r="122">
      <c r="A122" s="1" t="s">
        <v>64</v>
      </c>
      <c r="B122" s="1" t="s">
        <v>65</v>
      </c>
      <c r="C122" s="1" t="s">
        <v>42</v>
      </c>
      <c r="D122" s="1">
        <v>32.0</v>
      </c>
      <c r="E122" s="1">
        <v>20.0</v>
      </c>
      <c r="F122" s="1">
        <v>2.0</v>
      </c>
      <c r="G122" s="1">
        <v>10.0</v>
      </c>
      <c r="H122" s="1" t="s">
        <v>59</v>
      </c>
      <c r="I122" s="2">
        <v>45865.0</v>
      </c>
      <c r="J122" s="1">
        <v>750000.0</v>
      </c>
      <c r="K122" s="2">
        <v>45839.0</v>
      </c>
      <c r="L122" s="3" t="str">
        <f t="shared" si="1"/>
        <v>OK</v>
      </c>
    </row>
    <row r="123">
      <c r="A123" s="1" t="s">
        <v>64</v>
      </c>
      <c r="B123" s="1" t="s">
        <v>65</v>
      </c>
      <c r="C123" s="1" t="s">
        <v>42</v>
      </c>
      <c r="D123" s="1">
        <v>42.0</v>
      </c>
      <c r="E123" s="1">
        <v>20.0</v>
      </c>
      <c r="F123" s="1">
        <v>1.0</v>
      </c>
      <c r="G123" s="1">
        <v>10.0</v>
      </c>
      <c r="H123" s="1" t="s">
        <v>59</v>
      </c>
      <c r="I123" s="2">
        <v>45884.0</v>
      </c>
      <c r="J123" s="1">
        <v>750000.0</v>
      </c>
      <c r="K123" s="2">
        <v>45870.0</v>
      </c>
      <c r="L123" s="3" t="str">
        <f t="shared" si="1"/>
        <v>OK</v>
      </c>
    </row>
    <row r="124">
      <c r="A124" s="1" t="s">
        <v>64</v>
      </c>
      <c r="B124" s="1" t="s">
        <v>65</v>
      </c>
      <c r="C124" s="1" t="s">
        <v>42</v>
      </c>
      <c r="D124" s="1">
        <v>47.0</v>
      </c>
      <c r="E124" s="1">
        <v>20.0</v>
      </c>
      <c r="F124" s="1">
        <v>4.0</v>
      </c>
      <c r="G124" s="1">
        <v>9.0</v>
      </c>
      <c r="H124" s="1" t="s">
        <v>59</v>
      </c>
      <c r="I124" s="2">
        <v>45909.0</v>
      </c>
      <c r="J124" s="1">
        <v>750000.0</v>
      </c>
      <c r="K124" s="2">
        <v>45901.0</v>
      </c>
      <c r="L124" s="3" t="str">
        <f t="shared" si="1"/>
        <v>OK</v>
      </c>
    </row>
    <row r="125">
      <c r="A125" s="1" t="s">
        <v>64</v>
      </c>
      <c r="B125" s="1" t="s">
        <v>65</v>
      </c>
      <c r="C125" s="1" t="s">
        <v>42</v>
      </c>
      <c r="D125" s="1">
        <v>32.0</v>
      </c>
      <c r="E125" s="1">
        <v>20.0</v>
      </c>
      <c r="F125" s="1">
        <v>1.0</v>
      </c>
      <c r="G125" s="1">
        <v>8.0</v>
      </c>
      <c r="H125" s="1" t="s">
        <v>59</v>
      </c>
      <c r="I125" s="2">
        <v>45955.0</v>
      </c>
      <c r="J125" s="1">
        <v>750000.0</v>
      </c>
      <c r="K125" s="2">
        <v>45931.0</v>
      </c>
      <c r="L125" s="3" t="str">
        <f t="shared" si="1"/>
        <v>OK</v>
      </c>
    </row>
    <row r="126">
      <c r="A126" s="1" t="s">
        <v>64</v>
      </c>
      <c r="B126" s="1" t="s">
        <v>65</v>
      </c>
      <c r="C126" s="1" t="s">
        <v>42</v>
      </c>
      <c r="D126" s="1">
        <v>27.0</v>
      </c>
      <c r="E126" s="1">
        <v>20.0</v>
      </c>
      <c r="F126" s="1">
        <v>3.0</v>
      </c>
      <c r="G126" s="1">
        <v>8.0</v>
      </c>
      <c r="H126" s="1" t="s">
        <v>59</v>
      </c>
      <c r="I126" s="2">
        <v>45976.0</v>
      </c>
      <c r="J126" s="1">
        <v>750000.0</v>
      </c>
      <c r="K126" s="2">
        <v>45962.0</v>
      </c>
      <c r="L126" s="3" t="str">
        <f t="shared" si="1"/>
        <v>OK</v>
      </c>
    </row>
    <row r="127">
      <c r="A127" s="1" t="s">
        <v>64</v>
      </c>
      <c r="B127" s="1" t="s">
        <v>65</v>
      </c>
      <c r="C127" s="1" t="s">
        <v>42</v>
      </c>
      <c r="D127" s="1">
        <v>14.0</v>
      </c>
      <c r="E127" s="1">
        <v>20.0</v>
      </c>
      <c r="F127" s="1">
        <v>2.0</v>
      </c>
      <c r="G127" s="1">
        <v>8.0</v>
      </c>
      <c r="H127" s="1" t="s">
        <v>59</v>
      </c>
      <c r="I127" s="2">
        <v>45999.0</v>
      </c>
      <c r="J127" s="1">
        <v>750000.0</v>
      </c>
      <c r="K127" s="2">
        <v>45992.0</v>
      </c>
      <c r="L127" s="3" t="str">
        <f t="shared" si="1"/>
        <v>STOCKOUT</v>
      </c>
    </row>
    <row r="128">
      <c r="A128" s="1" t="s">
        <v>64</v>
      </c>
      <c r="B128" s="1" t="s">
        <v>65</v>
      </c>
      <c r="C128" s="1" t="s">
        <v>42</v>
      </c>
      <c r="D128" s="1">
        <v>20.0</v>
      </c>
      <c r="E128" s="1">
        <v>20.0</v>
      </c>
      <c r="F128" s="1">
        <v>2.0</v>
      </c>
      <c r="G128" s="1">
        <v>7.0</v>
      </c>
      <c r="H128" s="1" t="s">
        <v>59</v>
      </c>
      <c r="I128" s="2">
        <v>46027.0</v>
      </c>
      <c r="J128" s="1">
        <v>750000.0</v>
      </c>
      <c r="K128" s="2">
        <v>46023.0</v>
      </c>
      <c r="L128" s="3" t="str">
        <f t="shared" si="1"/>
        <v>STOCKOUT</v>
      </c>
    </row>
    <row r="129">
      <c r="A129" s="1" t="s">
        <v>64</v>
      </c>
      <c r="B129" s="1" t="s">
        <v>65</v>
      </c>
      <c r="C129" s="1" t="s">
        <v>42</v>
      </c>
      <c r="D129" s="1">
        <v>29.0</v>
      </c>
      <c r="E129" s="1">
        <v>20.0</v>
      </c>
      <c r="F129" s="1">
        <v>3.0</v>
      </c>
      <c r="G129" s="1">
        <v>9.0</v>
      </c>
      <c r="H129" s="1" t="s">
        <v>59</v>
      </c>
      <c r="I129" s="2">
        <v>46076.0</v>
      </c>
      <c r="J129" s="1">
        <v>750000.0</v>
      </c>
      <c r="K129" s="2">
        <v>46054.0</v>
      </c>
      <c r="L129" s="3" t="str">
        <f t="shared" si="1"/>
        <v>OK</v>
      </c>
    </row>
    <row r="130">
      <c r="A130" s="1" t="s">
        <v>64</v>
      </c>
      <c r="B130" s="1" t="s">
        <v>65</v>
      </c>
      <c r="C130" s="1" t="s">
        <v>42</v>
      </c>
      <c r="D130" s="1">
        <v>41.0</v>
      </c>
      <c r="E130" s="1">
        <v>20.0</v>
      </c>
      <c r="F130" s="1">
        <v>3.0</v>
      </c>
      <c r="G130" s="1">
        <v>9.0</v>
      </c>
      <c r="H130" s="1" t="s">
        <v>59</v>
      </c>
      <c r="I130" s="2">
        <v>46092.0</v>
      </c>
      <c r="J130" s="1">
        <v>750000.0</v>
      </c>
      <c r="K130" s="2">
        <v>46082.0</v>
      </c>
      <c r="L130" s="3" t="str">
        <f t="shared" si="1"/>
        <v>OK</v>
      </c>
    </row>
    <row r="131">
      <c r="A131" s="1" t="s">
        <v>57</v>
      </c>
      <c r="B131" s="1" t="s">
        <v>58</v>
      </c>
      <c r="C131" s="1" t="s">
        <v>42</v>
      </c>
      <c r="D131" s="1">
        <v>52.0</v>
      </c>
      <c r="E131" s="1">
        <v>25.0</v>
      </c>
      <c r="F131" s="1">
        <v>4.0</v>
      </c>
      <c r="G131" s="1">
        <v>9.0</v>
      </c>
      <c r="H131" s="1" t="s">
        <v>59</v>
      </c>
      <c r="I131" s="2">
        <v>45671.0</v>
      </c>
      <c r="J131" s="1">
        <v>450000.0</v>
      </c>
      <c r="K131" s="2">
        <v>45658.0</v>
      </c>
      <c r="L131" s="3" t="str">
        <f t="shared" si="1"/>
        <v>OK</v>
      </c>
    </row>
    <row r="132">
      <c r="A132" s="1" t="s">
        <v>57</v>
      </c>
      <c r="B132" s="1" t="s">
        <v>58</v>
      </c>
      <c r="C132" s="1" t="s">
        <v>42</v>
      </c>
      <c r="D132" s="1">
        <v>42.0</v>
      </c>
      <c r="E132" s="1">
        <v>25.0</v>
      </c>
      <c r="F132" s="1">
        <v>5.0</v>
      </c>
      <c r="G132" s="1">
        <v>10.0</v>
      </c>
      <c r="H132" s="1" t="s">
        <v>59</v>
      </c>
      <c r="I132" s="2">
        <v>45711.0</v>
      </c>
      <c r="J132" s="1">
        <v>450000.0</v>
      </c>
      <c r="K132" s="2">
        <v>45689.0</v>
      </c>
      <c r="L132" s="3" t="str">
        <f t="shared" si="1"/>
        <v>OK</v>
      </c>
    </row>
    <row r="133">
      <c r="A133" s="1" t="s">
        <v>57</v>
      </c>
      <c r="B133" s="1" t="s">
        <v>58</v>
      </c>
      <c r="C133" s="1" t="s">
        <v>42</v>
      </c>
      <c r="D133" s="1">
        <v>19.0</v>
      </c>
      <c r="E133" s="1">
        <v>25.0</v>
      </c>
      <c r="F133" s="1">
        <v>4.0</v>
      </c>
      <c r="G133" s="1">
        <v>10.0</v>
      </c>
      <c r="H133" s="1" t="s">
        <v>59</v>
      </c>
      <c r="I133" s="2">
        <v>45729.0</v>
      </c>
      <c r="J133" s="1">
        <v>450000.0</v>
      </c>
      <c r="K133" s="2">
        <v>45717.0</v>
      </c>
      <c r="L133" s="3" t="str">
        <f t="shared" si="1"/>
        <v>STOCKOUT</v>
      </c>
    </row>
    <row r="134">
      <c r="A134" s="1" t="s">
        <v>57</v>
      </c>
      <c r="B134" s="1" t="s">
        <v>58</v>
      </c>
      <c r="C134" s="1" t="s">
        <v>42</v>
      </c>
      <c r="D134" s="1">
        <v>37.0</v>
      </c>
      <c r="E134" s="1">
        <v>25.0</v>
      </c>
      <c r="F134" s="1">
        <v>1.0</v>
      </c>
      <c r="G134" s="1">
        <v>9.0</v>
      </c>
      <c r="H134" s="1" t="s">
        <v>59</v>
      </c>
      <c r="I134" s="2">
        <v>45775.0</v>
      </c>
      <c r="J134" s="1">
        <v>450000.0</v>
      </c>
      <c r="K134" s="2">
        <v>45748.0</v>
      </c>
      <c r="L134" s="3" t="str">
        <f t="shared" si="1"/>
        <v>OK</v>
      </c>
    </row>
    <row r="135">
      <c r="A135" s="1" t="s">
        <v>57</v>
      </c>
      <c r="B135" s="1" t="s">
        <v>58</v>
      </c>
      <c r="C135" s="1" t="s">
        <v>42</v>
      </c>
      <c r="D135" s="1">
        <v>41.0</v>
      </c>
      <c r="E135" s="1">
        <v>25.0</v>
      </c>
      <c r="F135" s="1">
        <v>4.0</v>
      </c>
      <c r="G135" s="1">
        <v>10.0</v>
      </c>
      <c r="H135" s="1" t="s">
        <v>59</v>
      </c>
      <c r="I135" s="2">
        <v>45801.0</v>
      </c>
      <c r="J135" s="1">
        <v>450000.0</v>
      </c>
      <c r="K135" s="2">
        <v>45778.0</v>
      </c>
      <c r="L135" s="3" t="str">
        <f t="shared" si="1"/>
        <v>OK</v>
      </c>
    </row>
    <row r="136">
      <c r="A136" s="1" t="s">
        <v>57</v>
      </c>
      <c r="B136" s="1" t="s">
        <v>58</v>
      </c>
      <c r="C136" s="1" t="s">
        <v>42</v>
      </c>
      <c r="D136" s="1">
        <v>21.0</v>
      </c>
      <c r="E136" s="1">
        <v>25.0</v>
      </c>
      <c r="F136" s="1">
        <v>3.0</v>
      </c>
      <c r="G136" s="1">
        <v>9.0</v>
      </c>
      <c r="H136" s="1" t="s">
        <v>59</v>
      </c>
      <c r="I136" s="2">
        <v>45854.0</v>
      </c>
      <c r="J136" s="1">
        <v>450000.0</v>
      </c>
      <c r="K136" s="2">
        <v>45839.0</v>
      </c>
      <c r="L136" s="3" t="str">
        <f t="shared" si="1"/>
        <v>STOCKOUT</v>
      </c>
    </row>
    <row r="137">
      <c r="A137" s="1" t="s">
        <v>57</v>
      </c>
      <c r="B137" s="1" t="s">
        <v>58</v>
      </c>
      <c r="C137" s="1" t="s">
        <v>42</v>
      </c>
      <c r="D137" s="1">
        <v>43.0</v>
      </c>
      <c r="E137" s="1">
        <v>25.0</v>
      </c>
      <c r="F137" s="1">
        <v>4.0</v>
      </c>
      <c r="G137" s="1">
        <v>7.0</v>
      </c>
      <c r="H137" s="1" t="s">
        <v>59</v>
      </c>
      <c r="I137" s="2">
        <v>45896.0</v>
      </c>
      <c r="J137" s="1">
        <v>450000.0</v>
      </c>
      <c r="K137" s="2">
        <v>45870.0</v>
      </c>
      <c r="L137" s="3" t="str">
        <f t="shared" si="1"/>
        <v>OK</v>
      </c>
    </row>
    <row r="138">
      <c r="A138" s="1" t="s">
        <v>57</v>
      </c>
      <c r="B138" s="1" t="s">
        <v>58</v>
      </c>
      <c r="C138" s="1" t="s">
        <v>42</v>
      </c>
      <c r="D138" s="1">
        <v>50.0</v>
      </c>
      <c r="E138" s="1">
        <v>25.0</v>
      </c>
      <c r="F138" s="1">
        <v>3.0</v>
      </c>
      <c r="G138" s="1">
        <v>7.0</v>
      </c>
      <c r="H138" s="1" t="s">
        <v>59</v>
      </c>
      <c r="I138" s="2">
        <v>45920.0</v>
      </c>
      <c r="J138" s="1">
        <v>450000.0</v>
      </c>
      <c r="K138" s="2">
        <v>45901.0</v>
      </c>
      <c r="L138" s="3" t="str">
        <f t="shared" si="1"/>
        <v>OK</v>
      </c>
    </row>
    <row r="139">
      <c r="A139" s="1" t="s">
        <v>57</v>
      </c>
      <c r="B139" s="1" t="s">
        <v>58</v>
      </c>
      <c r="C139" s="1" t="s">
        <v>42</v>
      </c>
      <c r="D139" s="1">
        <v>58.0</v>
      </c>
      <c r="E139" s="1">
        <v>25.0</v>
      </c>
      <c r="F139" s="1">
        <v>1.0</v>
      </c>
      <c r="G139" s="1">
        <v>10.0</v>
      </c>
      <c r="H139" s="1" t="s">
        <v>59</v>
      </c>
      <c r="I139" s="2">
        <v>45952.0</v>
      </c>
      <c r="J139" s="1">
        <v>450000.0</v>
      </c>
      <c r="K139" s="2">
        <v>45931.0</v>
      </c>
      <c r="L139" s="3" t="str">
        <f t="shared" si="1"/>
        <v>OK</v>
      </c>
    </row>
    <row r="140">
      <c r="A140" s="1" t="s">
        <v>57</v>
      </c>
      <c r="B140" s="1" t="s">
        <v>58</v>
      </c>
      <c r="C140" s="1" t="s">
        <v>42</v>
      </c>
      <c r="D140" s="1">
        <v>16.0</v>
      </c>
      <c r="E140" s="1">
        <v>25.0</v>
      </c>
      <c r="F140" s="1">
        <v>3.0</v>
      </c>
      <c r="G140" s="1">
        <v>6.0</v>
      </c>
      <c r="H140" s="1" t="s">
        <v>59</v>
      </c>
      <c r="I140" s="2">
        <v>45982.0</v>
      </c>
      <c r="J140" s="1">
        <v>450000.0</v>
      </c>
      <c r="K140" s="2">
        <v>45962.0</v>
      </c>
      <c r="L140" s="3" t="str">
        <f t="shared" si="1"/>
        <v>STOCKOUT</v>
      </c>
    </row>
    <row r="141">
      <c r="A141" s="1" t="s">
        <v>57</v>
      </c>
      <c r="B141" s="1" t="s">
        <v>58</v>
      </c>
      <c r="C141" s="1" t="s">
        <v>42</v>
      </c>
      <c r="D141" s="1">
        <v>22.0</v>
      </c>
      <c r="E141" s="1">
        <v>25.0</v>
      </c>
      <c r="F141" s="1">
        <v>2.0</v>
      </c>
      <c r="G141" s="1">
        <v>6.0</v>
      </c>
      <c r="H141" s="1" t="s">
        <v>59</v>
      </c>
      <c r="I141" s="2">
        <v>46000.0</v>
      </c>
      <c r="J141" s="1">
        <v>450000.0</v>
      </c>
      <c r="K141" s="2">
        <v>45992.0</v>
      </c>
      <c r="L141" s="3" t="str">
        <f t="shared" si="1"/>
        <v>STOCKOUT</v>
      </c>
    </row>
    <row r="142">
      <c r="A142" s="1" t="s">
        <v>57</v>
      </c>
      <c r="B142" s="1" t="s">
        <v>58</v>
      </c>
      <c r="C142" s="1" t="s">
        <v>42</v>
      </c>
      <c r="D142" s="1">
        <v>42.0</v>
      </c>
      <c r="E142" s="1">
        <v>25.0</v>
      </c>
      <c r="F142" s="1">
        <v>4.0</v>
      </c>
      <c r="G142" s="1">
        <v>8.0</v>
      </c>
      <c r="H142" s="1" t="s">
        <v>59</v>
      </c>
      <c r="I142" s="2">
        <v>46029.0</v>
      </c>
      <c r="J142" s="1">
        <v>450000.0</v>
      </c>
      <c r="K142" s="2">
        <v>46023.0</v>
      </c>
      <c r="L142" s="3" t="str">
        <f t="shared" si="1"/>
        <v>OK</v>
      </c>
    </row>
    <row r="143">
      <c r="A143" s="1" t="s">
        <v>57</v>
      </c>
      <c r="B143" s="1" t="s">
        <v>58</v>
      </c>
      <c r="C143" s="1" t="s">
        <v>42</v>
      </c>
      <c r="D143" s="1">
        <v>42.0</v>
      </c>
      <c r="E143" s="1">
        <v>25.0</v>
      </c>
      <c r="F143" s="1">
        <v>3.0</v>
      </c>
      <c r="G143" s="1">
        <v>8.0</v>
      </c>
      <c r="H143" s="1" t="s">
        <v>59</v>
      </c>
      <c r="I143" s="2">
        <v>46078.0</v>
      </c>
      <c r="J143" s="1">
        <v>450000.0</v>
      </c>
      <c r="K143" s="2">
        <v>46054.0</v>
      </c>
      <c r="L143" s="3" t="str">
        <f t="shared" si="1"/>
        <v>OK</v>
      </c>
    </row>
    <row r="144">
      <c r="A144" s="1" t="s">
        <v>57</v>
      </c>
      <c r="B144" s="1" t="s">
        <v>58</v>
      </c>
      <c r="C144" s="1" t="s">
        <v>42</v>
      </c>
      <c r="D144" s="1">
        <v>44.0</v>
      </c>
      <c r="E144" s="1">
        <v>25.0</v>
      </c>
      <c r="F144" s="1">
        <v>4.0</v>
      </c>
      <c r="G144" s="1">
        <v>8.0</v>
      </c>
      <c r="H144" s="1" t="s">
        <v>59</v>
      </c>
      <c r="I144" s="2">
        <v>46108.0</v>
      </c>
      <c r="J144" s="1">
        <v>450000.0</v>
      </c>
      <c r="K144" s="2">
        <v>46082.0</v>
      </c>
      <c r="L144" s="3" t="str">
        <f t="shared" si="1"/>
        <v>OK</v>
      </c>
    </row>
    <row r="145">
      <c r="A145" s="1" t="s">
        <v>40</v>
      </c>
      <c r="B145" s="1" t="s">
        <v>41</v>
      </c>
      <c r="C145" s="1" t="s">
        <v>42</v>
      </c>
      <c r="D145" s="1">
        <v>22.0</v>
      </c>
      <c r="E145" s="1">
        <v>15.0</v>
      </c>
      <c r="F145" s="1">
        <v>2.0</v>
      </c>
      <c r="G145" s="1">
        <v>5.0</v>
      </c>
      <c r="H145" s="1" t="s">
        <v>43</v>
      </c>
      <c r="I145" s="2">
        <v>45709.0</v>
      </c>
      <c r="J145" s="1">
        <v>1200000.0</v>
      </c>
      <c r="K145" s="2">
        <v>45689.0</v>
      </c>
      <c r="L145" s="3" t="str">
        <f t="shared" si="1"/>
        <v>OK</v>
      </c>
    </row>
    <row r="146">
      <c r="A146" s="1" t="s">
        <v>40</v>
      </c>
      <c r="B146" s="1" t="s">
        <v>41</v>
      </c>
      <c r="C146" s="1" t="s">
        <v>42</v>
      </c>
      <c r="D146" s="1">
        <v>12.0</v>
      </c>
      <c r="E146" s="1">
        <v>15.0</v>
      </c>
      <c r="F146" s="1">
        <v>4.0</v>
      </c>
      <c r="G146" s="1">
        <v>10.0</v>
      </c>
      <c r="H146" s="1" t="s">
        <v>43</v>
      </c>
      <c r="I146" s="2">
        <v>45717.0</v>
      </c>
      <c r="J146" s="1">
        <v>1200000.0</v>
      </c>
      <c r="K146" s="2">
        <v>45717.0</v>
      </c>
      <c r="L146" s="3" t="str">
        <f t="shared" si="1"/>
        <v>STOCKOUT</v>
      </c>
    </row>
    <row r="147">
      <c r="A147" s="1" t="s">
        <v>40</v>
      </c>
      <c r="B147" s="1" t="s">
        <v>41</v>
      </c>
      <c r="C147" s="1" t="s">
        <v>42</v>
      </c>
      <c r="D147" s="1">
        <v>18.0</v>
      </c>
      <c r="E147" s="1">
        <v>15.0</v>
      </c>
      <c r="F147" s="1">
        <v>3.0</v>
      </c>
      <c r="G147" s="1">
        <v>5.0</v>
      </c>
      <c r="H147" s="1" t="s">
        <v>43</v>
      </c>
      <c r="I147" s="2">
        <v>45774.0</v>
      </c>
      <c r="J147" s="1">
        <v>1200000.0</v>
      </c>
      <c r="K147" s="2">
        <v>45748.0</v>
      </c>
      <c r="L147" s="3" t="str">
        <f t="shared" si="1"/>
        <v>OK</v>
      </c>
    </row>
    <row r="148">
      <c r="A148" s="1" t="s">
        <v>40</v>
      </c>
      <c r="B148" s="1" t="s">
        <v>41</v>
      </c>
      <c r="C148" s="1" t="s">
        <v>42</v>
      </c>
      <c r="D148" s="1">
        <v>13.0</v>
      </c>
      <c r="E148" s="1">
        <v>15.0</v>
      </c>
      <c r="F148" s="1">
        <v>2.0</v>
      </c>
      <c r="G148" s="1">
        <v>7.0</v>
      </c>
      <c r="H148" s="1" t="s">
        <v>43</v>
      </c>
      <c r="I148" s="2">
        <v>45799.0</v>
      </c>
      <c r="J148" s="1">
        <v>1200000.0</v>
      </c>
      <c r="K148" s="2">
        <v>45778.0</v>
      </c>
      <c r="L148" s="3" t="str">
        <f t="shared" si="1"/>
        <v>STOCKOUT</v>
      </c>
    </row>
    <row r="149">
      <c r="A149" s="1" t="s">
        <v>40</v>
      </c>
      <c r="B149" s="1" t="s">
        <v>41</v>
      </c>
      <c r="C149" s="1" t="s">
        <v>42</v>
      </c>
      <c r="D149" s="1">
        <v>3.0</v>
      </c>
      <c r="E149" s="1">
        <v>15.0</v>
      </c>
      <c r="F149" s="1">
        <v>3.0</v>
      </c>
      <c r="G149" s="1">
        <v>8.0</v>
      </c>
      <c r="H149" s="1" t="s">
        <v>43</v>
      </c>
      <c r="I149" s="2">
        <v>45815.0</v>
      </c>
      <c r="J149" s="1">
        <v>1200000.0</v>
      </c>
      <c r="K149" s="2">
        <v>45809.0</v>
      </c>
      <c r="L149" s="3" t="str">
        <f t="shared" si="1"/>
        <v>STOCKOUT</v>
      </c>
    </row>
    <row r="150">
      <c r="A150" s="1" t="s">
        <v>40</v>
      </c>
      <c r="B150" s="1" t="s">
        <v>41</v>
      </c>
      <c r="C150" s="1" t="s">
        <v>42</v>
      </c>
      <c r="D150" s="1">
        <v>14.0</v>
      </c>
      <c r="E150" s="1">
        <v>15.0</v>
      </c>
      <c r="F150" s="1">
        <v>2.0</v>
      </c>
      <c r="G150" s="1">
        <v>5.0</v>
      </c>
      <c r="H150" s="1" t="s">
        <v>43</v>
      </c>
      <c r="I150" s="2">
        <v>45858.0</v>
      </c>
      <c r="J150" s="1">
        <v>1200000.0</v>
      </c>
      <c r="K150" s="2">
        <v>45839.0</v>
      </c>
      <c r="L150" s="3" t="str">
        <f t="shared" si="1"/>
        <v>STOCKOUT</v>
      </c>
    </row>
    <row r="151">
      <c r="A151" s="1" t="s">
        <v>40</v>
      </c>
      <c r="B151" s="1" t="s">
        <v>41</v>
      </c>
      <c r="C151" s="1" t="s">
        <v>42</v>
      </c>
      <c r="D151" s="1">
        <v>30.0</v>
      </c>
      <c r="E151" s="1">
        <v>15.0</v>
      </c>
      <c r="F151" s="1">
        <v>2.0</v>
      </c>
      <c r="G151" s="1">
        <v>9.0</v>
      </c>
      <c r="H151" s="1" t="s">
        <v>43</v>
      </c>
      <c r="I151" s="2">
        <v>45892.0</v>
      </c>
      <c r="J151" s="1">
        <v>1200000.0</v>
      </c>
      <c r="K151" s="2">
        <v>45870.0</v>
      </c>
      <c r="L151" s="3" t="str">
        <f t="shared" si="1"/>
        <v>OK</v>
      </c>
    </row>
    <row r="152">
      <c r="A152" s="1" t="s">
        <v>40</v>
      </c>
      <c r="B152" s="1" t="s">
        <v>41</v>
      </c>
      <c r="C152" s="1" t="s">
        <v>42</v>
      </c>
      <c r="D152" s="1">
        <v>22.0</v>
      </c>
      <c r="E152" s="1">
        <v>15.0</v>
      </c>
      <c r="F152" s="1">
        <v>3.0</v>
      </c>
      <c r="G152" s="1">
        <v>4.0</v>
      </c>
      <c r="H152" s="1" t="s">
        <v>43</v>
      </c>
      <c r="I152" s="2">
        <v>45919.0</v>
      </c>
      <c r="J152" s="1">
        <v>1200000.0</v>
      </c>
      <c r="K152" s="2">
        <v>45901.0</v>
      </c>
      <c r="L152" s="3" t="str">
        <f t="shared" si="1"/>
        <v>OK</v>
      </c>
    </row>
    <row r="153">
      <c r="A153" s="1" t="s">
        <v>40</v>
      </c>
      <c r="B153" s="1" t="s">
        <v>41</v>
      </c>
      <c r="C153" s="1" t="s">
        <v>42</v>
      </c>
      <c r="D153" s="1">
        <v>13.0</v>
      </c>
      <c r="E153" s="1">
        <v>15.0</v>
      </c>
      <c r="F153" s="1">
        <v>3.0</v>
      </c>
      <c r="G153" s="1">
        <v>6.0</v>
      </c>
      <c r="H153" s="1" t="s">
        <v>43</v>
      </c>
      <c r="I153" s="2">
        <v>45949.0</v>
      </c>
      <c r="J153" s="1">
        <v>1200000.0</v>
      </c>
      <c r="K153" s="2">
        <v>45931.0</v>
      </c>
      <c r="L153" s="3" t="str">
        <f t="shared" si="1"/>
        <v>STOCKOUT</v>
      </c>
    </row>
    <row r="154">
      <c r="A154" s="1" t="s">
        <v>40</v>
      </c>
      <c r="B154" s="1" t="s">
        <v>41</v>
      </c>
      <c r="C154" s="1" t="s">
        <v>42</v>
      </c>
      <c r="D154" s="1">
        <v>21.0</v>
      </c>
      <c r="E154" s="1">
        <v>15.0</v>
      </c>
      <c r="F154" s="1">
        <v>1.0</v>
      </c>
      <c r="G154" s="1">
        <v>9.0</v>
      </c>
      <c r="H154" s="1" t="s">
        <v>43</v>
      </c>
      <c r="I154" s="2">
        <v>45968.0</v>
      </c>
      <c r="J154" s="1">
        <v>1200000.0</v>
      </c>
      <c r="K154" s="2">
        <v>45962.0</v>
      </c>
      <c r="L154" s="3" t="str">
        <f t="shared" si="1"/>
        <v>OK</v>
      </c>
    </row>
    <row r="155">
      <c r="A155" s="1" t="s">
        <v>40</v>
      </c>
      <c r="B155" s="1" t="s">
        <v>41</v>
      </c>
      <c r="C155" s="1" t="s">
        <v>42</v>
      </c>
      <c r="D155" s="1">
        <v>9.0</v>
      </c>
      <c r="E155" s="1">
        <v>15.0</v>
      </c>
      <c r="F155" s="1">
        <v>1.0</v>
      </c>
      <c r="G155" s="1">
        <v>8.0</v>
      </c>
      <c r="H155" s="1" t="s">
        <v>43</v>
      </c>
      <c r="I155" s="2">
        <v>46014.0</v>
      </c>
      <c r="J155" s="1">
        <v>1200000.0</v>
      </c>
      <c r="K155" s="2">
        <v>45992.0</v>
      </c>
      <c r="L155" s="3" t="str">
        <f t="shared" si="1"/>
        <v>STOCKOUT</v>
      </c>
    </row>
    <row r="156">
      <c r="A156" s="1" t="s">
        <v>40</v>
      </c>
      <c r="B156" s="1" t="s">
        <v>41</v>
      </c>
      <c r="C156" s="1" t="s">
        <v>42</v>
      </c>
      <c r="D156" s="1">
        <v>33.0</v>
      </c>
      <c r="E156" s="1">
        <v>15.0</v>
      </c>
      <c r="F156" s="1">
        <v>2.0</v>
      </c>
      <c r="G156" s="1">
        <v>10.0</v>
      </c>
      <c r="H156" s="1" t="s">
        <v>43</v>
      </c>
      <c r="I156" s="2">
        <v>46032.0</v>
      </c>
      <c r="J156" s="1">
        <v>1200000.0</v>
      </c>
      <c r="K156" s="2">
        <v>46023.0</v>
      </c>
      <c r="L156" s="3" t="str">
        <f t="shared" si="1"/>
        <v>OK</v>
      </c>
    </row>
    <row r="157">
      <c r="A157" s="1" t="s">
        <v>40</v>
      </c>
      <c r="B157" s="1" t="s">
        <v>41</v>
      </c>
      <c r="C157" s="1" t="s">
        <v>42</v>
      </c>
      <c r="D157" s="1">
        <v>32.0</v>
      </c>
      <c r="E157" s="1">
        <v>15.0</v>
      </c>
      <c r="F157" s="1">
        <v>1.0</v>
      </c>
      <c r="G157" s="1">
        <v>8.0</v>
      </c>
      <c r="H157" s="1" t="s">
        <v>43</v>
      </c>
      <c r="I157" s="2">
        <v>46079.0</v>
      </c>
      <c r="J157" s="1">
        <v>1200000.0</v>
      </c>
      <c r="K157" s="2">
        <v>46054.0</v>
      </c>
      <c r="L157" s="3" t="str">
        <f t="shared" si="1"/>
        <v>OK</v>
      </c>
    </row>
    <row r="158">
      <c r="A158" s="1" t="s">
        <v>44</v>
      </c>
      <c r="B158" s="1" t="s">
        <v>45</v>
      </c>
      <c r="C158" s="1" t="s">
        <v>42</v>
      </c>
      <c r="D158" s="1">
        <v>49.0</v>
      </c>
      <c r="E158" s="1">
        <v>30.0</v>
      </c>
      <c r="F158" s="1">
        <v>6.0</v>
      </c>
      <c r="G158" s="1">
        <v>9.0</v>
      </c>
      <c r="H158" s="1" t="s">
        <v>43</v>
      </c>
      <c r="I158" s="2">
        <v>45669.0</v>
      </c>
      <c r="J158" s="1">
        <v>350000.0</v>
      </c>
      <c r="K158" s="2">
        <v>45658.0</v>
      </c>
      <c r="L158" s="3" t="str">
        <f t="shared" si="1"/>
        <v>OK</v>
      </c>
    </row>
    <row r="159">
      <c r="A159" s="1" t="s">
        <v>44</v>
      </c>
      <c r="B159" s="1" t="s">
        <v>45</v>
      </c>
      <c r="C159" s="1" t="s">
        <v>42</v>
      </c>
      <c r="D159" s="1">
        <v>53.0</v>
      </c>
      <c r="E159" s="1">
        <v>30.0</v>
      </c>
      <c r="F159" s="1">
        <v>5.0</v>
      </c>
      <c r="G159" s="1">
        <v>4.0</v>
      </c>
      <c r="H159" s="1" t="s">
        <v>43</v>
      </c>
      <c r="I159" s="2">
        <v>45730.0</v>
      </c>
      <c r="J159" s="1">
        <v>350000.0</v>
      </c>
      <c r="K159" s="2">
        <v>45717.0</v>
      </c>
      <c r="L159" s="3" t="str">
        <f t="shared" si="1"/>
        <v>OK</v>
      </c>
    </row>
    <row r="160">
      <c r="A160" s="1" t="s">
        <v>44</v>
      </c>
      <c r="B160" s="1" t="s">
        <v>45</v>
      </c>
      <c r="C160" s="1" t="s">
        <v>42</v>
      </c>
      <c r="D160" s="1">
        <v>51.0</v>
      </c>
      <c r="E160" s="1">
        <v>30.0</v>
      </c>
      <c r="F160" s="1">
        <v>6.0</v>
      </c>
      <c r="G160" s="1">
        <v>9.0</v>
      </c>
      <c r="H160" s="1" t="s">
        <v>43</v>
      </c>
      <c r="I160" s="2">
        <v>45752.0</v>
      </c>
      <c r="J160" s="1">
        <v>350000.0</v>
      </c>
      <c r="K160" s="2">
        <v>45748.0</v>
      </c>
      <c r="L160" s="3" t="str">
        <f t="shared" si="1"/>
        <v>OK</v>
      </c>
    </row>
    <row r="161">
      <c r="A161" s="1" t="s">
        <v>44</v>
      </c>
      <c r="B161" s="1" t="s">
        <v>45</v>
      </c>
      <c r="C161" s="1" t="s">
        <v>42</v>
      </c>
      <c r="D161" s="1">
        <v>45.0</v>
      </c>
      <c r="E161" s="1">
        <v>30.0</v>
      </c>
      <c r="F161" s="1">
        <v>5.0</v>
      </c>
      <c r="G161" s="1">
        <v>5.0</v>
      </c>
      <c r="H161" s="1" t="s">
        <v>43</v>
      </c>
      <c r="I161" s="2">
        <v>45801.0</v>
      </c>
      <c r="J161" s="1">
        <v>350000.0</v>
      </c>
      <c r="K161" s="2">
        <v>45778.0</v>
      </c>
      <c r="L161" s="3" t="str">
        <f t="shared" si="1"/>
        <v>OK</v>
      </c>
    </row>
    <row r="162">
      <c r="A162" s="1" t="s">
        <v>44</v>
      </c>
      <c r="B162" s="1" t="s">
        <v>45</v>
      </c>
      <c r="C162" s="1" t="s">
        <v>42</v>
      </c>
      <c r="D162" s="1">
        <v>39.0</v>
      </c>
      <c r="E162" s="1">
        <v>30.0</v>
      </c>
      <c r="F162" s="1">
        <v>6.0</v>
      </c>
      <c r="G162" s="1">
        <v>10.0</v>
      </c>
      <c r="H162" s="1" t="s">
        <v>43</v>
      </c>
      <c r="I162" s="2">
        <v>45838.0</v>
      </c>
      <c r="J162" s="1">
        <v>350000.0</v>
      </c>
      <c r="K162" s="2">
        <v>45809.0</v>
      </c>
      <c r="L162" s="3" t="str">
        <f t="shared" si="1"/>
        <v>OK</v>
      </c>
    </row>
    <row r="163">
      <c r="A163" s="1" t="s">
        <v>44</v>
      </c>
      <c r="B163" s="1" t="s">
        <v>45</v>
      </c>
      <c r="C163" s="1" t="s">
        <v>42</v>
      </c>
      <c r="D163" s="1">
        <v>39.0</v>
      </c>
      <c r="E163" s="1">
        <v>30.0</v>
      </c>
      <c r="F163" s="1">
        <v>6.0</v>
      </c>
      <c r="G163" s="1">
        <v>10.0</v>
      </c>
      <c r="H163" s="1" t="s">
        <v>43</v>
      </c>
      <c r="I163" s="2">
        <v>45854.0</v>
      </c>
      <c r="J163" s="1">
        <v>350000.0</v>
      </c>
      <c r="K163" s="2">
        <v>45839.0</v>
      </c>
      <c r="L163" s="3" t="str">
        <f t="shared" si="1"/>
        <v>OK</v>
      </c>
    </row>
    <row r="164">
      <c r="A164" s="1" t="s">
        <v>44</v>
      </c>
      <c r="B164" s="1" t="s">
        <v>45</v>
      </c>
      <c r="C164" s="1" t="s">
        <v>42</v>
      </c>
      <c r="D164" s="1">
        <v>59.0</v>
      </c>
      <c r="E164" s="1">
        <v>30.0</v>
      </c>
      <c r="F164" s="1">
        <v>3.0</v>
      </c>
      <c r="G164" s="1">
        <v>6.0</v>
      </c>
      <c r="H164" s="1" t="s">
        <v>43</v>
      </c>
      <c r="I164" s="2">
        <v>45880.0</v>
      </c>
      <c r="J164" s="1">
        <v>350000.0</v>
      </c>
      <c r="K164" s="2">
        <v>45870.0</v>
      </c>
      <c r="L164" s="3" t="str">
        <f t="shared" si="1"/>
        <v>OK</v>
      </c>
    </row>
    <row r="165">
      <c r="A165" s="1" t="s">
        <v>44</v>
      </c>
      <c r="B165" s="1" t="s">
        <v>45</v>
      </c>
      <c r="C165" s="1" t="s">
        <v>42</v>
      </c>
      <c r="D165" s="1">
        <v>41.0</v>
      </c>
      <c r="E165" s="1">
        <v>30.0</v>
      </c>
      <c r="F165" s="1">
        <v>4.0</v>
      </c>
      <c r="G165" s="1">
        <v>10.0</v>
      </c>
      <c r="H165" s="1" t="s">
        <v>43</v>
      </c>
      <c r="I165" s="2">
        <v>45930.0</v>
      </c>
      <c r="J165" s="1">
        <v>350000.0</v>
      </c>
      <c r="K165" s="2">
        <v>45901.0</v>
      </c>
      <c r="L165" s="3" t="str">
        <f t="shared" si="1"/>
        <v>OK</v>
      </c>
    </row>
    <row r="166">
      <c r="A166" s="1" t="s">
        <v>44</v>
      </c>
      <c r="B166" s="1" t="s">
        <v>45</v>
      </c>
      <c r="C166" s="1" t="s">
        <v>42</v>
      </c>
      <c r="D166" s="1">
        <v>41.0</v>
      </c>
      <c r="E166" s="1">
        <v>30.0</v>
      </c>
      <c r="F166" s="1">
        <v>6.0</v>
      </c>
      <c r="G166" s="1">
        <v>10.0</v>
      </c>
      <c r="H166" s="1" t="s">
        <v>43</v>
      </c>
      <c r="I166" s="2">
        <v>45945.0</v>
      </c>
      <c r="J166" s="1">
        <v>350000.0</v>
      </c>
      <c r="K166" s="2">
        <v>45931.0</v>
      </c>
      <c r="L166" s="3" t="str">
        <f t="shared" si="1"/>
        <v>OK</v>
      </c>
    </row>
    <row r="167">
      <c r="A167" s="1" t="s">
        <v>44</v>
      </c>
      <c r="B167" s="1" t="s">
        <v>45</v>
      </c>
      <c r="C167" s="1" t="s">
        <v>42</v>
      </c>
      <c r="D167" s="1">
        <v>54.0</v>
      </c>
      <c r="E167" s="1">
        <v>30.0</v>
      </c>
      <c r="F167" s="1">
        <v>6.0</v>
      </c>
      <c r="G167" s="1">
        <v>8.0</v>
      </c>
      <c r="H167" s="1" t="s">
        <v>43</v>
      </c>
      <c r="I167" s="2">
        <v>45983.0</v>
      </c>
      <c r="J167" s="1">
        <v>350000.0</v>
      </c>
      <c r="K167" s="2">
        <v>45962.0</v>
      </c>
      <c r="L167" s="3" t="str">
        <f t="shared" si="1"/>
        <v>OK</v>
      </c>
    </row>
    <row r="168">
      <c r="A168" s="1" t="s">
        <v>44</v>
      </c>
      <c r="B168" s="1" t="s">
        <v>45</v>
      </c>
      <c r="C168" s="1" t="s">
        <v>42</v>
      </c>
      <c r="D168" s="1">
        <v>34.0</v>
      </c>
      <c r="E168" s="1">
        <v>30.0</v>
      </c>
      <c r="F168" s="1">
        <v>5.0</v>
      </c>
      <c r="G168" s="1">
        <v>5.0</v>
      </c>
      <c r="H168" s="1" t="s">
        <v>43</v>
      </c>
      <c r="I168" s="2">
        <v>46007.0</v>
      </c>
      <c r="J168" s="1">
        <v>350000.0</v>
      </c>
      <c r="K168" s="2">
        <v>45992.0</v>
      </c>
      <c r="L168" s="3" t="str">
        <f t="shared" si="1"/>
        <v>OK</v>
      </c>
    </row>
    <row r="169">
      <c r="A169" s="1" t="s">
        <v>44</v>
      </c>
      <c r="B169" s="1" t="s">
        <v>45</v>
      </c>
      <c r="C169" s="1" t="s">
        <v>42</v>
      </c>
      <c r="D169" s="1">
        <v>35.0</v>
      </c>
      <c r="E169" s="1">
        <v>30.0</v>
      </c>
      <c r="F169" s="1">
        <v>5.0</v>
      </c>
      <c r="G169" s="1">
        <v>6.0</v>
      </c>
      <c r="H169" s="1" t="s">
        <v>43</v>
      </c>
      <c r="I169" s="2">
        <v>46048.0</v>
      </c>
      <c r="J169" s="1">
        <v>350000.0</v>
      </c>
      <c r="K169" s="2">
        <v>46023.0</v>
      </c>
      <c r="L169" s="3" t="str">
        <f t="shared" si="1"/>
        <v>OK</v>
      </c>
    </row>
    <row r="170">
      <c r="A170" s="1" t="s">
        <v>44</v>
      </c>
      <c r="B170" s="1" t="s">
        <v>45</v>
      </c>
      <c r="C170" s="1" t="s">
        <v>42</v>
      </c>
      <c r="D170" s="1">
        <v>60.0</v>
      </c>
      <c r="E170" s="1">
        <v>30.0</v>
      </c>
      <c r="F170" s="1">
        <v>4.0</v>
      </c>
      <c r="G170" s="1">
        <v>9.0</v>
      </c>
      <c r="H170" s="1" t="s">
        <v>43</v>
      </c>
      <c r="I170" s="2">
        <v>46062.0</v>
      </c>
      <c r="J170" s="1">
        <v>350000.0</v>
      </c>
      <c r="K170" s="2">
        <v>46054.0</v>
      </c>
      <c r="L170" s="3" t="str">
        <f t="shared" si="1"/>
        <v>OK</v>
      </c>
    </row>
    <row r="171">
      <c r="A171" s="1" t="s">
        <v>44</v>
      </c>
      <c r="B171" s="1" t="s">
        <v>45</v>
      </c>
      <c r="C171" s="1" t="s">
        <v>42</v>
      </c>
      <c r="D171" s="1">
        <v>57.0</v>
      </c>
      <c r="E171" s="1">
        <v>30.0</v>
      </c>
      <c r="F171" s="1">
        <v>5.0</v>
      </c>
      <c r="G171" s="1">
        <v>4.0</v>
      </c>
      <c r="H171" s="1" t="s">
        <v>43</v>
      </c>
      <c r="I171" s="2">
        <v>46098.0</v>
      </c>
      <c r="J171" s="1">
        <v>350000.0</v>
      </c>
      <c r="K171" s="2">
        <v>46082.0</v>
      </c>
      <c r="L171" s="3" t="str">
        <f t="shared" si="1"/>
        <v>OK</v>
      </c>
    </row>
    <row r="172">
      <c r="A172" s="1" t="s">
        <v>31</v>
      </c>
      <c r="B172" s="1" t="s">
        <v>32</v>
      </c>
      <c r="C172" s="1" t="s">
        <v>13</v>
      </c>
      <c r="D172" s="1">
        <v>184.0</v>
      </c>
      <c r="E172" s="1">
        <v>40.0</v>
      </c>
      <c r="F172" s="1">
        <v>3.0</v>
      </c>
      <c r="G172" s="1">
        <v>6.0</v>
      </c>
      <c r="H172" s="1" t="s">
        <v>33</v>
      </c>
      <c r="I172" s="2">
        <v>45682.0</v>
      </c>
      <c r="J172" s="1">
        <v>550000.0</v>
      </c>
      <c r="K172" s="2">
        <v>45658.0</v>
      </c>
      <c r="L172" s="3" t="str">
        <f t="shared" si="1"/>
        <v>OK</v>
      </c>
    </row>
    <row r="173">
      <c r="A173" s="1" t="s">
        <v>31</v>
      </c>
      <c r="B173" s="1" t="s">
        <v>32</v>
      </c>
      <c r="C173" s="1" t="s">
        <v>13</v>
      </c>
      <c r="D173" s="1">
        <v>168.0</v>
      </c>
      <c r="E173" s="1">
        <v>40.0</v>
      </c>
      <c r="F173" s="1">
        <v>3.0</v>
      </c>
      <c r="G173" s="1">
        <v>5.0</v>
      </c>
      <c r="H173" s="1" t="s">
        <v>33</v>
      </c>
      <c r="I173" s="2">
        <v>45709.0</v>
      </c>
      <c r="J173" s="1">
        <v>550000.0</v>
      </c>
      <c r="K173" s="2">
        <v>45689.0</v>
      </c>
      <c r="L173" s="3" t="str">
        <f t="shared" si="1"/>
        <v>OK</v>
      </c>
    </row>
    <row r="174">
      <c r="A174" s="1" t="s">
        <v>31</v>
      </c>
      <c r="B174" s="1" t="s">
        <v>32</v>
      </c>
      <c r="C174" s="1" t="s">
        <v>13</v>
      </c>
      <c r="D174" s="1">
        <v>91.0</v>
      </c>
      <c r="E174" s="1">
        <v>40.0</v>
      </c>
      <c r="F174" s="1">
        <v>3.0</v>
      </c>
      <c r="G174" s="1">
        <v>5.0</v>
      </c>
      <c r="H174" s="1" t="s">
        <v>33</v>
      </c>
      <c r="I174" s="2">
        <v>45724.0</v>
      </c>
      <c r="J174" s="1">
        <v>550000.0</v>
      </c>
      <c r="K174" s="2">
        <v>45717.0</v>
      </c>
      <c r="L174" s="3" t="str">
        <f t="shared" si="1"/>
        <v>OK</v>
      </c>
    </row>
    <row r="175">
      <c r="A175" s="1" t="s">
        <v>31</v>
      </c>
      <c r="B175" s="1" t="s">
        <v>32</v>
      </c>
      <c r="C175" s="1" t="s">
        <v>13</v>
      </c>
      <c r="D175" s="1">
        <v>177.0</v>
      </c>
      <c r="E175" s="1">
        <v>40.0</v>
      </c>
      <c r="F175" s="1">
        <v>2.0</v>
      </c>
      <c r="G175" s="1">
        <v>4.0</v>
      </c>
      <c r="H175" s="1" t="s">
        <v>33</v>
      </c>
      <c r="I175" s="2">
        <v>45757.0</v>
      </c>
      <c r="J175" s="1">
        <v>550000.0</v>
      </c>
      <c r="K175" s="2">
        <v>45748.0</v>
      </c>
      <c r="L175" s="3" t="str">
        <f t="shared" si="1"/>
        <v>OK</v>
      </c>
    </row>
    <row r="176">
      <c r="A176" s="1" t="s">
        <v>31</v>
      </c>
      <c r="B176" s="1" t="s">
        <v>32</v>
      </c>
      <c r="C176" s="1" t="s">
        <v>13</v>
      </c>
      <c r="D176" s="1">
        <v>221.0</v>
      </c>
      <c r="E176" s="1">
        <v>40.0</v>
      </c>
      <c r="F176" s="1">
        <v>2.0</v>
      </c>
      <c r="G176" s="1">
        <v>5.0</v>
      </c>
      <c r="H176" s="1" t="s">
        <v>33</v>
      </c>
      <c r="I176" s="2">
        <v>45791.0</v>
      </c>
      <c r="J176" s="1">
        <v>550000.0</v>
      </c>
      <c r="K176" s="2">
        <v>45778.0</v>
      </c>
      <c r="L176" s="3" t="str">
        <f t="shared" si="1"/>
        <v>OK</v>
      </c>
    </row>
    <row r="177">
      <c r="A177" s="1" t="s">
        <v>31</v>
      </c>
      <c r="B177" s="1" t="s">
        <v>32</v>
      </c>
      <c r="C177" s="1" t="s">
        <v>13</v>
      </c>
      <c r="D177" s="1">
        <v>220.0</v>
      </c>
      <c r="E177" s="1">
        <v>40.0</v>
      </c>
      <c r="F177" s="1">
        <v>2.0</v>
      </c>
      <c r="G177" s="1">
        <v>5.0</v>
      </c>
      <c r="H177" s="1" t="s">
        <v>33</v>
      </c>
      <c r="I177" s="2">
        <v>45831.0</v>
      </c>
      <c r="J177" s="1">
        <v>550000.0</v>
      </c>
      <c r="K177" s="2">
        <v>45809.0</v>
      </c>
      <c r="L177" s="3" t="str">
        <f t="shared" si="1"/>
        <v>OK</v>
      </c>
    </row>
    <row r="178">
      <c r="A178" s="1" t="s">
        <v>31</v>
      </c>
      <c r="B178" s="1" t="s">
        <v>32</v>
      </c>
      <c r="C178" s="1" t="s">
        <v>13</v>
      </c>
      <c r="D178" s="1">
        <v>139.0</v>
      </c>
      <c r="E178" s="1">
        <v>40.0</v>
      </c>
      <c r="F178" s="1">
        <v>2.0</v>
      </c>
      <c r="G178" s="1">
        <v>6.0</v>
      </c>
      <c r="H178" s="1" t="s">
        <v>33</v>
      </c>
      <c r="I178" s="2">
        <v>45845.0</v>
      </c>
      <c r="J178" s="1">
        <v>550000.0</v>
      </c>
      <c r="K178" s="2">
        <v>45839.0</v>
      </c>
      <c r="L178" s="3" t="str">
        <f t="shared" si="1"/>
        <v>OK</v>
      </c>
    </row>
    <row r="179">
      <c r="A179" s="1" t="s">
        <v>31</v>
      </c>
      <c r="B179" s="1" t="s">
        <v>32</v>
      </c>
      <c r="C179" s="1" t="s">
        <v>13</v>
      </c>
      <c r="D179" s="1">
        <v>160.0</v>
      </c>
      <c r="E179" s="1">
        <v>40.0</v>
      </c>
      <c r="F179" s="1">
        <v>3.0</v>
      </c>
      <c r="G179" s="1">
        <v>6.0</v>
      </c>
      <c r="H179" s="1" t="s">
        <v>33</v>
      </c>
      <c r="I179" s="2">
        <v>45887.0</v>
      </c>
      <c r="J179" s="1">
        <v>550000.0</v>
      </c>
      <c r="K179" s="2">
        <v>45870.0</v>
      </c>
      <c r="L179" s="3" t="str">
        <f t="shared" si="1"/>
        <v>OK</v>
      </c>
    </row>
    <row r="180">
      <c r="A180" s="1" t="s">
        <v>31</v>
      </c>
      <c r="B180" s="1" t="s">
        <v>32</v>
      </c>
      <c r="C180" s="1" t="s">
        <v>13</v>
      </c>
      <c r="D180" s="1">
        <v>129.0</v>
      </c>
      <c r="E180" s="1">
        <v>40.0</v>
      </c>
      <c r="F180" s="1">
        <v>4.0</v>
      </c>
      <c r="G180" s="1">
        <v>6.0</v>
      </c>
      <c r="H180" s="1" t="s">
        <v>33</v>
      </c>
      <c r="I180" s="2">
        <v>45916.0</v>
      </c>
      <c r="J180" s="1">
        <v>550000.0</v>
      </c>
      <c r="K180" s="2">
        <v>45901.0</v>
      </c>
      <c r="L180" s="3" t="str">
        <f t="shared" si="1"/>
        <v>OK</v>
      </c>
    </row>
    <row r="181">
      <c r="A181" s="1" t="s">
        <v>31</v>
      </c>
      <c r="B181" s="1" t="s">
        <v>32</v>
      </c>
      <c r="C181" s="1" t="s">
        <v>13</v>
      </c>
      <c r="D181" s="1">
        <v>172.0</v>
      </c>
      <c r="E181" s="1">
        <v>40.0</v>
      </c>
      <c r="F181" s="1">
        <v>2.0</v>
      </c>
      <c r="G181" s="1">
        <v>6.0</v>
      </c>
      <c r="H181" s="1" t="s">
        <v>33</v>
      </c>
      <c r="I181" s="2">
        <v>45955.0</v>
      </c>
      <c r="J181" s="1">
        <v>550000.0</v>
      </c>
      <c r="K181" s="2">
        <v>45931.0</v>
      </c>
      <c r="L181" s="3" t="str">
        <f t="shared" si="1"/>
        <v>OK</v>
      </c>
    </row>
    <row r="182">
      <c r="A182" s="1" t="s">
        <v>31</v>
      </c>
      <c r="B182" s="1" t="s">
        <v>32</v>
      </c>
      <c r="C182" s="1" t="s">
        <v>13</v>
      </c>
      <c r="D182" s="1">
        <v>186.0</v>
      </c>
      <c r="E182" s="1">
        <v>40.0</v>
      </c>
      <c r="F182" s="1">
        <v>2.0</v>
      </c>
      <c r="G182" s="1">
        <v>4.0</v>
      </c>
      <c r="H182" s="1" t="s">
        <v>33</v>
      </c>
      <c r="I182" s="2">
        <v>45971.0</v>
      </c>
      <c r="J182" s="1">
        <v>550000.0</v>
      </c>
      <c r="K182" s="2">
        <v>45962.0</v>
      </c>
      <c r="L182" s="3" t="str">
        <f t="shared" si="1"/>
        <v>OK</v>
      </c>
    </row>
    <row r="183">
      <c r="A183" s="1" t="s">
        <v>31</v>
      </c>
      <c r="B183" s="1" t="s">
        <v>32</v>
      </c>
      <c r="C183" s="1" t="s">
        <v>13</v>
      </c>
      <c r="D183" s="1">
        <v>127.0</v>
      </c>
      <c r="E183" s="1">
        <v>40.0</v>
      </c>
      <c r="F183" s="1">
        <v>3.0</v>
      </c>
      <c r="G183" s="1">
        <v>4.0</v>
      </c>
      <c r="H183" s="1" t="s">
        <v>33</v>
      </c>
      <c r="I183" s="2">
        <v>46001.0</v>
      </c>
      <c r="J183" s="1">
        <v>550000.0</v>
      </c>
      <c r="K183" s="2">
        <v>45992.0</v>
      </c>
      <c r="L183" s="3" t="str">
        <f t="shared" si="1"/>
        <v>OK</v>
      </c>
    </row>
    <row r="184">
      <c r="A184" s="1" t="s">
        <v>31</v>
      </c>
      <c r="B184" s="1" t="s">
        <v>32</v>
      </c>
      <c r="C184" s="1" t="s">
        <v>13</v>
      </c>
      <c r="D184" s="1">
        <v>150.0</v>
      </c>
      <c r="E184" s="1">
        <v>40.0</v>
      </c>
      <c r="F184" s="1">
        <v>4.0</v>
      </c>
      <c r="G184" s="1">
        <v>4.0</v>
      </c>
      <c r="H184" s="1" t="s">
        <v>33</v>
      </c>
      <c r="I184" s="2">
        <v>46040.0</v>
      </c>
      <c r="J184" s="1">
        <v>550000.0</v>
      </c>
      <c r="K184" s="2">
        <v>46023.0</v>
      </c>
      <c r="L184" s="3" t="str">
        <f t="shared" si="1"/>
        <v>OK</v>
      </c>
    </row>
    <row r="185">
      <c r="A185" s="1" t="s">
        <v>31</v>
      </c>
      <c r="B185" s="1" t="s">
        <v>32</v>
      </c>
      <c r="C185" s="1" t="s">
        <v>13</v>
      </c>
      <c r="D185" s="1">
        <v>169.0</v>
      </c>
      <c r="E185" s="1">
        <v>40.0</v>
      </c>
      <c r="F185" s="1">
        <v>3.0</v>
      </c>
      <c r="G185" s="1">
        <v>4.0</v>
      </c>
      <c r="H185" s="1" t="s">
        <v>33</v>
      </c>
      <c r="I185" s="2">
        <v>46074.0</v>
      </c>
      <c r="J185" s="1">
        <v>550000.0</v>
      </c>
      <c r="K185" s="2">
        <v>46054.0</v>
      </c>
      <c r="L185" s="3" t="str">
        <f t="shared" si="1"/>
        <v>OK</v>
      </c>
    </row>
    <row r="186">
      <c r="A186" s="1" t="s">
        <v>31</v>
      </c>
      <c r="B186" s="1" t="s">
        <v>32</v>
      </c>
      <c r="C186" s="1" t="s">
        <v>13</v>
      </c>
      <c r="D186" s="1">
        <v>153.0</v>
      </c>
      <c r="E186" s="1">
        <v>40.0</v>
      </c>
      <c r="F186" s="1">
        <v>4.0</v>
      </c>
      <c r="G186" s="1">
        <v>5.0</v>
      </c>
      <c r="H186" s="1" t="s">
        <v>33</v>
      </c>
      <c r="I186" s="2">
        <v>46097.0</v>
      </c>
      <c r="J186" s="1">
        <v>550000.0</v>
      </c>
      <c r="K186" s="2">
        <v>46082.0</v>
      </c>
      <c r="L186" s="3" t="str">
        <f t="shared" si="1"/>
        <v>OK</v>
      </c>
    </row>
    <row r="187">
      <c r="A187" s="1" t="s">
        <v>62</v>
      </c>
      <c r="B187" s="1" t="s">
        <v>63</v>
      </c>
      <c r="C187" s="1" t="s">
        <v>13</v>
      </c>
      <c r="D187" s="1">
        <v>392.0</v>
      </c>
      <c r="E187" s="1">
        <v>80.0</v>
      </c>
      <c r="F187" s="1">
        <v>5.0</v>
      </c>
      <c r="G187" s="1">
        <v>4.0</v>
      </c>
      <c r="H187" s="1" t="s">
        <v>33</v>
      </c>
      <c r="I187" s="2">
        <v>45701.0</v>
      </c>
      <c r="J187" s="1">
        <v>85000.0</v>
      </c>
      <c r="K187" s="2">
        <v>45689.0</v>
      </c>
      <c r="L187" s="3" t="str">
        <f t="shared" si="1"/>
        <v>OK</v>
      </c>
    </row>
    <row r="188">
      <c r="A188" s="1" t="s">
        <v>62</v>
      </c>
      <c r="B188" s="1" t="s">
        <v>63</v>
      </c>
      <c r="C188" s="1" t="s">
        <v>13</v>
      </c>
      <c r="D188" s="1">
        <v>375.0</v>
      </c>
      <c r="E188" s="1">
        <v>80.0</v>
      </c>
      <c r="F188" s="1">
        <v>5.0</v>
      </c>
      <c r="G188" s="1">
        <v>6.0</v>
      </c>
      <c r="H188" s="1" t="s">
        <v>33</v>
      </c>
      <c r="I188" s="2">
        <v>45737.0</v>
      </c>
      <c r="J188" s="1">
        <v>85000.0</v>
      </c>
      <c r="K188" s="2">
        <v>45717.0</v>
      </c>
      <c r="L188" s="3" t="str">
        <f t="shared" si="1"/>
        <v>OK</v>
      </c>
    </row>
    <row r="189">
      <c r="A189" s="1" t="s">
        <v>62</v>
      </c>
      <c r="B189" s="1" t="s">
        <v>63</v>
      </c>
      <c r="C189" s="1" t="s">
        <v>13</v>
      </c>
      <c r="D189" s="1">
        <v>436.0</v>
      </c>
      <c r="E189" s="1">
        <v>80.0</v>
      </c>
      <c r="F189" s="1">
        <v>4.0</v>
      </c>
      <c r="G189" s="1">
        <v>4.0</v>
      </c>
      <c r="H189" s="1" t="s">
        <v>33</v>
      </c>
      <c r="I189" s="2">
        <v>45755.0</v>
      </c>
      <c r="J189" s="1">
        <v>85000.0</v>
      </c>
      <c r="K189" s="2">
        <v>45748.0</v>
      </c>
      <c r="L189" s="3" t="str">
        <f t="shared" si="1"/>
        <v>OK</v>
      </c>
    </row>
    <row r="190">
      <c r="A190" s="1" t="s">
        <v>62</v>
      </c>
      <c r="B190" s="1" t="s">
        <v>63</v>
      </c>
      <c r="C190" s="1" t="s">
        <v>13</v>
      </c>
      <c r="D190" s="1">
        <v>302.0</v>
      </c>
      <c r="E190" s="1">
        <v>80.0</v>
      </c>
      <c r="F190" s="1">
        <v>3.0</v>
      </c>
      <c r="G190" s="1">
        <v>5.0</v>
      </c>
      <c r="H190" s="1" t="s">
        <v>33</v>
      </c>
      <c r="I190" s="2">
        <v>45797.0</v>
      </c>
      <c r="J190" s="1">
        <v>85000.0</v>
      </c>
      <c r="K190" s="2">
        <v>45778.0</v>
      </c>
      <c r="L190" s="3" t="str">
        <f t="shared" si="1"/>
        <v>OK</v>
      </c>
    </row>
    <row r="191">
      <c r="A191" s="1" t="s">
        <v>62</v>
      </c>
      <c r="B191" s="1" t="s">
        <v>63</v>
      </c>
      <c r="C191" s="1" t="s">
        <v>13</v>
      </c>
      <c r="D191" s="1">
        <v>427.0</v>
      </c>
      <c r="E191" s="1">
        <v>80.0</v>
      </c>
      <c r="F191" s="1">
        <v>2.0</v>
      </c>
      <c r="G191" s="1">
        <v>5.0</v>
      </c>
      <c r="H191" s="1" t="s">
        <v>33</v>
      </c>
      <c r="I191" s="2">
        <v>45838.0</v>
      </c>
      <c r="J191" s="1">
        <v>85000.0</v>
      </c>
      <c r="K191" s="2">
        <v>45809.0</v>
      </c>
      <c r="L191" s="3" t="str">
        <f t="shared" si="1"/>
        <v>OK</v>
      </c>
    </row>
    <row r="192">
      <c r="A192" s="1" t="s">
        <v>62</v>
      </c>
      <c r="B192" s="1" t="s">
        <v>63</v>
      </c>
      <c r="C192" s="1" t="s">
        <v>13</v>
      </c>
      <c r="D192" s="1">
        <v>386.0</v>
      </c>
      <c r="E192" s="1">
        <v>80.0</v>
      </c>
      <c r="F192" s="1">
        <v>3.0</v>
      </c>
      <c r="G192" s="1">
        <v>6.0</v>
      </c>
      <c r="H192" s="1" t="s">
        <v>33</v>
      </c>
      <c r="I192" s="2">
        <v>45852.0</v>
      </c>
      <c r="J192" s="1">
        <v>85000.0</v>
      </c>
      <c r="K192" s="2">
        <v>45839.0</v>
      </c>
      <c r="L192" s="3" t="str">
        <f t="shared" si="1"/>
        <v>OK</v>
      </c>
    </row>
    <row r="193">
      <c r="A193" s="1" t="s">
        <v>62</v>
      </c>
      <c r="B193" s="1" t="s">
        <v>63</v>
      </c>
      <c r="C193" s="1" t="s">
        <v>13</v>
      </c>
      <c r="D193" s="1">
        <v>472.0</v>
      </c>
      <c r="E193" s="1">
        <v>80.0</v>
      </c>
      <c r="F193" s="1">
        <v>3.0</v>
      </c>
      <c r="G193" s="1">
        <v>4.0</v>
      </c>
      <c r="H193" s="1" t="s">
        <v>33</v>
      </c>
      <c r="I193" s="2">
        <v>45900.0</v>
      </c>
      <c r="J193" s="1">
        <v>85000.0</v>
      </c>
      <c r="K193" s="2">
        <v>45870.0</v>
      </c>
      <c r="L193" s="3" t="str">
        <f t="shared" si="1"/>
        <v>OK</v>
      </c>
    </row>
    <row r="194">
      <c r="A194" s="1" t="s">
        <v>62</v>
      </c>
      <c r="B194" s="1" t="s">
        <v>63</v>
      </c>
      <c r="C194" s="1" t="s">
        <v>13</v>
      </c>
      <c r="D194" s="1">
        <v>320.0</v>
      </c>
      <c r="E194" s="1">
        <v>80.0</v>
      </c>
      <c r="F194" s="1">
        <v>5.0</v>
      </c>
      <c r="G194" s="1">
        <v>4.0</v>
      </c>
      <c r="H194" s="1" t="s">
        <v>33</v>
      </c>
      <c r="I194" s="2">
        <v>45909.0</v>
      </c>
      <c r="J194" s="1">
        <v>85000.0</v>
      </c>
      <c r="K194" s="2">
        <v>45901.0</v>
      </c>
      <c r="L194" s="3" t="str">
        <f t="shared" si="1"/>
        <v>OK</v>
      </c>
    </row>
    <row r="195">
      <c r="A195" s="1" t="s">
        <v>62</v>
      </c>
      <c r="B195" s="1" t="s">
        <v>63</v>
      </c>
      <c r="C195" s="1" t="s">
        <v>13</v>
      </c>
      <c r="D195" s="1">
        <v>301.0</v>
      </c>
      <c r="E195" s="1">
        <v>80.0</v>
      </c>
      <c r="F195" s="1">
        <v>3.0</v>
      </c>
      <c r="G195" s="1">
        <v>4.0</v>
      </c>
      <c r="H195" s="1" t="s">
        <v>33</v>
      </c>
      <c r="I195" s="2">
        <v>45936.0</v>
      </c>
      <c r="J195" s="1">
        <v>85000.0</v>
      </c>
      <c r="K195" s="2">
        <v>45931.0</v>
      </c>
      <c r="L195" s="3" t="str">
        <f t="shared" si="1"/>
        <v>OK</v>
      </c>
    </row>
    <row r="196">
      <c r="A196" s="1" t="s">
        <v>62</v>
      </c>
      <c r="B196" s="1" t="s">
        <v>63</v>
      </c>
      <c r="C196" s="1" t="s">
        <v>13</v>
      </c>
      <c r="D196" s="1">
        <v>264.0</v>
      </c>
      <c r="E196" s="1">
        <v>80.0</v>
      </c>
      <c r="F196" s="1">
        <v>3.0</v>
      </c>
      <c r="G196" s="1">
        <v>5.0</v>
      </c>
      <c r="H196" s="1" t="s">
        <v>33</v>
      </c>
      <c r="I196" s="2">
        <v>45984.0</v>
      </c>
      <c r="J196" s="1">
        <v>85000.0</v>
      </c>
      <c r="K196" s="2">
        <v>45962.0</v>
      </c>
      <c r="L196" s="3" t="str">
        <f t="shared" si="1"/>
        <v>OK</v>
      </c>
    </row>
    <row r="197">
      <c r="A197" s="1" t="s">
        <v>62</v>
      </c>
      <c r="B197" s="1" t="s">
        <v>63</v>
      </c>
      <c r="C197" s="1" t="s">
        <v>13</v>
      </c>
      <c r="D197" s="1">
        <v>255.0</v>
      </c>
      <c r="E197" s="1">
        <v>80.0</v>
      </c>
      <c r="F197" s="1">
        <v>4.0</v>
      </c>
      <c r="G197" s="1">
        <v>6.0</v>
      </c>
      <c r="H197" s="1" t="s">
        <v>33</v>
      </c>
      <c r="I197" s="2">
        <v>46001.0</v>
      </c>
      <c r="J197" s="1">
        <v>85000.0</v>
      </c>
      <c r="K197" s="2">
        <v>45992.0</v>
      </c>
      <c r="L197" s="3" t="str">
        <f t="shared" si="1"/>
        <v>OK</v>
      </c>
    </row>
    <row r="198">
      <c r="A198" s="1" t="s">
        <v>62</v>
      </c>
      <c r="B198" s="1" t="s">
        <v>63</v>
      </c>
      <c r="C198" s="1" t="s">
        <v>13</v>
      </c>
      <c r="D198" s="1">
        <v>392.0</v>
      </c>
      <c r="E198" s="1">
        <v>80.0</v>
      </c>
      <c r="F198" s="1">
        <v>3.0</v>
      </c>
      <c r="G198" s="1">
        <v>6.0</v>
      </c>
      <c r="H198" s="1" t="s">
        <v>33</v>
      </c>
      <c r="I198" s="2">
        <v>46030.0</v>
      </c>
      <c r="J198" s="1">
        <v>85000.0</v>
      </c>
      <c r="K198" s="2">
        <v>46023.0</v>
      </c>
      <c r="L198" s="3" t="str">
        <f t="shared" si="1"/>
        <v>OK</v>
      </c>
    </row>
    <row r="199">
      <c r="A199" s="1" t="s">
        <v>62</v>
      </c>
      <c r="B199" s="1" t="s">
        <v>63</v>
      </c>
      <c r="C199" s="1" t="s">
        <v>13</v>
      </c>
      <c r="D199" s="1">
        <v>468.0</v>
      </c>
      <c r="E199" s="1">
        <v>80.0</v>
      </c>
      <c r="F199" s="1">
        <v>5.0</v>
      </c>
      <c r="G199" s="1">
        <v>6.0</v>
      </c>
      <c r="H199" s="1" t="s">
        <v>33</v>
      </c>
      <c r="I199" s="2">
        <v>46079.0</v>
      </c>
      <c r="J199" s="1">
        <v>85000.0</v>
      </c>
      <c r="K199" s="2">
        <v>46054.0</v>
      </c>
      <c r="L199" s="3" t="str">
        <f t="shared" si="1"/>
        <v>OK</v>
      </c>
    </row>
    <row r="200">
      <c r="A200" s="1" t="s">
        <v>62</v>
      </c>
      <c r="B200" s="1" t="s">
        <v>63</v>
      </c>
      <c r="C200" s="1" t="s">
        <v>13</v>
      </c>
      <c r="D200" s="1">
        <v>268.0</v>
      </c>
      <c r="E200" s="1">
        <v>80.0</v>
      </c>
      <c r="F200" s="1">
        <v>4.0</v>
      </c>
      <c r="G200" s="1">
        <v>4.0</v>
      </c>
      <c r="H200" s="1" t="s">
        <v>33</v>
      </c>
      <c r="I200" s="2">
        <v>46099.0</v>
      </c>
      <c r="J200" s="1">
        <v>85000.0</v>
      </c>
      <c r="K200" s="2">
        <v>46082.0</v>
      </c>
      <c r="L200" s="3" t="str">
        <f t="shared" si="1"/>
        <v>OK</v>
      </c>
    </row>
    <row r="201">
      <c r="A201" s="1" t="s">
        <v>53</v>
      </c>
      <c r="B201" s="1" t="s">
        <v>54</v>
      </c>
      <c r="C201" s="1" t="s">
        <v>13</v>
      </c>
      <c r="D201" s="1">
        <v>188.0</v>
      </c>
      <c r="E201" s="1">
        <v>60.0</v>
      </c>
      <c r="F201" s="1">
        <v>3.0</v>
      </c>
      <c r="G201" s="1">
        <v>4.0</v>
      </c>
      <c r="H201" s="1" t="s">
        <v>14</v>
      </c>
      <c r="I201" s="2">
        <v>45659.0</v>
      </c>
      <c r="J201" s="1">
        <v>165000.0</v>
      </c>
      <c r="K201" s="2">
        <v>45658.0</v>
      </c>
      <c r="L201" s="3" t="str">
        <f t="shared" si="1"/>
        <v>OK</v>
      </c>
    </row>
    <row r="202">
      <c r="A202" s="1" t="s">
        <v>53</v>
      </c>
      <c r="B202" s="1" t="s">
        <v>54</v>
      </c>
      <c r="C202" s="1" t="s">
        <v>13</v>
      </c>
      <c r="D202" s="1">
        <v>198.0</v>
      </c>
      <c r="E202" s="1">
        <v>60.0</v>
      </c>
      <c r="F202" s="1">
        <v>3.0</v>
      </c>
      <c r="G202" s="1">
        <v>8.0</v>
      </c>
      <c r="H202" s="1" t="s">
        <v>14</v>
      </c>
      <c r="I202" s="2">
        <v>45712.0</v>
      </c>
      <c r="J202" s="1">
        <v>165000.0</v>
      </c>
      <c r="K202" s="2">
        <v>45689.0</v>
      </c>
      <c r="L202" s="3" t="str">
        <f t="shared" si="1"/>
        <v>OK</v>
      </c>
    </row>
    <row r="203">
      <c r="A203" s="1" t="s">
        <v>53</v>
      </c>
      <c r="B203" s="1" t="s">
        <v>54</v>
      </c>
      <c r="C203" s="1" t="s">
        <v>13</v>
      </c>
      <c r="D203" s="1">
        <v>205.0</v>
      </c>
      <c r="E203" s="1">
        <v>60.0</v>
      </c>
      <c r="F203" s="1">
        <v>4.0</v>
      </c>
      <c r="G203" s="1">
        <v>7.0</v>
      </c>
      <c r="H203" s="1" t="s">
        <v>14</v>
      </c>
      <c r="I203" s="2">
        <v>45739.0</v>
      </c>
      <c r="J203" s="1">
        <v>165000.0</v>
      </c>
      <c r="K203" s="2">
        <v>45717.0</v>
      </c>
      <c r="L203" s="3" t="str">
        <f t="shared" si="1"/>
        <v>OK</v>
      </c>
    </row>
    <row r="204">
      <c r="A204" s="1" t="s">
        <v>53</v>
      </c>
      <c r="B204" s="1" t="s">
        <v>54</v>
      </c>
      <c r="C204" s="1" t="s">
        <v>13</v>
      </c>
      <c r="D204" s="1">
        <v>299.0</v>
      </c>
      <c r="E204" s="1">
        <v>60.0</v>
      </c>
      <c r="F204" s="1">
        <v>1.0</v>
      </c>
      <c r="G204" s="1">
        <v>7.0</v>
      </c>
      <c r="H204" s="1" t="s">
        <v>14</v>
      </c>
      <c r="I204" s="2">
        <v>45756.0</v>
      </c>
      <c r="J204" s="1">
        <v>165000.0</v>
      </c>
      <c r="K204" s="2">
        <v>45748.0</v>
      </c>
      <c r="L204" s="3" t="str">
        <f t="shared" si="1"/>
        <v>OK</v>
      </c>
    </row>
    <row r="205">
      <c r="A205" s="1" t="s">
        <v>53</v>
      </c>
      <c r="B205" s="1" t="s">
        <v>54</v>
      </c>
      <c r="C205" s="1" t="s">
        <v>13</v>
      </c>
      <c r="D205" s="1">
        <v>273.0</v>
      </c>
      <c r="E205" s="1">
        <v>60.0</v>
      </c>
      <c r="F205" s="1">
        <v>1.0</v>
      </c>
      <c r="G205" s="1">
        <v>4.0</v>
      </c>
      <c r="H205" s="1" t="s">
        <v>14</v>
      </c>
      <c r="I205" s="2">
        <v>45806.0</v>
      </c>
      <c r="J205" s="1">
        <v>165000.0</v>
      </c>
      <c r="K205" s="2">
        <v>45778.0</v>
      </c>
      <c r="L205" s="3" t="str">
        <f t="shared" si="1"/>
        <v>OK</v>
      </c>
    </row>
    <row r="206">
      <c r="A206" s="1" t="s">
        <v>53</v>
      </c>
      <c r="B206" s="1" t="s">
        <v>54</v>
      </c>
      <c r="C206" s="1" t="s">
        <v>13</v>
      </c>
      <c r="D206" s="1">
        <v>230.0</v>
      </c>
      <c r="E206" s="1">
        <v>60.0</v>
      </c>
      <c r="F206" s="1">
        <v>2.0</v>
      </c>
      <c r="G206" s="1">
        <v>8.0</v>
      </c>
      <c r="H206" s="1" t="s">
        <v>14</v>
      </c>
      <c r="I206" s="2">
        <v>45817.0</v>
      </c>
      <c r="J206" s="1">
        <v>165000.0</v>
      </c>
      <c r="K206" s="2">
        <v>45809.0</v>
      </c>
      <c r="L206" s="3" t="str">
        <f t="shared" si="1"/>
        <v>OK</v>
      </c>
    </row>
    <row r="207">
      <c r="A207" s="1" t="s">
        <v>53</v>
      </c>
      <c r="B207" s="1" t="s">
        <v>54</v>
      </c>
      <c r="C207" s="1" t="s">
        <v>13</v>
      </c>
      <c r="D207" s="1">
        <v>292.0</v>
      </c>
      <c r="E207" s="1">
        <v>60.0</v>
      </c>
      <c r="F207" s="1">
        <v>3.0</v>
      </c>
      <c r="G207" s="1">
        <v>8.0</v>
      </c>
      <c r="H207" s="1" t="s">
        <v>14</v>
      </c>
      <c r="I207" s="2">
        <v>45869.0</v>
      </c>
      <c r="J207" s="1">
        <v>165000.0</v>
      </c>
      <c r="K207" s="2">
        <v>45839.0</v>
      </c>
      <c r="L207" s="3" t="str">
        <f t="shared" si="1"/>
        <v>OK</v>
      </c>
    </row>
    <row r="208">
      <c r="A208" s="1" t="s">
        <v>53</v>
      </c>
      <c r="B208" s="1" t="s">
        <v>54</v>
      </c>
      <c r="C208" s="1" t="s">
        <v>13</v>
      </c>
      <c r="D208" s="1">
        <v>292.0</v>
      </c>
      <c r="E208" s="1">
        <v>60.0</v>
      </c>
      <c r="F208" s="1">
        <v>3.0</v>
      </c>
      <c r="G208" s="1">
        <v>6.0</v>
      </c>
      <c r="H208" s="1" t="s">
        <v>14</v>
      </c>
      <c r="I208" s="2">
        <v>45888.0</v>
      </c>
      <c r="J208" s="1">
        <v>165000.0</v>
      </c>
      <c r="K208" s="2">
        <v>45870.0</v>
      </c>
      <c r="L208" s="3" t="str">
        <f t="shared" si="1"/>
        <v>OK</v>
      </c>
    </row>
    <row r="209">
      <c r="A209" s="1" t="s">
        <v>53</v>
      </c>
      <c r="B209" s="1" t="s">
        <v>54</v>
      </c>
      <c r="C209" s="1" t="s">
        <v>13</v>
      </c>
      <c r="D209" s="1">
        <v>252.0</v>
      </c>
      <c r="E209" s="1">
        <v>60.0</v>
      </c>
      <c r="F209" s="1">
        <v>4.0</v>
      </c>
      <c r="G209" s="1">
        <v>7.0</v>
      </c>
      <c r="H209" s="1" t="s">
        <v>14</v>
      </c>
      <c r="I209" s="2">
        <v>45930.0</v>
      </c>
      <c r="J209" s="1">
        <v>165000.0</v>
      </c>
      <c r="K209" s="2">
        <v>45901.0</v>
      </c>
      <c r="L209" s="3" t="str">
        <f t="shared" si="1"/>
        <v>OK</v>
      </c>
    </row>
    <row r="210">
      <c r="A210" s="1" t="s">
        <v>53</v>
      </c>
      <c r="B210" s="1" t="s">
        <v>54</v>
      </c>
      <c r="C210" s="1" t="s">
        <v>13</v>
      </c>
      <c r="D210" s="1">
        <v>191.0</v>
      </c>
      <c r="E210" s="1">
        <v>60.0</v>
      </c>
      <c r="F210" s="1">
        <v>3.0</v>
      </c>
      <c r="G210" s="1">
        <v>8.0</v>
      </c>
      <c r="H210" s="1" t="s">
        <v>14</v>
      </c>
      <c r="I210" s="2">
        <v>45944.0</v>
      </c>
      <c r="J210" s="1">
        <v>165000.0</v>
      </c>
      <c r="K210" s="2">
        <v>45931.0</v>
      </c>
      <c r="L210" s="3" t="str">
        <f t="shared" si="1"/>
        <v>OK</v>
      </c>
    </row>
    <row r="211">
      <c r="A211" s="1" t="s">
        <v>53</v>
      </c>
      <c r="B211" s="1" t="s">
        <v>54</v>
      </c>
      <c r="C211" s="1" t="s">
        <v>13</v>
      </c>
      <c r="D211" s="1">
        <v>202.0</v>
      </c>
      <c r="E211" s="1">
        <v>60.0</v>
      </c>
      <c r="F211" s="1">
        <v>2.0</v>
      </c>
      <c r="G211" s="1">
        <v>4.0</v>
      </c>
      <c r="H211" s="1" t="s">
        <v>14</v>
      </c>
      <c r="I211" s="2">
        <v>46019.0</v>
      </c>
      <c r="J211" s="1">
        <v>165000.0</v>
      </c>
      <c r="K211" s="2">
        <v>45992.0</v>
      </c>
      <c r="L211" s="3" t="str">
        <f t="shared" si="1"/>
        <v>OK</v>
      </c>
    </row>
    <row r="212">
      <c r="A212" s="1" t="s">
        <v>53</v>
      </c>
      <c r="B212" s="1" t="s">
        <v>54</v>
      </c>
      <c r="C212" s="1" t="s">
        <v>13</v>
      </c>
      <c r="D212" s="1">
        <v>246.0</v>
      </c>
      <c r="E212" s="1">
        <v>60.0</v>
      </c>
      <c r="F212" s="1">
        <v>3.0</v>
      </c>
      <c r="G212" s="1">
        <v>7.0</v>
      </c>
      <c r="H212" s="1" t="s">
        <v>14</v>
      </c>
      <c r="I212" s="2">
        <v>46049.0</v>
      </c>
      <c r="J212" s="1">
        <v>165000.0</v>
      </c>
      <c r="K212" s="2">
        <v>46023.0</v>
      </c>
      <c r="L212" s="3" t="str">
        <f t="shared" si="1"/>
        <v>OK</v>
      </c>
    </row>
    <row r="213">
      <c r="A213" s="1" t="s">
        <v>53</v>
      </c>
      <c r="B213" s="1" t="s">
        <v>54</v>
      </c>
      <c r="C213" s="1" t="s">
        <v>13</v>
      </c>
      <c r="D213" s="1">
        <v>305.0</v>
      </c>
      <c r="E213" s="1">
        <v>60.0</v>
      </c>
      <c r="F213" s="1">
        <v>4.0</v>
      </c>
      <c r="G213" s="1">
        <v>4.0</v>
      </c>
      <c r="H213" s="1" t="s">
        <v>14</v>
      </c>
      <c r="I213" s="2">
        <v>46068.0</v>
      </c>
      <c r="J213" s="1">
        <v>165000.0</v>
      </c>
      <c r="K213" s="2">
        <v>46054.0</v>
      </c>
      <c r="L213" s="3" t="str">
        <f t="shared" si="1"/>
        <v>OK</v>
      </c>
    </row>
    <row r="214">
      <c r="A214" s="1" t="s">
        <v>53</v>
      </c>
      <c r="B214" s="1" t="s">
        <v>54</v>
      </c>
      <c r="C214" s="1" t="s">
        <v>13</v>
      </c>
      <c r="D214" s="1">
        <v>223.0</v>
      </c>
      <c r="E214" s="1">
        <v>60.0</v>
      </c>
      <c r="F214" s="1">
        <v>4.0</v>
      </c>
      <c r="G214" s="1">
        <v>8.0</v>
      </c>
      <c r="H214" s="1" t="s">
        <v>14</v>
      </c>
      <c r="I214" s="2">
        <v>46108.0</v>
      </c>
      <c r="J214" s="1">
        <v>165000.0</v>
      </c>
      <c r="K214" s="2">
        <v>46082.0</v>
      </c>
      <c r="L214" s="3" t="str">
        <f t="shared" si="1"/>
        <v>OK</v>
      </c>
    </row>
    <row r="215">
      <c r="A215" s="1" t="s">
        <v>53</v>
      </c>
      <c r="B215" s="1" t="s">
        <v>54</v>
      </c>
      <c r="C215" s="1" t="s">
        <v>13</v>
      </c>
      <c r="D215" s="1">
        <v>240.0</v>
      </c>
      <c r="E215" s="1">
        <v>60.0</v>
      </c>
      <c r="F215" s="1">
        <v>2.0</v>
      </c>
      <c r="G215" s="1">
        <v>6.0</v>
      </c>
      <c r="H215" s="1" t="s">
        <v>14</v>
      </c>
      <c r="I215" s="2">
        <v>46187.0</v>
      </c>
      <c r="J215" s="1">
        <v>165000.0</v>
      </c>
      <c r="K215" s="2">
        <v>45962.0</v>
      </c>
      <c r="L215" s="3" t="str">
        <f t="shared" si="1"/>
        <v>OK</v>
      </c>
    </row>
    <row r="216">
      <c r="A216" s="1" t="s">
        <v>11</v>
      </c>
      <c r="B216" s="1" t="s">
        <v>12</v>
      </c>
      <c r="C216" s="1" t="s">
        <v>13</v>
      </c>
      <c r="D216" s="1">
        <v>238.0</v>
      </c>
      <c r="E216" s="1">
        <v>50.0</v>
      </c>
      <c r="F216" s="1">
        <v>2.0</v>
      </c>
      <c r="G216" s="1">
        <v>7.0</v>
      </c>
      <c r="H216" s="1" t="s">
        <v>14</v>
      </c>
      <c r="I216" s="2">
        <v>45671.0</v>
      </c>
      <c r="J216" s="1">
        <v>125000.0</v>
      </c>
      <c r="K216" s="2">
        <v>45658.0</v>
      </c>
      <c r="L216" s="3" t="str">
        <f t="shared" si="1"/>
        <v>OK</v>
      </c>
    </row>
    <row r="217">
      <c r="A217" s="1" t="s">
        <v>11</v>
      </c>
      <c r="B217" s="1" t="s">
        <v>12</v>
      </c>
      <c r="C217" s="1" t="s">
        <v>13</v>
      </c>
      <c r="D217" s="1">
        <v>252.0</v>
      </c>
      <c r="E217" s="1">
        <v>50.0</v>
      </c>
      <c r="F217" s="1">
        <v>3.0</v>
      </c>
      <c r="G217" s="1">
        <v>7.0</v>
      </c>
      <c r="H217" s="1" t="s">
        <v>14</v>
      </c>
      <c r="I217" s="2">
        <v>45713.0</v>
      </c>
      <c r="J217" s="1">
        <v>125000.0</v>
      </c>
      <c r="K217" s="2">
        <v>45689.0</v>
      </c>
      <c r="L217" s="3" t="str">
        <f t="shared" si="1"/>
        <v>OK</v>
      </c>
    </row>
    <row r="218">
      <c r="A218" s="1" t="s">
        <v>11</v>
      </c>
      <c r="B218" s="1" t="s">
        <v>12</v>
      </c>
      <c r="C218" s="1" t="s">
        <v>13</v>
      </c>
      <c r="D218" s="1">
        <v>271.0</v>
      </c>
      <c r="E218" s="1">
        <v>50.0</v>
      </c>
      <c r="F218" s="1">
        <v>2.0</v>
      </c>
      <c r="G218" s="1">
        <v>4.0</v>
      </c>
      <c r="H218" s="1" t="s">
        <v>14</v>
      </c>
      <c r="I218" s="2">
        <v>45748.0</v>
      </c>
      <c r="J218" s="1">
        <v>125000.0</v>
      </c>
      <c r="K218" s="2">
        <v>45748.0</v>
      </c>
      <c r="L218" s="3" t="str">
        <f t="shared" si="1"/>
        <v>OK</v>
      </c>
    </row>
    <row r="219">
      <c r="A219" s="1" t="s">
        <v>11</v>
      </c>
      <c r="B219" s="1" t="s">
        <v>12</v>
      </c>
      <c r="C219" s="1" t="s">
        <v>13</v>
      </c>
      <c r="D219" s="1">
        <v>261.0</v>
      </c>
      <c r="E219" s="1">
        <v>50.0</v>
      </c>
      <c r="F219" s="1">
        <v>2.0</v>
      </c>
      <c r="G219" s="1">
        <v>5.0</v>
      </c>
      <c r="H219" s="1" t="s">
        <v>14</v>
      </c>
      <c r="I219" s="2">
        <v>45787.0</v>
      </c>
      <c r="J219" s="1">
        <v>125000.0</v>
      </c>
      <c r="K219" s="2">
        <v>45778.0</v>
      </c>
      <c r="L219" s="3" t="str">
        <f t="shared" si="1"/>
        <v>OK</v>
      </c>
    </row>
    <row r="220">
      <c r="A220" s="1" t="s">
        <v>11</v>
      </c>
      <c r="B220" s="1" t="s">
        <v>12</v>
      </c>
      <c r="C220" s="1" t="s">
        <v>13</v>
      </c>
      <c r="D220" s="1">
        <v>157.0</v>
      </c>
      <c r="E220" s="1">
        <v>50.0</v>
      </c>
      <c r="F220" s="1">
        <v>1.0</v>
      </c>
      <c r="G220" s="1">
        <v>4.0</v>
      </c>
      <c r="H220" s="1" t="s">
        <v>14</v>
      </c>
      <c r="I220" s="2">
        <v>45823.0</v>
      </c>
      <c r="J220" s="1">
        <v>125000.0</v>
      </c>
      <c r="K220" s="2">
        <v>45809.0</v>
      </c>
      <c r="L220" s="3" t="str">
        <f t="shared" si="1"/>
        <v>OK</v>
      </c>
    </row>
    <row r="221">
      <c r="A221" s="1" t="s">
        <v>11</v>
      </c>
      <c r="B221" s="1" t="s">
        <v>12</v>
      </c>
      <c r="C221" s="1" t="s">
        <v>13</v>
      </c>
      <c r="D221" s="1">
        <v>216.0</v>
      </c>
      <c r="E221" s="1">
        <v>50.0</v>
      </c>
      <c r="F221" s="1">
        <v>1.0</v>
      </c>
      <c r="G221" s="1">
        <v>8.0</v>
      </c>
      <c r="H221" s="1" t="s">
        <v>14</v>
      </c>
      <c r="I221" s="2">
        <v>45905.0</v>
      </c>
      <c r="J221" s="1">
        <v>125000.0</v>
      </c>
      <c r="K221" s="2">
        <v>45901.0</v>
      </c>
      <c r="L221" s="3" t="str">
        <f t="shared" si="1"/>
        <v>OK</v>
      </c>
    </row>
    <row r="222">
      <c r="A222" s="1" t="s">
        <v>11</v>
      </c>
      <c r="B222" s="1" t="s">
        <v>12</v>
      </c>
      <c r="C222" s="1" t="s">
        <v>13</v>
      </c>
      <c r="D222" s="1">
        <v>230.0</v>
      </c>
      <c r="E222" s="1">
        <v>50.0</v>
      </c>
      <c r="F222" s="1">
        <v>1.0</v>
      </c>
      <c r="G222" s="1">
        <v>4.0</v>
      </c>
      <c r="H222" s="1" t="s">
        <v>14</v>
      </c>
      <c r="I222" s="2">
        <v>45939.0</v>
      </c>
      <c r="J222" s="1">
        <v>125000.0</v>
      </c>
      <c r="K222" s="2">
        <v>45931.0</v>
      </c>
      <c r="L222" s="3" t="str">
        <f t="shared" si="1"/>
        <v>OK</v>
      </c>
    </row>
    <row r="223">
      <c r="A223" s="1" t="s">
        <v>11</v>
      </c>
      <c r="B223" s="1" t="s">
        <v>12</v>
      </c>
      <c r="C223" s="1" t="s">
        <v>13</v>
      </c>
      <c r="D223" s="1">
        <v>290.0</v>
      </c>
      <c r="E223" s="1">
        <v>50.0</v>
      </c>
      <c r="F223" s="1">
        <v>3.0</v>
      </c>
      <c r="G223" s="1">
        <v>6.0</v>
      </c>
      <c r="H223" s="1" t="s">
        <v>14</v>
      </c>
      <c r="I223" s="2">
        <v>45991.0</v>
      </c>
      <c r="J223" s="1">
        <v>125000.0</v>
      </c>
      <c r="K223" s="2">
        <v>45962.0</v>
      </c>
      <c r="L223" s="3" t="str">
        <f t="shared" si="1"/>
        <v>OK</v>
      </c>
    </row>
    <row r="224">
      <c r="A224" s="1" t="s">
        <v>11</v>
      </c>
      <c r="B224" s="1" t="s">
        <v>12</v>
      </c>
      <c r="C224" s="1" t="s">
        <v>13</v>
      </c>
      <c r="D224" s="1">
        <v>172.0</v>
      </c>
      <c r="E224" s="1">
        <v>50.0</v>
      </c>
      <c r="F224" s="1">
        <v>2.0</v>
      </c>
      <c r="G224" s="1">
        <v>6.0</v>
      </c>
      <c r="H224" s="1" t="s">
        <v>14</v>
      </c>
      <c r="I224" s="2">
        <v>46018.0</v>
      </c>
      <c r="J224" s="1">
        <v>125000.0</v>
      </c>
      <c r="K224" s="2">
        <v>45992.0</v>
      </c>
      <c r="L224" s="3" t="str">
        <f t="shared" si="1"/>
        <v>OK</v>
      </c>
    </row>
    <row r="225">
      <c r="A225" s="1" t="s">
        <v>11</v>
      </c>
      <c r="B225" s="1" t="s">
        <v>12</v>
      </c>
      <c r="C225" s="1" t="s">
        <v>13</v>
      </c>
      <c r="D225" s="1">
        <v>250.0</v>
      </c>
      <c r="E225" s="1">
        <v>50.0</v>
      </c>
      <c r="F225" s="1">
        <v>1.0</v>
      </c>
      <c r="G225" s="1">
        <v>7.0</v>
      </c>
      <c r="H225" s="1" t="s">
        <v>14</v>
      </c>
      <c r="I225" s="2">
        <v>46050.0</v>
      </c>
      <c r="J225" s="1">
        <v>125000.0</v>
      </c>
      <c r="K225" s="2">
        <v>46023.0</v>
      </c>
      <c r="L225" s="3" t="str">
        <f t="shared" si="1"/>
        <v>OK</v>
      </c>
    </row>
    <row r="226">
      <c r="A226" s="1" t="s">
        <v>11</v>
      </c>
      <c r="B226" s="1" t="s">
        <v>12</v>
      </c>
      <c r="C226" s="1" t="s">
        <v>13</v>
      </c>
      <c r="D226" s="1">
        <v>185.0</v>
      </c>
      <c r="E226" s="1">
        <v>50.0</v>
      </c>
      <c r="F226" s="1">
        <v>2.0</v>
      </c>
      <c r="G226" s="1">
        <v>8.0</v>
      </c>
      <c r="H226" s="1" t="s">
        <v>14</v>
      </c>
      <c r="I226" s="2">
        <v>46078.0</v>
      </c>
      <c r="J226" s="1">
        <v>125000.0</v>
      </c>
      <c r="K226" s="2">
        <v>46054.0</v>
      </c>
      <c r="L226" s="3" t="str">
        <f t="shared" si="1"/>
        <v>OK</v>
      </c>
    </row>
    <row r="227">
      <c r="A227" s="1" t="s">
        <v>11</v>
      </c>
      <c r="B227" s="1" t="s">
        <v>12</v>
      </c>
      <c r="C227" s="1" t="s">
        <v>13</v>
      </c>
      <c r="D227" s="1">
        <v>217.0</v>
      </c>
      <c r="E227" s="1">
        <v>50.0</v>
      </c>
      <c r="F227" s="1">
        <v>3.0</v>
      </c>
      <c r="G227" s="1">
        <v>7.0</v>
      </c>
      <c r="H227" s="1" t="s">
        <v>14</v>
      </c>
      <c r="I227" s="2">
        <v>46111.0</v>
      </c>
      <c r="J227" s="1">
        <v>125000.0</v>
      </c>
      <c r="K227" s="2">
        <v>46082.0</v>
      </c>
      <c r="L227" s="3" t="str">
        <f t="shared" si="1"/>
        <v>OK</v>
      </c>
    </row>
    <row r="228">
      <c r="A228" s="1" t="s">
        <v>11</v>
      </c>
      <c r="B228" s="1" t="s">
        <v>12</v>
      </c>
      <c r="C228" s="1" t="s">
        <v>13</v>
      </c>
      <c r="D228" s="1">
        <v>139.0</v>
      </c>
      <c r="E228" s="1">
        <v>50.0</v>
      </c>
      <c r="F228" s="1">
        <v>1.0</v>
      </c>
      <c r="G228" s="1">
        <v>7.0</v>
      </c>
      <c r="H228" s="1" t="s">
        <v>14</v>
      </c>
      <c r="I228" s="2">
        <v>46317.0</v>
      </c>
      <c r="J228" s="1">
        <v>125000.0</v>
      </c>
      <c r="K228" s="2">
        <v>45839.0</v>
      </c>
      <c r="L228" s="3" t="str">
        <f t="shared" si="1"/>
        <v>OK</v>
      </c>
    </row>
    <row r="229">
      <c r="A229" s="1" t="s">
        <v>55</v>
      </c>
      <c r="B229" s="1" t="s">
        <v>56</v>
      </c>
      <c r="C229" s="1" t="s">
        <v>36</v>
      </c>
      <c r="D229" s="1">
        <v>35.0</v>
      </c>
      <c r="E229" s="1">
        <v>100.0</v>
      </c>
      <c r="F229" s="1">
        <v>14.0</v>
      </c>
      <c r="G229" s="1">
        <v>3.0</v>
      </c>
      <c r="H229" s="1" t="s">
        <v>37</v>
      </c>
      <c r="I229" s="2">
        <v>45685.0</v>
      </c>
      <c r="J229" s="1">
        <v>85000.0</v>
      </c>
      <c r="K229" s="2">
        <v>45658.0</v>
      </c>
      <c r="L229" s="3" t="str">
        <f t="shared" si="1"/>
        <v>STOCKOUT</v>
      </c>
    </row>
    <row r="230">
      <c r="A230" s="1" t="s">
        <v>55</v>
      </c>
      <c r="B230" s="1" t="s">
        <v>56</v>
      </c>
      <c r="C230" s="1" t="s">
        <v>36</v>
      </c>
      <c r="D230" s="1">
        <v>145.0</v>
      </c>
      <c r="E230" s="1">
        <v>100.0</v>
      </c>
      <c r="F230" s="1">
        <v>17.0</v>
      </c>
      <c r="G230" s="1">
        <v>4.0</v>
      </c>
      <c r="H230" s="1" t="s">
        <v>37</v>
      </c>
      <c r="I230" s="2">
        <v>45711.0</v>
      </c>
      <c r="J230" s="1">
        <v>85000.0</v>
      </c>
      <c r="K230" s="2">
        <v>45689.0</v>
      </c>
      <c r="L230" s="3" t="str">
        <f t="shared" si="1"/>
        <v>OK</v>
      </c>
    </row>
    <row r="231">
      <c r="A231" s="1" t="s">
        <v>55</v>
      </c>
      <c r="B231" s="1" t="s">
        <v>56</v>
      </c>
      <c r="C231" s="1" t="s">
        <v>36</v>
      </c>
      <c r="D231" s="1">
        <v>0.0</v>
      </c>
      <c r="E231" s="1">
        <v>100.0</v>
      </c>
      <c r="F231" s="1">
        <v>24.0</v>
      </c>
      <c r="G231" s="1">
        <v>4.0</v>
      </c>
      <c r="H231" s="1" t="s">
        <v>37</v>
      </c>
      <c r="I231" s="2">
        <v>45747.0</v>
      </c>
      <c r="J231" s="1">
        <v>85000.0</v>
      </c>
      <c r="K231" s="2">
        <v>45717.0</v>
      </c>
      <c r="L231" s="3" t="str">
        <f t="shared" si="1"/>
        <v>STOCKOUT</v>
      </c>
    </row>
    <row r="232">
      <c r="A232" s="1" t="s">
        <v>55</v>
      </c>
      <c r="B232" s="1" t="s">
        <v>56</v>
      </c>
      <c r="C232" s="1" t="s">
        <v>36</v>
      </c>
      <c r="D232" s="1">
        <v>125.0</v>
      </c>
      <c r="E232" s="1">
        <v>100.0</v>
      </c>
      <c r="F232" s="1">
        <v>14.0</v>
      </c>
      <c r="G232" s="1">
        <v>4.0</v>
      </c>
      <c r="H232" s="1" t="s">
        <v>37</v>
      </c>
      <c r="I232" s="2">
        <v>45775.0</v>
      </c>
      <c r="J232" s="1">
        <v>85000.0</v>
      </c>
      <c r="K232" s="2">
        <v>45748.0</v>
      </c>
      <c r="L232" s="3" t="str">
        <f t="shared" si="1"/>
        <v>OK</v>
      </c>
    </row>
    <row r="233">
      <c r="A233" s="1" t="s">
        <v>55</v>
      </c>
      <c r="B233" s="1" t="s">
        <v>56</v>
      </c>
      <c r="C233" s="1" t="s">
        <v>36</v>
      </c>
      <c r="D233" s="1">
        <v>26.0</v>
      </c>
      <c r="E233" s="1">
        <v>100.0</v>
      </c>
      <c r="F233" s="1">
        <v>16.0</v>
      </c>
      <c r="G233" s="1">
        <v>4.0</v>
      </c>
      <c r="H233" s="1" t="s">
        <v>37</v>
      </c>
      <c r="I233" s="2">
        <v>45778.0</v>
      </c>
      <c r="J233" s="1">
        <v>85000.0</v>
      </c>
      <c r="K233" s="2">
        <v>45778.0</v>
      </c>
      <c r="L233" s="3" t="str">
        <f t="shared" si="1"/>
        <v>STOCKOUT</v>
      </c>
    </row>
    <row r="234">
      <c r="A234" s="1" t="s">
        <v>55</v>
      </c>
      <c r="B234" s="1" t="s">
        <v>56</v>
      </c>
      <c r="C234" s="1" t="s">
        <v>36</v>
      </c>
      <c r="D234" s="1">
        <v>29.0</v>
      </c>
      <c r="E234" s="1">
        <v>100.0</v>
      </c>
      <c r="F234" s="1">
        <v>16.0</v>
      </c>
      <c r="G234" s="1">
        <v>5.0</v>
      </c>
      <c r="H234" s="1" t="s">
        <v>37</v>
      </c>
      <c r="I234" s="2">
        <v>45813.0</v>
      </c>
      <c r="J234" s="1">
        <v>85000.0</v>
      </c>
      <c r="K234" s="2">
        <v>45809.0</v>
      </c>
      <c r="L234" s="3" t="str">
        <f t="shared" si="1"/>
        <v>STOCKOUT</v>
      </c>
    </row>
    <row r="235">
      <c r="A235" s="1" t="s">
        <v>55</v>
      </c>
      <c r="B235" s="1" t="s">
        <v>56</v>
      </c>
      <c r="C235" s="1" t="s">
        <v>36</v>
      </c>
      <c r="D235" s="1">
        <v>36.0</v>
      </c>
      <c r="E235" s="1">
        <v>100.0</v>
      </c>
      <c r="F235" s="1">
        <v>16.0</v>
      </c>
      <c r="G235" s="1">
        <v>5.0</v>
      </c>
      <c r="H235" s="1" t="s">
        <v>37</v>
      </c>
      <c r="I235" s="2">
        <v>45851.0</v>
      </c>
      <c r="J235" s="1">
        <v>85000.0</v>
      </c>
      <c r="K235" s="2">
        <v>45839.0</v>
      </c>
      <c r="L235" s="3" t="str">
        <f t="shared" si="1"/>
        <v>STOCKOUT</v>
      </c>
    </row>
    <row r="236">
      <c r="A236" s="1" t="s">
        <v>55</v>
      </c>
      <c r="B236" s="1" t="s">
        <v>56</v>
      </c>
      <c r="C236" s="1" t="s">
        <v>36</v>
      </c>
      <c r="D236" s="1">
        <v>92.0</v>
      </c>
      <c r="E236" s="1">
        <v>100.0</v>
      </c>
      <c r="F236" s="1">
        <v>15.0</v>
      </c>
      <c r="G236" s="1">
        <v>5.0</v>
      </c>
      <c r="H236" s="1" t="s">
        <v>37</v>
      </c>
      <c r="I236" s="2">
        <v>45897.0</v>
      </c>
      <c r="J236" s="1">
        <v>85000.0</v>
      </c>
      <c r="K236" s="2">
        <v>45870.0</v>
      </c>
      <c r="L236" s="3" t="str">
        <f t="shared" si="1"/>
        <v>STOCKOUT</v>
      </c>
    </row>
    <row r="237">
      <c r="A237" s="1" t="s">
        <v>55</v>
      </c>
      <c r="B237" s="1" t="s">
        <v>56</v>
      </c>
      <c r="C237" s="1" t="s">
        <v>36</v>
      </c>
      <c r="D237" s="1">
        <v>60.0</v>
      </c>
      <c r="E237" s="1">
        <v>100.0</v>
      </c>
      <c r="F237" s="1">
        <v>12.0</v>
      </c>
      <c r="G237" s="1">
        <v>4.0</v>
      </c>
      <c r="H237" s="1" t="s">
        <v>37</v>
      </c>
      <c r="I237" s="2">
        <v>45928.0</v>
      </c>
      <c r="J237" s="1">
        <v>85000.0</v>
      </c>
      <c r="K237" s="2">
        <v>45901.0</v>
      </c>
      <c r="L237" s="3" t="str">
        <f t="shared" si="1"/>
        <v>STOCKOUT</v>
      </c>
    </row>
    <row r="238">
      <c r="A238" s="1" t="s">
        <v>55</v>
      </c>
      <c r="B238" s="1" t="s">
        <v>56</v>
      </c>
      <c r="C238" s="1" t="s">
        <v>36</v>
      </c>
      <c r="D238" s="1">
        <v>58.0</v>
      </c>
      <c r="E238" s="1">
        <v>100.0</v>
      </c>
      <c r="F238" s="1">
        <v>14.0</v>
      </c>
      <c r="G238" s="1">
        <v>3.0</v>
      </c>
      <c r="H238" s="1" t="s">
        <v>37</v>
      </c>
      <c r="I238" s="2">
        <v>45951.0</v>
      </c>
      <c r="J238" s="1">
        <v>85000.0</v>
      </c>
      <c r="K238" s="2">
        <v>45931.0</v>
      </c>
      <c r="L238" s="3" t="str">
        <f t="shared" si="1"/>
        <v>STOCKOUT</v>
      </c>
    </row>
    <row r="239">
      <c r="A239" s="1" t="s">
        <v>55</v>
      </c>
      <c r="B239" s="1" t="s">
        <v>56</v>
      </c>
      <c r="C239" s="1" t="s">
        <v>36</v>
      </c>
      <c r="D239" s="1">
        <v>19.0</v>
      </c>
      <c r="E239" s="1">
        <v>100.0</v>
      </c>
      <c r="F239" s="1">
        <v>16.0</v>
      </c>
      <c r="G239" s="1">
        <v>4.0</v>
      </c>
      <c r="H239" s="1" t="s">
        <v>37</v>
      </c>
      <c r="I239" s="2">
        <v>45965.0</v>
      </c>
      <c r="J239" s="1">
        <v>85000.0</v>
      </c>
      <c r="K239" s="2">
        <v>45962.0</v>
      </c>
      <c r="L239" s="3" t="str">
        <f t="shared" si="1"/>
        <v>STOCKOUT</v>
      </c>
    </row>
    <row r="240">
      <c r="A240" s="1" t="s">
        <v>55</v>
      </c>
      <c r="B240" s="1" t="s">
        <v>56</v>
      </c>
      <c r="C240" s="1" t="s">
        <v>36</v>
      </c>
      <c r="D240" s="1">
        <v>57.0</v>
      </c>
      <c r="E240" s="1">
        <v>100.0</v>
      </c>
      <c r="F240" s="1">
        <v>15.0</v>
      </c>
      <c r="G240" s="1">
        <v>4.0</v>
      </c>
      <c r="H240" s="1" t="s">
        <v>37</v>
      </c>
      <c r="I240" s="2">
        <v>46034.0</v>
      </c>
      <c r="J240" s="1">
        <v>85000.0</v>
      </c>
      <c r="K240" s="2">
        <v>46023.0</v>
      </c>
      <c r="L240" s="3" t="str">
        <f t="shared" si="1"/>
        <v>STOCKOUT</v>
      </c>
    </row>
    <row r="241">
      <c r="A241" s="1" t="s">
        <v>55</v>
      </c>
      <c r="B241" s="1" t="s">
        <v>56</v>
      </c>
      <c r="C241" s="1" t="s">
        <v>36</v>
      </c>
      <c r="D241" s="1">
        <v>28.0</v>
      </c>
      <c r="E241" s="1">
        <v>100.0</v>
      </c>
      <c r="F241" s="1">
        <v>17.0</v>
      </c>
      <c r="G241" s="1">
        <v>3.0</v>
      </c>
      <c r="H241" s="1" t="s">
        <v>37</v>
      </c>
      <c r="I241" s="2">
        <v>46070.0</v>
      </c>
      <c r="J241" s="1">
        <v>85000.0</v>
      </c>
      <c r="K241" s="2">
        <v>46054.0</v>
      </c>
      <c r="L241" s="3" t="str">
        <f t="shared" si="1"/>
        <v>STOCKOUT</v>
      </c>
    </row>
    <row r="242">
      <c r="A242" s="1" t="s">
        <v>55</v>
      </c>
      <c r="B242" s="1" t="s">
        <v>56</v>
      </c>
      <c r="C242" s="1" t="s">
        <v>36</v>
      </c>
      <c r="D242" s="1">
        <v>60.0</v>
      </c>
      <c r="E242" s="1">
        <v>100.0</v>
      </c>
      <c r="F242" s="1">
        <v>22.0</v>
      </c>
      <c r="G242" s="1">
        <v>5.0</v>
      </c>
      <c r="H242" s="1" t="s">
        <v>37</v>
      </c>
      <c r="I242" s="2">
        <v>46109.0</v>
      </c>
      <c r="J242" s="1">
        <v>85000.0</v>
      </c>
      <c r="K242" s="2">
        <v>46082.0</v>
      </c>
      <c r="L242" s="3" t="str">
        <f t="shared" si="1"/>
        <v>STOCKOUT</v>
      </c>
    </row>
    <row r="243">
      <c r="A243" s="1" t="s">
        <v>34</v>
      </c>
      <c r="B243" s="1" t="s">
        <v>35</v>
      </c>
      <c r="C243" s="1" t="s">
        <v>36</v>
      </c>
      <c r="D243" s="1">
        <v>40.0</v>
      </c>
      <c r="E243" s="1">
        <v>80.0</v>
      </c>
      <c r="F243" s="1">
        <v>12.0</v>
      </c>
      <c r="G243" s="1">
        <v>3.0</v>
      </c>
      <c r="H243" s="1" t="s">
        <v>37</v>
      </c>
      <c r="I243" s="2">
        <v>45673.0</v>
      </c>
      <c r="J243" s="1">
        <v>65000.0</v>
      </c>
      <c r="K243" s="2">
        <v>45658.0</v>
      </c>
      <c r="L243" s="3" t="str">
        <f t="shared" si="1"/>
        <v>STOCKOUT</v>
      </c>
    </row>
    <row r="244">
      <c r="A244" s="1" t="s">
        <v>34</v>
      </c>
      <c r="B244" s="1" t="s">
        <v>35</v>
      </c>
      <c r="C244" s="1" t="s">
        <v>36</v>
      </c>
      <c r="D244" s="1">
        <v>33.0</v>
      </c>
      <c r="E244" s="1">
        <v>80.0</v>
      </c>
      <c r="F244" s="1">
        <v>13.0</v>
      </c>
      <c r="G244" s="1">
        <v>4.0</v>
      </c>
      <c r="H244" s="1" t="s">
        <v>37</v>
      </c>
      <c r="I244" s="2">
        <v>45697.0</v>
      </c>
      <c r="J244" s="1">
        <v>65000.0</v>
      </c>
      <c r="K244" s="2">
        <v>45689.0</v>
      </c>
      <c r="L244" s="3" t="str">
        <f t="shared" si="1"/>
        <v>STOCKOUT</v>
      </c>
    </row>
    <row r="245">
      <c r="A245" s="1" t="s">
        <v>34</v>
      </c>
      <c r="B245" s="1" t="s">
        <v>35</v>
      </c>
      <c r="C245" s="1" t="s">
        <v>36</v>
      </c>
      <c r="D245" s="1">
        <v>0.0</v>
      </c>
      <c r="E245" s="1">
        <v>80.0</v>
      </c>
      <c r="F245" s="1">
        <v>18.0</v>
      </c>
      <c r="G245" s="1">
        <v>4.0</v>
      </c>
      <c r="H245" s="1" t="s">
        <v>37</v>
      </c>
      <c r="I245" s="2">
        <v>45745.0</v>
      </c>
      <c r="J245" s="1">
        <v>65000.0</v>
      </c>
      <c r="K245" s="2">
        <v>45717.0</v>
      </c>
      <c r="L245" s="3" t="str">
        <f t="shared" si="1"/>
        <v>STOCKOUT</v>
      </c>
    </row>
    <row r="246">
      <c r="A246" s="1" t="s">
        <v>34</v>
      </c>
      <c r="B246" s="1" t="s">
        <v>35</v>
      </c>
      <c r="C246" s="1" t="s">
        <v>36</v>
      </c>
      <c r="D246" s="1">
        <v>35.0</v>
      </c>
      <c r="E246" s="1">
        <v>80.0</v>
      </c>
      <c r="F246" s="1">
        <v>13.0</v>
      </c>
      <c r="G246" s="1">
        <v>4.0</v>
      </c>
      <c r="H246" s="1" t="s">
        <v>37</v>
      </c>
      <c r="I246" s="2">
        <v>45800.0</v>
      </c>
      <c r="J246" s="1">
        <v>65000.0</v>
      </c>
      <c r="K246" s="2">
        <v>45778.0</v>
      </c>
      <c r="L246" s="3" t="str">
        <f t="shared" si="1"/>
        <v>STOCKOUT</v>
      </c>
    </row>
    <row r="247">
      <c r="A247" s="1" t="s">
        <v>34</v>
      </c>
      <c r="B247" s="1" t="s">
        <v>35</v>
      </c>
      <c r="C247" s="1" t="s">
        <v>36</v>
      </c>
      <c r="D247" s="1">
        <v>28.0</v>
      </c>
      <c r="E247" s="1">
        <v>80.0</v>
      </c>
      <c r="F247" s="1">
        <v>11.0</v>
      </c>
      <c r="G247" s="1">
        <v>4.0</v>
      </c>
      <c r="H247" s="1" t="s">
        <v>37</v>
      </c>
      <c r="I247" s="2">
        <v>45812.0</v>
      </c>
      <c r="J247" s="1">
        <v>65000.0</v>
      </c>
      <c r="K247" s="2">
        <v>45809.0</v>
      </c>
      <c r="L247" s="3" t="str">
        <f t="shared" si="1"/>
        <v>STOCKOUT</v>
      </c>
    </row>
    <row r="248">
      <c r="A248" s="1" t="s">
        <v>34</v>
      </c>
      <c r="B248" s="1" t="s">
        <v>35</v>
      </c>
      <c r="C248" s="1" t="s">
        <v>36</v>
      </c>
      <c r="D248" s="1">
        <v>31.0</v>
      </c>
      <c r="E248" s="1">
        <v>80.0</v>
      </c>
      <c r="F248" s="1">
        <v>13.0</v>
      </c>
      <c r="G248" s="1">
        <v>4.0</v>
      </c>
      <c r="H248" s="1" t="s">
        <v>37</v>
      </c>
      <c r="I248" s="2">
        <v>45857.0</v>
      </c>
      <c r="J248" s="1">
        <v>65000.0</v>
      </c>
      <c r="K248" s="2">
        <v>45839.0</v>
      </c>
      <c r="L248" s="3" t="str">
        <f t="shared" si="1"/>
        <v>STOCKOUT</v>
      </c>
    </row>
    <row r="249">
      <c r="A249" s="1" t="s">
        <v>34</v>
      </c>
      <c r="B249" s="1" t="s">
        <v>35</v>
      </c>
      <c r="C249" s="1" t="s">
        <v>36</v>
      </c>
      <c r="D249" s="1">
        <v>17.0</v>
      </c>
      <c r="E249" s="1">
        <v>80.0</v>
      </c>
      <c r="F249" s="1">
        <v>11.0</v>
      </c>
      <c r="G249" s="1">
        <v>5.0</v>
      </c>
      <c r="H249" s="1" t="s">
        <v>37</v>
      </c>
      <c r="I249" s="2">
        <v>45882.0</v>
      </c>
      <c r="J249" s="1">
        <v>65000.0</v>
      </c>
      <c r="K249" s="2">
        <v>45870.0</v>
      </c>
      <c r="L249" s="3" t="str">
        <f t="shared" si="1"/>
        <v>STOCKOUT</v>
      </c>
    </row>
    <row r="250">
      <c r="A250" s="1" t="s">
        <v>34</v>
      </c>
      <c r="B250" s="1" t="s">
        <v>35</v>
      </c>
      <c r="C250" s="1" t="s">
        <v>36</v>
      </c>
      <c r="D250" s="1">
        <v>46.0</v>
      </c>
      <c r="E250" s="1">
        <v>80.0</v>
      </c>
      <c r="F250" s="1">
        <v>13.0</v>
      </c>
      <c r="G250" s="1">
        <v>5.0</v>
      </c>
      <c r="H250" s="1" t="s">
        <v>37</v>
      </c>
      <c r="I250" s="2">
        <v>45924.0</v>
      </c>
      <c r="J250" s="1">
        <v>65000.0</v>
      </c>
      <c r="K250" s="2">
        <v>45901.0</v>
      </c>
      <c r="L250" s="3" t="str">
        <f t="shared" si="1"/>
        <v>STOCKOUT</v>
      </c>
    </row>
    <row r="251">
      <c r="A251" s="1" t="s">
        <v>34</v>
      </c>
      <c r="B251" s="1" t="s">
        <v>35</v>
      </c>
      <c r="C251" s="1" t="s">
        <v>36</v>
      </c>
      <c r="D251" s="1">
        <v>34.0</v>
      </c>
      <c r="E251" s="1">
        <v>80.0</v>
      </c>
      <c r="F251" s="1">
        <v>9.0</v>
      </c>
      <c r="G251" s="1">
        <v>3.0</v>
      </c>
      <c r="H251" s="1" t="s">
        <v>37</v>
      </c>
      <c r="I251" s="2">
        <v>45950.0</v>
      </c>
      <c r="J251" s="1">
        <v>65000.0</v>
      </c>
      <c r="K251" s="2">
        <v>45931.0</v>
      </c>
      <c r="L251" s="3" t="str">
        <f t="shared" si="1"/>
        <v>STOCKOUT</v>
      </c>
    </row>
    <row r="252">
      <c r="A252" s="1" t="s">
        <v>34</v>
      </c>
      <c r="B252" s="1" t="s">
        <v>35</v>
      </c>
      <c r="C252" s="1" t="s">
        <v>36</v>
      </c>
      <c r="D252" s="1">
        <v>64.0</v>
      </c>
      <c r="E252" s="1">
        <v>80.0</v>
      </c>
      <c r="F252" s="1">
        <v>13.0</v>
      </c>
      <c r="G252" s="1">
        <v>5.0</v>
      </c>
      <c r="H252" s="1" t="s">
        <v>37</v>
      </c>
      <c r="I252" s="2">
        <v>45970.0</v>
      </c>
      <c r="J252" s="1">
        <v>65000.0</v>
      </c>
      <c r="K252" s="2">
        <v>45962.0</v>
      </c>
      <c r="L252" s="3" t="str">
        <f t="shared" si="1"/>
        <v>STOCKOUT</v>
      </c>
    </row>
    <row r="253">
      <c r="A253" s="1" t="s">
        <v>34</v>
      </c>
      <c r="B253" s="1" t="s">
        <v>35</v>
      </c>
      <c r="C253" s="1" t="s">
        <v>36</v>
      </c>
      <c r="D253" s="1">
        <v>0.0</v>
      </c>
      <c r="E253" s="1">
        <v>80.0</v>
      </c>
      <c r="F253" s="1">
        <v>17.0</v>
      </c>
      <c r="G253" s="1">
        <v>5.0</v>
      </c>
      <c r="H253" s="1" t="s">
        <v>37</v>
      </c>
      <c r="I253" s="2">
        <v>46012.0</v>
      </c>
      <c r="J253" s="1">
        <v>65000.0</v>
      </c>
      <c r="K253" s="2">
        <v>45992.0</v>
      </c>
      <c r="L253" s="3" t="str">
        <f t="shared" si="1"/>
        <v>STOCKOUT</v>
      </c>
    </row>
    <row r="254">
      <c r="A254" s="1" t="s">
        <v>34</v>
      </c>
      <c r="B254" s="1" t="s">
        <v>35</v>
      </c>
      <c r="C254" s="1" t="s">
        <v>36</v>
      </c>
      <c r="D254" s="1">
        <v>18.0</v>
      </c>
      <c r="E254" s="1">
        <v>80.0</v>
      </c>
      <c r="F254" s="1">
        <v>10.0</v>
      </c>
      <c r="G254" s="1">
        <v>4.0</v>
      </c>
      <c r="H254" s="1" t="s">
        <v>37</v>
      </c>
      <c r="I254" s="2">
        <v>46024.0</v>
      </c>
      <c r="J254" s="1">
        <v>65000.0</v>
      </c>
      <c r="K254" s="2">
        <v>46023.0</v>
      </c>
      <c r="L254" s="3" t="str">
        <f t="shared" si="1"/>
        <v>STOCKOUT</v>
      </c>
    </row>
    <row r="255">
      <c r="A255" s="1" t="s">
        <v>34</v>
      </c>
      <c r="B255" s="1" t="s">
        <v>35</v>
      </c>
      <c r="C255" s="1" t="s">
        <v>36</v>
      </c>
      <c r="D255" s="1">
        <v>9.0</v>
      </c>
      <c r="E255" s="1">
        <v>80.0</v>
      </c>
      <c r="F255" s="1">
        <v>11.0</v>
      </c>
      <c r="G255" s="1">
        <v>4.0</v>
      </c>
      <c r="H255" s="1" t="s">
        <v>37</v>
      </c>
      <c r="I255" s="2">
        <v>46077.0</v>
      </c>
      <c r="J255" s="1">
        <v>65000.0</v>
      </c>
      <c r="K255" s="2">
        <v>46054.0</v>
      </c>
      <c r="L255" s="3" t="str">
        <f t="shared" si="1"/>
        <v>STOCKOUT</v>
      </c>
    </row>
    <row r="256">
      <c r="A256" s="1" t="s">
        <v>34</v>
      </c>
      <c r="B256" s="1" t="s">
        <v>35</v>
      </c>
      <c r="C256" s="1" t="s">
        <v>36</v>
      </c>
      <c r="D256" s="1">
        <v>56.0</v>
      </c>
      <c r="E256" s="1">
        <v>80.0</v>
      </c>
      <c r="F256" s="1">
        <v>18.0</v>
      </c>
      <c r="G256" s="1">
        <v>5.0</v>
      </c>
      <c r="H256" s="1" t="s">
        <v>37</v>
      </c>
      <c r="I256" s="2">
        <v>46110.0</v>
      </c>
      <c r="J256" s="1">
        <v>65000.0</v>
      </c>
      <c r="K256" s="2">
        <v>46082.0</v>
      </c>
      <c r="L256" s="3" t="str">
        <f t="shared" si="1"/>
        <v>STOCKOUT</v>
      </c>
    </row>
    <row r="257">
      <c r="A257" s="1" t="s">
        <v>51</v>
      </c>
      <c r="B257" s="1" t="s">
        <v>52</v>
      </c>
      <c r="C257" s="1" t="s">
        <v>36</v>
      </c>
      <c r="D257" s="1">
        <v>20.0</v>
      </c>
      <c r="E257" s="1">
        <v>60.0</v>
      </c>
      <c r="F257" s="1">
        <v>9.0</v>
      </c>
      <c r="G257" s="1">
        <v>5.0</v>
      </c>
      <c r="H257" s="1" t="s">
        <v>50</v>
      </c>
      <c r="I257" s="2">
        <v>45687.0</v>
      </c>
      <c r="J257" s="1">
        <v>175000.0</v>
      </c>
      <c r="K257" s="2">
        <v>45658.0</v>
      </c>
      <c r="L257" s="3" t="str">
        <f t="shared" si="1"/>
        <v>STOCKOUT</v>
      </c>
    </row>
    <row r="258">
      <c r="A258" s="1" t="s">
        <v>51</v>
      </c>
      <c r="B258" s="1" t="s">
        <v>52</v>
      </c>
      <c r="C258" s="1" t="s">
        <v>36</v>
      </c>
      <c r="D258" s="1">
        <v>0.0</v>
      </c>
      <c r="E258" s="1">
        <v>60.0</v>
      </c>
      <c r="F258" s="1">
        <v>14.0</v>
      </c>
      <c r="G258" s="1">
        <v>4.0</v>
      </c>
      <c r="H258" s="1" t="s">
        <v>50</v>
      </c>
      <c r="I258" s="2">
        <v>45741.0</v>
      </c>
      <c r="J258" s="1">
        <v>175000.0</v>
      </c>
      <c r="K258" s="2">
        <v>45717.0</v>
      </c>
      <c r="L258" s="3" t="str">
        <f t="shared" si="1"/>
        <v>STOCKOUT</v>
      </c>
    </row>
    <row r="259">
      <c r="A259" s="1" t="s">
        <v>51</v>
      </c>
      <c r="B259" s="1" t="s">
        <v>52</v>
      </c>
      <c r="C259" s="1" t="s">
        <v>36</v>
      </c>
      <c r="D259" s="1">
        <v>19.0</v>
      </c>
      <c r="E259" s="1">
        <v>60.0</v>
      </c>
      <c r="F259" s="1">
        <v>6.0</v>
      </c>
      <c r="G259" s="1">
        <v>6.0</v>
      </c>
      <c r="H259" s="1" t="s">
        <v>50</v>
      </c>
      <c r="I259" s="2">
        <v>45775.0</v>
      </c>
      <c r="J259" s="1">
        <v>175000.0</v>
      </c>
      <c r="K259" s="2">
        <v>45748.0</v>
      </c>
      <c r="L259" s="3" t="str">
        <f t="shared" si="1"/>
        <v>STOCKOUT</v>
      </c>
    </row>
    <row r="260">
      <c r="A260" s="1" t="s">
        <v>51</v>
      </c>
      <c r="B260" s="1" t="s">
        <v>52</v>
      </c>
      <c r="C260" s="1" t="s">
        <v>36</v>
      </c>
      <c r="D260" s="1">
        <v>37.0</v>
      </c>
      <c r="E260" s="1">
        <v>60.0</v>
      </c>
      <c r="F260" s="1">
        <v>8.0</v>
      </c>
      <c r="G260" s="1">
        <v>5.0</v>
      </c>
      <c r="H260" s="1" t="s">
        <v>50</v>
      </c>
      <c r="I260" s="2">
        <v>45795.0</v>
      </c>
      <c r="J260" s="1">
        <v>175000.0</v>
      </c>
      <c r="K260" s="2">
        <v>45778.0</v>
      </c>
      <c r="L260" s="3" t="str">
        <f t="shared" si="1"/>
        <v>STOCKOUT</v>
      </c>
    </row>
    <row r="261">
      <c r="A261" s="1" t="s">
        <v>51</v>
      </c>
      <c r="B261" s="1" t="s">
        <v>52</v>
      </c>
      <c r="C261" s="1" t="s">
        <v>36</v>
      </c>
      <c r="D261" s="1">
        <v>15.0</v>
      </c>
      <c r="E261" s="1">
        <v>60.0</v>
      </c>
      <c r="F261" s="1">
        <v>7.0</v>
      </c>
      <c r="G261" s="1">
        <v>5.0</v>
      </c>
      <c r="H261" s="1" t="s">
        <v>50</v>
      </c>
      <c r="I261" s="2">
        <v>45827.0</v>
      </c>
      <c r="J261" s="1">
        <v>175000.0</v>
      </c>
      <c r="K261" s="2">
        <v>45809.0</v>
      </c>
      <c r="L261" s="3" t="str">
        <f t="shared" si="1"/>
        <v>STOCKOUT</v>
      </c>
    </row>
    <row r="262">
      <c r="A262" s="1" t="s">
        <v>51</v>
      </c>
      <c r="B262" s="1" t="s">
        <v>52</v>
      </c>
      <c r="C262" s="1" t="s">
        <v>36</v>
      </c>
      <c r="D262" s="1">
        <v>44.0</v>
      </c>
      <c r="E262" s="1">
        <v>60.0</v>
      </c>
      <c r="F262" s="1">
        <v>6.0</v>
      </c>
      <c r="G262" s="1">
        <v>6.0</v>
      </c>
      <c r="H262" s="1" t="s">
        <v>50</v>
      </c>
      <c r="I262" s="2">
        <v>45839.0</v>
      </c>
      <c r="J262" s="1">
        <v>175000.0</v>
      </c>
      <c r="K262" s="2">
        <v>45839.0</v>
      </c>
      <c r="L262" s="3" t="str">
        <f t="shared" si="1"/>
        <v>STOCKOUT</v>
      </c>
    </row>
    <row r="263">
      <c r="A263" s="1" t="s">
        <v>51</v>
      </c>
      <c r="B263" s="1" t="s">
        <v>52</v>
      </c>
      <c r="C263" s="1" t="s">
        <v>36</v>
      </c>
      <c r="D263" s="1">
        <v>31.0</v>
      </c>
      <c r="E263" s="1">
        <v>60.0</v>
      </c>
      <c r="F263" s="1">
        <v>8.0</v>
      </c>
      <c r="G263" s="1">
        <v>7.0</v>
      </c>
      <c r="H263" s="1" t="s">
        <v>50</v>
      </c>
      <c r="I263" s="2">
        <v>45880.0</v>
      </c>
      <c r="J263" s="1">
        <v>175000.0</v>
      </c>
      <c r="K263" s="2">
        <v>45870.0</v>
      </c>
      <c r="L263" s="3" t="str">
        <f t="shared" si="1"/>
        <v>STOCKOUT</v>
      </c>
    </row>
    <row r="264">
      <c r="A264" s="1" t="s">
        <v>51</v>
      </c>
      <c r="B264" s="1" t="s">
        <v>52</v>
      </c>
      <c r="C264" s="1" t="s">
        <v>36</v>
      </c>
      <c r="D264" s="1">
        <v>14.0</v>
      </c>
      <c r="E264" s="1">
        <v>60.0</v>
      </c>
      <c r="F264" s="1">
        <v>8.0</v>
      </c>
      <c r="G264" s="1">
        <v>6.0</v>
      </c>
      <c r="H264" s="1" t="s">
        <v>50</v>
      </c>
      <c r="I264" s="2">
        <v>45930.0</v>
      </c>
      <c r="J264" s="1">
        <v>175000.0</v>
      </c>
      <c r="K264" s="2">
        <v>45901.0</v>
      </c>
      <c r="L264" s="3" t="str">
        <f t="shared" si="1"/>
        <v>STOCKOUT</v>
      </c>
    </row>
    <row r="265">
      <c r="A265" s="1" t="s">
        <v>51</v>
      </c>
      <c r="B265" s="1" t="s">
        <v>52</v>
      </c>
      <c r="C265" s="1" t="s">
        <v>36</v>
      </c>
      <c r="D265" s="1">
        <v>34.0</v>
      </c>
      <c r="E265" s="1">
        <v>60.0</v>
      </c>
      <c r="F265" s="1">
        <v>7.0</v>
      </c>
      <c r="G265" s="1">
        <v>6.0</v>
      </c>
      <c r="H265" s="1" t="s">
        <v>50</v>
      </c>
      <c r="I265" s="2">
        <v>45934.0</v>
      </c>
      <c r="J265" s="1">
        <v>175000.0</v>
      </c>
      <c r="K265" s="2">
        <v>45931.0</v>
      </c>
      <c r="L265" s="3" t="str">
        <f t="shared" si="1"/>
        <v>STOCKOUT</v>
      </c>
    </row>
    <row r="266">
      <c r="A266" s="1" t="s">
        <v>51</v>
      </c>
      <c r="B266" s="1" t="s">
        <v>52</v>
      </c>
      <c r="C266" s="1" t="s">
        <v>36</v>
      </c>
      <c r="D266" s="1">
        <v>0.0</v>
      </c>
      <c r="E266" s="1">
        <v>60.0</v>
      </c>
      <c r="F266" s="1">
        <v>13.0</v>
      </c>
      <c r="G266" s="1">
        <v>4.0</v>
      </c>
      <c r="H266" s="1" t="s">
        <v>50</v>
      </c>
      <c r="I266" s="2">
        <v>46004.0</v>
      </c>
      <c r="J266" s="1">
        <v>175000.0</v>
      </c>
      <c r="K266" s="2">
        <v>45992.0</v>
      </c>
      <c r="L266" s="3" t="str">
        <f t="shared" si="1"/>
        <v>STOCKOUT</v>
      </c>
    </row>
    <row r="267">
      <c r="A267" s="1" t="s">
        <v>51</v>
      </c>
      <c r="B267" s="1" t="s">
        <v>52</v>
      </c>
      <c r="C267" s="1" t="s">
        <v>36</v>
      </c>
      <c r="D267" s="1">
        <v>21.0</v>
      </c>
      <c r="E267" s="1">
        <v>60.0</v>
      </c>
      <c r="F267" s="1">
        <v>9.0</v>
      </c>
      <c r="G267" s="1">
        <v>4.0</v>
      </c>
      <c r="H267" s="1" t="s">
        <v>50</v>
      </c>
      <c r="I267" s="2">
        <v>46067.0</v>
      </c>
      <c r="J267" s="1">
        <v>175000.0</v>
      </c>
      <c r="K267" s="2">
        <v>46054.0</v>
      </c>
      <c r="L267" s="3" t="str">
        <f t="shared" si="1"/>
        <v>STOCKOUT</v>
      </c>
    </row>
    <row r="268">
      <c r="A268" s="1" t="s">
        <v>51</v>
      </c>
      <c r="B268" s="1" t="s">
        <v>52</v>
      </c>
      <c r="C268" s="1" t="s">
        <v>36</v>
      </c>
      <c r="D268" s="1">
        <v>0.0</v>
      </c>
      <c r="E268" s="1">
        <v>60.0</v>
      </c>
      <c r="F268" s="1">
        <v>11.0</v>
      </c>
      <c r="G268" s="1">
        <v>5.0</v>
      </c>
      <c r="H268" s="1" t="s">
        <v>50</v>
      </c>
      <c r="I268" s="2">
        <v>46083.0</v>
      </c>
      <c r="J268" s="1">
        <v>175000.0</v>
      </c>
      <c r="K268" s="2">
        <v>46082.0</v>
      </c>
      <c r="L268" s="3" t="str">
        <f t="shared" si="1"/>
        <v>STOCKOUT</v>
      </c>
    </row>
    <row r="269">
      <c r="A269" s="1" t="s">
        <v>51</v>
      </c>
      <c r="B269" s="1" t="s">
        <v>52</v>
      </c>
      <c r="C269" s="1" t="s">
        <v>36</v>
      </c>
      <c r="D269" s="1">
        <v>35.0</v>
      </c>
      <c r="E269" s="1">
        <v>60.0</v>
      </c>
      <c r="F269" s="1">
        <v>6.0</v>
      </c>
      <c r="G269" s="1">
        <v>7.0</v>
      </c>
      <c r="H269" s="1" t="s">
        <v>50</v>
      </c>
      <c r="I269" s="2">
        <v>46221.0</v>
      </c>
      <c r="J269" s="1">
        <v>175000.0</v>
      </c>
      <c r="K269" s="2">
        <v>46023.0</v>
      </c>
      <c r="L269" s="3" t="str">
        <f t="shared" si="1"/>
        <v>STOCKOUT</v>
      </c>
    </row>
    <row r="270">
      <c r="A270" s="1" t="s">
        <v>48</v>
      </c>
      <c r="B270" s="1" t="s">
        <v>49</v>
      </c>
      <c r="C270" s="1" t="s">
        <v>36</v>
      </c>
      <c r="D270" s="1">
        <v>68.0</v>
      </c>
      <c r="E270" s="1">
        <v>120.0</v>
      </c>
      <c r="F270" s="1">
        <v>16.0</v>
      </c>
      <c r="G270" s="1">
        <v>6.0</v>
      </c>
      <c r="H270" s="1" t="s">
        <v>50</v>
      </c>
      <c r="I270" s="2">
        <v>45672.0</v>
      </c>
      <c r="J270" s="1">
        <v>55000.0</v>
      </c>
      <c r="K270" s="2">
        <v>45658.0</v>
      </c>
      <c r="L270" s="3" t="str">
        <f t="shared" si="1"/>
        <v>STOCKOUT</v>
      </c>
    </row>
    <row r="271">
      <c r="A271" s="1" t="s">
        <v>48</v>
      </c>
      <c r="B271" s="1" t="s">
        <v>49</v>
      </c>
      <c r="C271" s="1" t="s">
        <v>36</v>
      </c>
      <c r="D271" s="1">
        <v>12.0</v>
      </c>
      <c r="E271" s="1">
        <v>120.0</v>
      </c>
      <c r="F271" s="1">
        <v>21.0</v>
      </c>
      <c r="G271" s="1">
        <v>5.0</v>
      </c>
      <c r="H271" s="1" t="s">
        <v>50</v>
      </c>
      <c r="I271" s="2">
        <v>45706.0</v>
      </c>
      <c r="J271" s="1">
        <v>55000.0</v>
      </c>
      <c r="K271" s="2">
        <v>45689.0</v>
      </c>
      <c r="L271" s="3" t="str">
        <f t="shared" si="1"/>
        <v>STOCKOUT</v>
      </c>
    </row>
    <row r="272">
      <c r="A272" s="1" t="s">
        <v>48</v>
      </c>
      <c r="B272" s="1" t="s">
        <v>49</v>
      </c>
      <c r="C272" s="1" t="s">
        <v>36</v>
      </c>
      <c r="D272" s="1">
        <v>0.0</v>
      </c>
      <c r="E272" s="1">
        <v>120.0</v>
      </c>
      <c r="F272" s="1">
        <v>28.0</v>
      </c>
      <c r="G272" s="1">
        <v>6.0</v>
      </c>
      <c r="H272" s="1" t="s">
        <v>50</v>
      </c>
      <c r="I272" s="2">
        <v>45725.0</v>
      </c>
      <c r="J272" s="1">
        <v>55000.0</v>
      </c>
      <c r="K272" s="2">
        <v>45717.0</v>
      </c>
      <c r="L272" s="3" t="str">
        <f t="shared" si="1"/>
        <v>STOCKOUT</v>
      </c>
    </row>
    <row r="273">
      <c r="A273" s="1" t="s">
        <v>48</v>
      </c>
      <c r="B273" s="1" t="s">
        <v>49</v>
      </c>
      <c r="C273" s="1" t="s">
        <v>36</v>
      </c>
      <c r="D273" s="1">
        <v>87.0</v>
      </c>
      <c r="E273" s="1">
        <v>120.0</v>
      </c>
      <c r="F273" s="1">
        <v>18.0</v>
      </c>
      <c r="G273" s="1">
        <v>7.0</v>
      </c>
      <c r="H273" s="1" t="s">
        <v>50</v>
      </c>
      <c r="I273" s="2">
        <v>45748.0</v>
      </c>
      <c r="J273" s="1">
        <v>55000.0</v>
      </c>
      <c r="K273" s="2">
        <v>45748.0</v>
      </c>
      <c r="L273" s="3" t="str">
        <f t="shared" si="1"/>
        <v>STOCKOUT</v>
      </c>
    </row>
    <row r="274">
      <c r="A274" s="1" t="s">
        <v>48</v>
      </c>
      <c r="B274" s="1" t="s">
        <v>49</v>
      </c>
      <c r="C274" s="1" t="s">
        <v>36</v>
      </c>
      <c r="D274" s="1">
        <v>27.0</v>
      </c>
      <c r="E274" s="1">
        <v>120.0</v>
      </c>
      <c r="F274" s="1">
        <v>18.0</v>
      </c>
      <c r="G274" s="1">
        <v>4.0</v>
      </c>
      <c r="H274" s="1" t="s">
        <v>50</v>
      </c>
      <c r="I274" s="2">
        <v>45782.0</v>
      </c>
      <c r="J274" s="1">
        <v>55000.0</v>
      </c>
      <c r="K274" s="2">
        <v>45778.0</v>
      </c>
      <c r="L274" s="3" t="str">
        <f t="shared" si="1"/>
        <v>STOCKOUT</v>
      </c>
    </row>
    <row r="275">
      <c r="A275" s="1" t="s">
        <v>48</v>
      </c>
      <c r="B275" s="1" t="s">
        <v>49</v>
      </c>
      <c r="C275" s="1" t="s">
        <v>36</v>
      </c>
      <c r="D275" s="1">
        <v>72.0</v>
      </c>
      <c r="E275" s="1">
        <v>120.0</v>
      </c>
      <c r="F275" s="1">
        <v>18.0</v>
      </c>
      <c r="G275" s="1">
        <v>7.0</v>
      </c>
      <c r="H275" s="1" t="s">
        <v>50</v>
      </c>
      <c r="I275" s="2">
        <v>45815.0</v>
      </c>
      <c r="J275" s="1">
        <v>55000.0</v>
      </c>
      <c r="K275" s="2">
        <v>45809.0</v>
      </c>
      <c r="L275" s="3" t="str">
        <f t="shared" si="1"/>
        <v>STOCKOUT</v>
      </c>
    </row>
    <row r="276">
      <c r="A276" s="1" t="s">
        <v>48</v>
      </c>
      <c r="B276" s="1" t="s">
        <v>49</v>
      </c>
      <c r="C276" s="1" t="s">
        <v>36</v>
      </c>
      <c r="D276" s="1">
        <v>38.0</v>
      </c>
      <c r="E276" s="1">
        <v>120.0</v>
      </c>
      <c r="F276" s="1">
        <v>17.0</v>
      </c>
      <c r="G276" s="1">
        <v>4.0</v>
      </c>
      <c r="H276" s="1" t="s">
        <v>50</v>
      </c>
      <c r="I276" s="2">
        <v>45864.0</v>
      </c>
      <c r="J276" s="1">
        <v>55000.0</v>
      </c>
      <c r="K276" s="2">
        <v>45839.0</v>
      </c>
      <c r="L276" s="3" t="str">
        <f t="shared" si="1"/>
        <v>STOCKOUT</v>
      </c>
    </row>
    <row r="277">
      <c r="A277" s="1" t="s">
        <v>48</v>
      </c>
      <c r="B277" s="1" t="s">
        <v>49</v>
      </c>
      <c r="C277" s="1" t="s">
        <v>36</v>
      </c>
      <c r="D277" s="1">
        <v>33.0</v>
      </c>
      <c r="E277" s="1">
        <v>120.0</v>
      </c>
      <c r="F277" s="1">
        <v>18.0</v>
      </c>
      <c r="G277" s="1">
        <v>7.0</v>
      </c>
      <c r="H277" s="1" t="s">
        <v>50</v>
      </c>
      <c r="I277" s="2">
        <v>45878.0</v>
      </c>
      <c r="J277" s="1">
        <v>55000.0</v>
      </c>
      <c r="K277" s="2">
        <v>45870.0</v>
      </c>
      <c r="L277" s="3" t="str">
        <f t="shared" si="1"/>
        <v>STOCKOUT</v>
      </c>
    </row>
    <row r="278">
      <c r="A278" s="1" t="s">
        <v>48</v>
      </c>
      <c r="B278" s="1" t="s">
        <v>49</v>
      </c>
      <c r="C278" s="1" t="s">
        <v>36</v>
      </c>
      <c r="D278" s="1">
        <v>170.0</v>
      </c>
      <c r="E278" s="1">
        <v>120.0</v>
      </c>
      <c r="F278" s="1">
        <v>17.0</v>
      </c>
      <c r="G278" s="1">
        <v>3.0</v>
      </c>
      <c r="H278" s="1" t="s">
        <v>50</v>
      </c>
      <c r="I278" s="2">
        <v>45905.0</v>
      </c>
      <c r="J278" s="1">
        <v>55000.0</v>
      </c>
      <c r="K278" s="2">
        <v>45901.0</v>
      </c>
      <c r="L278" s="3" t="str">
        <f t="shared" si="1"/>
        <v>OK</v>
      </c>
    </row>
    <row r="279">
      <c r="A279" s="1" t="s">
        <v>48</v>
      </c>
      <c r="B279" s="1" t="s">
        <v>49</v>
      </c>
      <c r="C279" s="1" t="s">
        <v>36</v>
      </c>
      <c r="D279" s="1">
        <v>39.0</v>
      </c>
      <c r="E279" s="1">
        <v>120.0</v>
      </c>
      <c r="F279" s="1">
        <v>19.0</v>
      </c>
      <c r="G279" s="1">
        <v>3.0</v>
      </c>
      <c r="H279" s="1" t="s">
        <v>50</v>
      </c>
      <c r="I279" s="2">
        <v>45936.0</v>
      </c>
      <c r="J279" s="1">
        <v>55000.0</v>
      </c>
      <c r="K279" s="2">
        <v>45931.0</v>
      </c>
      <c r="L279" s="3" t="str">
        <f t="shared" si="1"/>
        <v>STOCKOUT</v>
      </c>
    </row>
    <row r="280">
      <c r="A280" s="1" t="s">
        <v>48</v>
      </c>
      <c r="B280" s="1" t="s">
        <v>49</v>
      </c>
      <c r="C280" s="1" t="s">
        <v>36</v>
      </c>
      <c r="D280" s="1">
        <v>154.0</v>
      </c>
      <c r="E280" s="1">
        <v>120.0</v>
      </c>
      <c r="F280" s="1">
        <v>19.0</v>
      </c>
      <c r="G280" s="1">
        <v>6.0</v>
      </c>
      <c r="H280" s="1" t="s">
        <v>50</v>
      </c>
      <c r="I280" s="2">
        <v>45978.0</v>
      </c>
      <c r="J280" s="1">
        <v>55000.0</v>
      </c>
      <c r="K280" s="2">
        <v>45962.0</v>
      </c>
      <c r="L280" s="3" t="str">
        <f t="shared" si="1"/>
        <v>OK</v>
      </c>
    </row>
    <row r="281">
      <c r="A281" s="1" t="s">
        <v>48</v>
      </c>
      <c r="B281" s="1" t="s">
        <v>49</v>
      </c>
      <c r="C281" s="1" t="s">
        <v>36</v>
      </c>
      <c r="D281" s="1">
        <v>0.0</v>
      </c>
      <c r="E281" s="1">
        <v>120.0</v>
      </c>
      <c r="F281" s="1">
        <v>27.0</v>
      </c>
      <c r="G281" s="1">
        <v>7.0</v>
      </c>
      <c r="H281" s="1" t="s">
        <v>50</v>
      </c>
      <c r="I281" s="2">
        <v>46010.0</v>
      </c>
      <c r="J281" s="1">
        <v>55000.0</v>
      </c>
      <c r="K281" s="2">
        <v>45992.0</v>
      </c>
      <c r="L281" s="3" t="str">
        <f t="shared" si="1"/>
        <v>STOCKOUT</v>
      </c>
    </row>
    <row r="282">
      <c r="A282" s="1" t="s">
        <v>48</v>
      </c>
      <c r="B282" s="1" t="s">
        <v>49</v>
      </c>
      <c r="C282" s="1" t="s">
        <v>36</v>
      </c>
      <c r="D282" s="1">
        <v>30.0</v>
      </c>
      <c r="E282" s="1">
        <v>120.0</v>
      </c>
      <c r="F282" s="1">
        <v>18.0</v>
      </c>
      <c r="G282" s="1">
        <v>4.0</v>
      </c>
      <c r="H282" s="1" t="s">
        <v>50</v>
      </c>
      <c r="I282" s="2">
        <v>46053.0</v>
      </c>
      <c r="J282" s="1">
        <v>55000.0</v>
      </c>
      <c r="K282" s="2">
        <v>46023.0</v>
      </c>
      <c r="L282" s="3" t="str">
        <f t="shared" si="1"/>
        <v>STOCKOUT</v>
      </c>
    </row>
    <row r="283">
      <c r="A283" s="1" t="s">
        <v>48</v>
      </c>
      <c r="B283" s="1" t="s">
        <v>49</v>
      </c>
      <c r="C283" s="1" t="s">
        <v>36</v>
      </c>
      <c r="D283" s="1">
        <v>48.0</v>
      </c>
      <c r="E283" s="1">
        <v>120.0</v>
      </c>
      <c r="F283" s="1">
        <v>18.0</v>
      </c>
      <c r="G283" s="1">
        <v>6.0</v>
      </c>
      <c r="H283" s="1" t="s">
        <v>50</v>
      </c>
      <c r="I283" s="2">
        <v>46074.0</v>
      </c>
      <c r="J283" s="1">
        <v>55000.0</v>
      </c>
      <c r="K283" s="2">
        <v>46054.0</v>
      </c>
      <c r="L283" s="3" t="str">
        <f t="shared" si="1"/>
        <v>STOCKOUT</v>
      </c>
    </row>
  </sheetData>
  <autoFilter ref="$A$1:$L$283">
    <sortState ref="A1:L283">
      <sortCondition ref="A1:A283"/>
      <sortCondition ref="I1:I283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</row>
    <row r="3" hidden="1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</row>
    <row r="4" hidden="1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</row>
    <row r="5" hidden="1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</row>
    <row r="6" hidden="1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</row>
    <row r="7" hidden="1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</row>
    <row r="8" hidden="1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</row>
    <row r="9" hidden="1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</row>
    <row r="10" hidden="1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</row>
    <row r="11" hidden="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</row>
    <row r="12">
      <c r="A12" s="1" t="s">
        <v>38</v>
      </c>
      <c r="B12" s="1" t="s">
        <v>39</v>
      </c>
      <c r="C12" s="1" t="s">
        <v>23</v>
      </c>
      <c r="D12" s="1">
        <v>-28.0</v>
      </c>
      <c r="E12" s="1">
        <v>45.0</v>
      </c>
      <c r="F12" s="1">
        <v>7.0</v>
      </c>
      <c r="G12" s="1">
        <v>5.0</v>
      </c>
      <c r="H12" s="1" t="s">
        <v>24</v>
      </c>
      <c r="I12" s="2">
        <v>45664.0</v>
      </c>
      <c r="J12" s="1">
        <v>450000.0</v>
      </c>
      <c r="K12" s="2">
        <v>45658.0</v>
      </c>
    </row>
    <row r="13">
      <c r="A13" s="1" t="s">
        <v>40</v>
      </c>
      <c r="B13" s="1" t="s">
        <v>41</v>
      </c>
      <c r="C13" s="1" t="s">
        <v>42</v>
      </c>
      <c r="D13" s="1">
        <v>-18.0</v>
      </c>
      <c r="E13" s="1">
        <v>15.0</v>
      </c>
      <c r="F13" s="1">
        <v>4.0</v>
      </c>
      <c r="G13" s="1">
        <v>6.0</v>
      </c>
      <c r="H13" s="1" t="s">
        <v>43</v>
      </c>
      <c r="I13" s="2">
        <v>46099.0</v>
      </c>
      <c r="J13" s="1">
        <v>1200000.0</v>
      </c>
      <c r="K13" s="2">
        <v>46082.0</v>
      </c>
    </row>
    <row r="14" hidden="1">
      <c r="A14" s="1" t="s">
        <v>44</v>
      </c>
      <c r="B14" s="1" t="s">
        <v>45</v>
      </c>
      <c r="C14" s="1" t="s">
        <v>42</v>
      </c>
      <c r="D14" s="1">
        <v>54.0</v>
      </c>
      <c r="E14" s="1">
        <v>30.0</v>
      </c>
      <c r="F14" s="1">
        <v>6.0</v>
      </c>
      <c r="G14" s="1">
        <v>8.0</v>
      </c>
      <c r="H14" s="1" t="s">
        <v>43</v>
      </c>
      <c r="I14" s="2">
        <v>45983.0</v>
      </c>
      <c r="J14" s="1">
        <v>350000.0</v>
      </c>
      <c r="K14" s="2">
        <v>45962.0</v>
      </c>
    </row>
    <row r="15" hidden="1">
      <c r="A15" s="1" t="s">
        <v>46</v>
      </c>
      <c r="B15" s="1" t="s">
        <v>47</v>
      </c>
      <c r="C15" s="1" t="s">
        <v>23</v>
      </c>
      <c r="D15" s="1">
        <v>0.0</v>
      </c>
      <c r="E15" s="1">
        <v>40.0</v>
      </c>
      <c r="F15" s="1">
        <v>7.0</v>
      </c>
      <c r="G15" s="1">
        <v>4.0</v>
      </c>
      <c r="H15" s="1" t="s">
        <v>30</v>
      </c>
      <c r="I15" s="2">
        <v>45761.0</v>
      </c>
      <c r="J15" s="1">
        <v>550000.0</v>
      </c>
      <c r="K15" s="2">
        <v>45748.0</v>
      </c>
    </row>
    <row r="16" hidden="1">
      <c r="A16" s="1" t="s">
        <v>44</v>
      </c>
      <c r="B16" s="1" t="s">
        <v>45</v>
      </c>
      <c r="C16" s="1" t="s">
        <v>42</v>
      </c>
      <c r="D16" s="1">
        <v>41.0</v>
      </c>
      <c r="E16" s="1">
        <v>30.0</v>
      </c>
      <c r="F16" s="1">
        <v>4.0</v>
      </c>
      <c r="G16" s="1">
        <v>10.0</v>
      </c>
      <c r="H16" s="1" t="s">
        <v>43</v>
      </c>
      <c r="I16" s="2">
        <v>45930.0</v>
      </c>
      <c r="J16" s="1">
        <v>350000.0</v>
      </c>
      <c r="K16" s="2">
        <v>45901.0</v>
      </c>
    </row>
    <row r="17" hidden="1">
      <c r="A17" s="1" t="s">
        <v>48</v>
      </c>
      <c r="B17" s="1" t="s">
        <v>49</v>
      </c>
      <c r="C17" s="1" t="s">
        <v>36</v>
      </c>
      <c r="D17" s="1">
        <v>33.0</v>
      </c>
      <c r="E17" s="1">
        <v>120.0</v>
      </c>
      <c r="F17" s="1">
        <v>18.0</v>
      </c>
      <c r="G17" s="1">
        <v>7.0</v>
      </c>
      <c r="H17" s="1" t="s">
        <v>50</v>
      </c>
      <c r="I17" s="2">
        <v>45878.0</v>
      </c>
      <c r="J17" s="1">
        <v>55000.0</v>
      </c>
      <c r="K17" s="2">
        <v>45870.0</v>
      </c>
    </row>
    <row r="18" hidden="1">
      <c r="A18" s="1" t="s">
        <v>15</v>
      </c>
      <c r="B18" s="1" t="s">
        <v>16</v>
      </c>
      <c r="C18" s="1" t="s">
        <v>17</v>
      </c>
      <c r="D18" s="1">
        <v>26.0</v>
      </c>
      <c r="E18" s="1">
        <v>15.0</v>
      </c>
      <c r="F18" s="1">
        <v>3.0</v>
      </c>
      <c r="G18" s="1">
        <v>8.0</v>
      </c>
      <c r="H18" s="1" t="s">
        <v>18</v>
      </c>
      <c r="I18" s="2">
        <v>45816.0</v>
      </c>
      <c r="J18" s="1">
        <v>8500000.0</v>
      </c>
      <c r="K18" s="2">
        <v>45809.0</v>
      </c>
    </row>
    <row r="19" hidden="1">
      <c r="A19" s="1" t="s">
        <v>11</v>
      </c>
      <c r="B19" s="1" t="s">
        <v>12</v>
      </c>
      <c r="C19" s="1" t="s">
        <v>13</v>
      </c>
      <c r="D19" s="1">
        <v>139.0</v>
      </c>
      <c r="E19" s="1">
        <v>50.0</v>
      </c>
      <c r="F19" s="1">
        <v>1.0</v>
      </c>
      <c r="G19" s="1">
        <v>7.0</v>
      </c>
      <c r="H19" s="1" t="s">
        <v>14</v>
      </c>
      <c r="I19" s="2">
        <v>46317.0</v>
      </c>
      <c r="J19" s="1">
        <v>125000.0</v>
      </c>
      <c r="K19" s="2">
        <v>45839.0</v>
      </c>
    </row>
    <row r="20" hidden="1">
      <c r="A20" s="1" t="s">
        <v>44</v>
      </c>
      <c r="B20" s="1" t="s">
        <v>45</v>
      </c>
      <c r="C20" s="1" t="s">
        <v>42</v>
      </c>
      <c r="D20" s="1">
        <v>49.0</v>
      </c>
      <c r="E20" s="1">
        <v>30.0</v>
      </c>
      <c r="F20" s="1">
        <v>6.0</v>
      </c>
      <c r="G20" s="1">
        <v>9.0</v>
      </c>
      <c r="H20" s="1" t="s">
        <v>43</v>
      </c>
      <c r="I20" s="2">
        <v>45669.0</v>
      </c>
      <c r="J20" s="1">
        <v>350000.0</v>
      </c>
      <c r="K20" s="2">
        <v>45658.0</v>
      </c>
    </row>
    <row r="21" hidden="1">
      <c r="A21" s="1" t="s">
        <v>48</v>
      </c>
      <c r="B21" s="1" t="s">
        <v>49</v>
      </c>
      <c r="C21" s="1" t="s">
        <v>36</v>
      </c>
      <c r="D21" s="1">
        <v>0.0</v>
      </c>
      <c r="E21" s="1">
        <v>120.0</v>
      </c>
      <c r="F21" s="1">
        <v>27.0</v>
      </c>
      <c r="G21" s="1">
        <v>7.0</v>
      </c>
      <c r="H21" s="1" t="s">
        <v>50</v>
      </c>
      <c r="I21" s="2">
        <v>46010.0</v>
      </c>
      <c r="J21" s="1">
        <v>55000.0</v>
      </c>
      <c r="K21" s="2">
        <v>45992.0</v>
      </c>
    </row>
    <row r="22" hidden="1">
      <c r="A22" s="1" t="s">
        <v>21</v>
      </c>
      <c r="B22" s="1" t="s">
        <v>22</v>
      </c>
      <c r="C22" s="1" t="s">
        <v>23</v>
      </c>
      <c r="D22" s="1">
        <v>14.0</v>
      </c>
      <c r="E22" s="1">
        <v>50.0</v>
      </c>
      <c r="F22" s="1">
        <v>11.0</v>
      </c>
      <c r="G22" s="1">
        <v>4.0</v>
      </c>
      <c r="H22" s="1" t="s">
        <v>24</v>
      </c>
      <c r="I22" s="2">
        <v>46062.0</v>
      </c>
      <c r="J22" s="1">
        <v>350000.0</v>
      </c>
      <c r="K22" s="2">
        <v>46054.0</v>
      </c>
    </row>
    <row r="23" hidden="1">
      <c r="A23" s="1" t="s">
        <v>51</v>
      </c>
      <c r="B23" s="1" t="s">
        <v>52</v>
      </c>
      <c r="C23" s="1" t="s">
        <v>36</v>
      </c>
      <c r="D23" s="1">
        <v>0.0</v>
      </c>
      <c r="E23" s="1">
        <v>60.0</v>
      </c>
      <c r="F23" s="1">
        <v>13.0</v>
      </c>
      <c r="G23" s="1">
        <v>4.0</v>
      </c>
      <c r="H23" s="1" t="s">
        <v>50</v>
      </c>
      <c r="I23" s="2">
        <v>46004.0</v>
      </c>
      <c r="J23" s="1">
        <v>175000.0</v>
      </c>
      <c r="K23" s="2">
        <v>45992.0</v>
      </c>
    </row>
    <row r="24" hidden="1">
      <c r="A24" s="1" t="s">
        <v>53</v>
      </c>
      <c r="B24" s="1" t="s">
        <v>54</v>
      </c>
      <c r="C24" s="1" t="s">
        <v>13</v>
      </c>
      <c r="D24" s="1">
        <v>191.0</v>
      </c>
      <c r="E24" s="1">
        <v>60.0</v>
      </c>
      <c r="F24" s="1">
        <v>3.0</v>
      </c>
      <c r="G24" s="1">
        <v>8.0</v>
      </c>
      <c r="H24" s="1" t="s">
        <v>14</v>
      </c>
      <c r="I24" s="2">
        <v>45944.0</v>
      </c>
      <c r="J24" s="1">
        <v>165000.0</v>
      </c>
      <c r="K24" s="2">
        <v>45931.0</v>
      </c>
    </row>
    <row r="25" hidden="1">
      <c r="A25" s="1" t="s">
        <v>55</v>
      </c>
      <c r="B25" s="1" t="s">
        <v>56</v>
      </c>
      <c r="C25" s="1" t="s">
        <v>36</v>
      </c>
      <c r="D25" s="1">
        <v>0.0</v>
      </c>
      <c r="E25" s="1">
        <v>100.0</v>
      </c>
      <c r="F25" s="1">
        <v>24.0</v>
      </c>
      <c r="G25" s="1">
        <v>4.0</v>
      </c>
      <c r="H25" s="1" t="s">
        <v>37</v>
      </c>
      <c r="I25" s="2">
        <v>45747.0</v>
      </c>
      <c r="J25" s="1">
        <v>85000.0</v>
      </c>
      <c r="K25" s="2">
        <v>45717.0</v>
      </c>
    </row>
    <row r="26" hidden="1">
      <c r="A26" s="1" t="s">
        <v>38</v>
      </c>
      <c r="B26" s="1" t="s">
        <v>39</v>
      </c>
      <c r="C26" s="1" t="s">
        <v>23</v>
      </c>
      <c r="D26" s="1">
        <v>23.0</v>
      </c>
      <c r="E26" s="1">
        <v>45.0</v>
      </c>
      <c r="F26" s="1">
        <v>6.0</v>
      </c>
      <c r="G26" s="1">
        <v>6.0</v>
      </c>
      <c r="H26" s="1" t="s">
        <v>24</v>
      </c>
      <c r="I26" s="2">
        <v>45697.0</v>
      </c>
      <c r="J26" s="1">
        <v>450000.0</v>
      </c>
      <c r="K26" s="2">
        <v>45689.0</v>
      </c>
    </row>
    <row r="27" hidden="1">
      <c r="A27" s="1" t="s">
        <v>57</v>
      </c>
      <c r="B27" s="1" t="s">
        <v>58</v>
      </c>
      <c r="C27" s="1" t="s">
        <v>42</v>
      </c>
      <c r="D27" s="1">
        <v>50.0</v>
      </c>
      <c r="E27" s="1">
        <v>25.0</v>
      </c>
      <c r="F27" s="1">
        <v>3.0</v>
      </c>
      <c r="G27" s="1">
        <v>7.0</v>
      </c>
      <c r="H27" s="1" t="s">
        <v>59</v>
      </c>
      <c r="I27" s="2">
        <v>45920.0</v>
      </c>
      <c r="J27" s="1">
        <v>450000.0</v>
      </c>
      <c r="K27" s="2">
        <v>45901.0</v>
      </c>
    </row>
    <row r="28" hidden="1">
      <c r="A28" s="1" t="s">
        <v>57</v>
      </c>
      <c r="B28" s="1" t="s">
        <v>58</v>
      </c>
      <c r="C28" s="1" t="s">
        <v>42</v>
      </c>
      <c r="D28" s="1">
        <v>42.0</v>
      </c>
      <c r="E28" s="1">
        <v>25.0</v>
      </c>
      <c r="F28" s="1">
        <v>3.0</v>
      </c>
      <c r="G28" s="1">
        <v>8.0</v>
      </c>
      <c r="H28" s="1" t="s">
        <v>59</v>
      </c>
      <c r="I28" s="2">
        <v>46078.0</v>
      </c>
      <c r="J28" s="1">
        <v>450000.0</v>
      </c>
      <c r="K28" s="2">
        <v>46054.0</v>
      </c>
    </row>
    <row r="29">
      <c r="A29" s="1" t="s">
        <v>60</v>
      </c>
      <c r="B29" s="1" t="s">
        <v>61</v>
      </c>
      <c r="C29" s="1" t="s">
        <v>17</v>
      </c>
      <c r="D29" s="1">
        <v>-8.0</v>
      </c>
      <c r="E29" s="1">
        <v>20.0</v>
      </c>
      <c r="F29" s="1">
        <v>2.0</v>
      </c>
      <c r="G29" s="1">
        <v>9.0</v>
      </c>
      <c r="H29" s="1" t="s">
        <v>27</v>
      </c>
      <c r="I29" s="2">
        <v>45750.0</v>
      </c>
      <c r="J29" s="1">
        <v>3200000.0</v>
      </c>
      <c r="K29" s="2">
        <v>45748.0</v>
      </c>
    </row>
    <row r="30" hidden="1">
      <c r="A30" s="1" t="s">
        <v>51</v>
      </c>
      <c r="B30" s="1" t="s">
        <v>52</v>
      </c>
      <c r="C30" s="1" t="s">
        <v>36</v>
      </c>
      <c r="D30" s="1">
        <v>31.0</v>
      </c>
      <c r="E30" s="1">
        <v>60.0</v>
      </c>
      <c r="F30" s="1">
        <v>8.0</v>
      </c>
      <c r="G30" s="1">
        <v>7.0</v>
      </c>
      <c r="H30" s="1" t="s">
        <v>50</v>
      </c>
      <c r="I30" s="2">
        <v>45880.0</v>
      </c>
      <c r="J30" s="1">
        <v>175000.0</v>
      </c>
      <c r="K30" s="2">
        <v>45870.0</v>
      </c>
    </row>
    <row r="31" hidden="1">
      <c r="A31" s="1" t="s">
        <v>48</v>
      </c>
      <c r="B31" s="1" t="s">
        <v>49</v>
      </c>
      <c r="C31" s="1" t="s">
        <v>36</v>
      </c>
      <c r="D31" s="1">
        <v>38.0</v>
      </c>
      <c r="E31" s="1">
        <v>120.0</v>
      </c>
      <c r="F31" s="1">
        <v>17.0</v>
      </c>
      <c r="G31" s="1">
        <v>4.0</v>
      </c>
      <c r="H31" s="1" t="s">
        <v>50</v>
      </c>
      <c r="I31" s="2">
        <v>45864.0</v>
      </c>
      <c r="J31" s="1">
        <v>55000.0</v>
      </c>
      <c r="K31" s="2">
        <v>45839.0</v>
      </c>
    </row>
    <row r="32" hidden="1">
      <c r="A32" s="1" t="s">
        <v>11</v>
      </c>
      <c r="B32" s="1" t="s">
        <v>12</v>
      </c>
      <c r="C32" s="1" t="s">
        <v>13</v>
      </c>
      <c r="D32" s="1">
        <v>217.0</v>
      </c>
      <c r="E32" s="1">
        <v>50.0</v>
      </c>
      <c r="F32" s="1">
        <v>3.0</v>
      </c>
      <c r="G32" s="1">
        <v>7.0</v>
      </c>
      <c r="H32" s="1" t="s">
        <v>14</v>
      </c>
      <c r="I32" s="2">
        <v>46111.0</v>
      </c>
      <c r="J32" s="1">
        <v>125000.0</v>
      </c>
      <c r="K32" s="2">
        <v>46082.0</v>
      </c>
    </row>
    <row r="33" hidden="1">
      <c r="A33" s="1" t="s">
        <v>15</v>
      </c>
      <c r="B33" s="1" t="s">
        <v>16</v>
      </c>
      <c r="C33" s="1" t="s">
        <v>17</v>
      </c>
      <c r="D33" s="1">
        <v>11.0</v>
      </c>
      <c r="E33" s="1">
        <v>15.0</v>
      </c>
      <c r="F33" s="1">
        <v>1.0</v>
      </c>
      <c r="G33" s="1">
        <v>5.0</v>
      </c>
      <c r="H33" s="1" t="s">
        <v>18</v>
      </c>
      <c r="I33" s="2">
        <v>45754.0</v>
      </c>
      <c r="J33" s="1">
        <v>8500000.0</v>
      </c>
      <c r="K33" s="2">
        <v>45748.0</v>
      </c>
    </row>
    <row r="34" hidden="1">
      <c r="A34" s="1" t="s">
        <v>38</v>
      </c>
      <c r="B34" s="1" t="s">
        <v>39</v>
      </c>
      <c r="C34" s="1" t="s">
        <v>23</v>
      </c>
      <c r="D34" s="1">
        <v>36.0</v>
      </c>
      <c r="E34" s="1">
        <v>45.0</v>
      </c>
      <c r="F34" s="1">
        <v>7.0</v>
      </c>
      <c r="G34" s="1">
        <v>4.0</v>
      </c>
      <c r="H34" s="1" t="s">
        <v>24</v>
      </c>
      <c r="I34" s="2">
        <v>45883.0</v>
      </c>
      <c r="J34" s="1">
        <v>450000.0</v>
      </c>
      <c r="K34" s="2">
        <v>45870.0</v>
      </c>
    </row>
    <row r="35" hidden="1">
      <c r="A35" s="1" t="s">
        <v>48</v>
      </c>
      <c r="B35" s="1" t="s">
        <v>49</v>
      </c>
      <c r="C35" s="1" t="s">
        <v>36</v>
      </c>
      <c r="D35" s="1">
        <v>0.0</v>
      </c>
      <c r="E35" s="1">
        <v>120.0</v>
      </c>
      <c r="F35" s="1">
        <v>28.0</v>
      </c>
      <c r="G35" s="1">
        <v>6.0</v>
      </c>
      <c r="H35" s="1" t="s">
        <v>50</v>
      </c>
      <c r="I35" s="2">
        <v>45725.0</v>
      </c>
      <c r="J35" s="1">
        <v>55000.0</v>
      </c>
      <c r="K35" s="2">
        <v>45717.0</v>
      </c>
    </row>
    <row r="36">
      <c r="A36" s="1" t="s">
        <v>55</v>
      </c>
      <c r="B36" s="1" t="s">
        <v>56</v>
      </c>
      <c r="C36" s="1" t="s">
        <v>36</v>
      </c>
      <c r="D36" s="1">
        <v>-18.0</v>
      </c>
      <c r="E36" s="1">
        <v>100.0</v>
      </c>
      <c r="F36" s="1">
        <v>21.0</v>
      </c>
      <c r="G36" s="1">
        <v>3.0</v>
      </c>
      <c r="H36" s="1" t="s">
        <v>37</v>
      </c>
      <c r="I36" s="2">
        <v>46006.0</v>
      </c>
      <c r="J36" s="1">
        <v>85000.0</v>
      </c>
      <c r="K36" s="2">
        <v>45992.0</v>
      </c>
    </row>
    <row r="37" hidden="1">
      <c r="A37" s="1" t="s">
        <v>62</v>
      </c>
      <c r="B37" s="1" t="s">
        <v>63</v>
      </c>
      <c r="C37" s="1" t="s">
        <v>13</v>
      </c>
      <c r="D37" s="1">
        <v>375.0</v>
      </c>
      <c r="E37" s="1">
        <v>80.0</v>
      </c>
      <c r="F37" s="1">
        <v>5.0</v>
      </c>
      <c r="G37" s="1">
        <v>6.0</v>
      </c>
      <c r="H37" s="1" t="s">
        <v>33</v>
      </c>
      <c r="I37" s="2">
        <v>45737.0</v>
      </c>
      <c r="J37" s="1">
        <v>85000.0</v>
      </c>
      <c r="K37" s="2">
        <v>45717.0</v>
      </c>
    </row>
    <row r="38" hidden="1">
      <c r="A38" s="1" t="s">
        <v>19</v>
      </c>
      <c r="B38" s="1" t="s">
        <v>20</v>
      </c>
      <c r="C38" s="1" t="s">
        <v>17</v>
      </c>
      <c r="D38" s="1">
        <v>24.0</v>
      </c>
      <c r="E38" s="1">
        <v>30.0</v>
      </c>
      <c r="F38" s="1">
        <v>4.0</v>
      </c>
      <c r="G38" s="1">
        <v>5.0</v>
      </c>
      <c r="H38" s="1" t="s">
        <v>18</v>
      </c>
      <c r="I38" s="2">
        <v>45670.0</v>
      </c>
      <c r="J38" s="1">
        <v>1200000.0</v>
      </c>
      <c r="K38" s="2">
        <v>45658.0</v>
      </c>
    </row>
    <row r="39" hidden="1">
      <c r="A39" s="1" t="s">
        <v>25</v>
      </c>
      <c r="B39" s="1" t="s">
        <v>26</v>
      </c>
      <c r="C39" s="1" t="s">
        <v>17</v>
      </c>
      <c r="D39" s="1">
        <v>22.0</v>
      </c>
      <c r="E39" s="1">
        <v>25.0</v>
      </c>
      <c r="F39" s="1">
        <v>5.0</v>
      </c>
      <c r="G39" s="1">
        <v>14.0</v>
      </c>
      <c r="H39" s="1" t="s">
        <v>27</v>
      </c>
      <c r="I39" s="2">
        <v>45722.0</v>
      </c>
      <c r="J39" s="1">
        <v>4500000.0</v>
      </c>
      <c r="K39" s="2">
        <v>45717.0</v>
      </c>
    </row>
    <row r="40" hidden="1">
      <c r="A40" s="1" t="s">
        <v>44</v>
      </c>
      <c r="B40" s="1" t="s">
        <v>45</v>
      </c>
      <c r="C40" s="1" t="s">
        <v>42</v>
      </c>
      <c r="D40" s="1">
        <v>59.0</v>
      </c>
      <c r="E40" s="1">
        <v>30.0</v>
      </c>
      <c r="F40" s="1">
        <v>3.0</v>
      </c>
      <c r="G40" s="1">
        <v>6.0</v>
      </c>
      <c r="H40" s="1" t="s">
        <v>43</v>
      </c>
      <c r="I40" s="2">
        <v>45880.0</v>
      </c>
      <c r="J40" s="1">
        <v>350000.0</v>
      </c>
      <c r="K40" s="2">
        <v>45870.0</v>
      </c>
    </row>
    <row r="41" hidden="1">
      <c r="A41" s="1" t="s">
        <v>57</v>
      </c>
      <c r="B41" s="1" t="s">
        <v>58</v>
      </c>
      <c r="C41" s="1" t="s">
        <v>42</v>
      </c>
      <c r="D41" s="1">
        <v>22.0</v>
      </c>
      <c r="E41" s="1">
        <v>25.0</v>
      </c>
      <c r="F41" s="1">
        <v>2.0</v>
      </c>
      <c r="G41" s="1">
        <v>6.0</v>
      </c>
      <c r="H41" s="1" t="s">
        <v>59</v>
      </c>
      <c r="I41" s="2">
        <v>46000.0</v>
      </c>
      <c r="J41" s="1">
        <v>450000.0</v>
      </c>
      <c r="K41" s="2">
        <v>45992.0</v>
      </c>
    </row>
    <row r="42" hidden="1">
      <c r="A42" s="1" t="s">
        <v>60</v>
      </c>
      <c r="B42" s="1" t="s">
        <v>61</v>
      </c>
      <c r="C42" s="1" t="s">
        <v>17</v>
      </c>
      <c r="D42" s="1">
        <v>30.0</v>
      </c>
      <c r="E42" s="1">
        <v>20.0</v>
      </c>
      <c r="F42" s="1">
        <v>1.0</v>
      </c>
      <c r="G42" s="1">
        <v>14.0</v>
      </c>
      <c r="H42" s="1" t="s">
        <v>27</v>
      </c>
      <c r="I42" s="2">
        <v>46048.0</v>
      </c>
      <c r="J42" s="1">
        <v>3200000.0</v>
      </c>
      <c r="K42" s="2">
        <v>46023.0</v>
      </c>
    </row>
    <row r="43" hidden="1">
      <c r="A43" s="1" t="s">
        <v>25</v>
      </c>
      <c r="B43" s="1" t="s">
        <v>26</v>
      </c>
      <c r="C43" s="1" t="s">
        <v>17</v>
      </c>
      <c r="D43" s="1">
        <v>2.0</v>
      </c>
      <c r="E43" s="1">
        <v>25.0</v>
      </c>
      <c r="F43" s="1">
        <v>3.0</v>
      </c>
      <c r="G43" s="1">
        <v>20.0</v>
      </c>
      <c r="H43" s="1" t="s">
        <v>27</v>
      </c>
      <c r="I43" s="2">
        <v>45950.0</v>
      </c>
      <c r="J43" s="1">
        <v>4500000.0</v>
      </c>
      <c r="K43" s="2">
        <v>45931.0</v>
      </c>
    </row>
    <row r="44" hidden="1">
      <c r="A44" s="1" t="s">
        <v>31</v>
      </c>
      <c r="B44" s="1" t="s">
        <v>32</v>
      </c>
      <c r="C44" s="1" t="s">
        <v>13</v>
      </c>
      <c r="D44" s="1">
        <v>184.0</v>
      </c>
      <c r="E44" s="1">
        <v>40.0</v>
      </c>
      <c r="F44" s="1">
        <v>3.0</v>
      </c>
      <c r="G44" s="1">
        <v>6.0</v>
      </c>
      <c r="H44" s="1" t="s">
        <v>33</v>
      </c>
      <c r="I44" s="2">
        <v>45682.0</v>
      </c>
      <c r="J44" s="1">
        <v>550000.0</v>
      </c>
      <c r="K44" s="2">
        <v>45658.0</v>
      </c>
    </row>
    <row r="45" hidden="1">
      <c r="A45" s="1" t="s">
        <v>64</v>
      </c>
      <c r="B45" s="1" t="s">
        <v>65</v>
      </c>
      <c r="C45" s="1" t="s">
        <v>42</v>
      </c>
      <c r="D45" s="1">
        <v>19.0</v>
      </c>
      <c r="E45" s="1">
        <v>20.0</v>
      </c>
      <c r="F45" s="1">
        <v>4.0</v>
      </c>
      <c r="G45" s="1">
        <v>9.0</v>
      </c>
      <c r="H45" s="1" t="s">
        <v>59</v>
      </c>
      <c r="I45" s="2">
        <v>45782.0</v>
      </c>
      <c r="J45" s="1">
        <v>750000.0</v>
      </c>
      <c r="K45" s="2">
        <v>45778.0</v>
      </c>
    </row>
    <row r="46" hidden="1">
      <c r="A46" s="1" t="s">
        <v>62</v>
      </c>
      <c r="B46" s="1" t="s">
        <v>63</v>
      </c>
      <c r="C46" s="1" t="s">
        <v>13</v>
      </c>
      <c r="D46" s="1">
        <v>268.0</v>
      </c>
      <c r="E46" s="1">
        <v>80.0</v>
      </c>
      <c r="F46" s="1">
        <v>4.0</v>
      </c>
      <c r="G46" s="1">
        <v>4.0</v>
      </c>
      <c r="H46" s="1" t="s">
        <v>33</v>
      </c>
      <c r="I46" s="2">
        <v>46099.0</v>
      </c>
      <c r="J46" s="1">
        <v>85000.0</v>
      </c>
      <c r="K46" s="2">
        <v>46082.0</v>
      </c>
    </row>
    <row r="47" hidden="1">
      <c r="A47" s="1" t="s">
        <v>34</v>
      </c>
      <c r="B47" s="1" t="s">
        <v>35</v>
      </c>
      <c r="C47" s="1" t="s">
        <v>36</v>
      </c>
      <c r="D47" s="1">
        <v>31.0</v>
      </c>
      <c r="E47" s="1">
        <v>80.0</v>
      </c>
      <c r="F47" s="1">
        <v>13.0</v>
      </c>
      <c r="G47" s="1">
        <v>4.0</v>
      </c>
      <c r="H47" s="1" t="s">
        <v>37</v>
      </c>
      <c r="I47" s="2">
        <v>45857.0</v>
      </c>
      <c r="J47" s="1">
        <v>65000.0</v>
      </c>
      <c r="K47" s="2">
        <v>45839.0</v>
      </c>
    </row>
    <row r="48" hidden="1">
      <c r="A48" s="1" t="s">
        <v>55</v>
      </c>
      <c r="B48" s="1" t="s">
        <v>56</v>
      </c>
      <c r="C48" s="1" t="s">
        <v>36</v>
      </c>
      <c r="D48" s="1">
        <v>28.0</v>
      </c>
      <c r="E48" s="1">
        <v>100.0</v>
      </c>
      <c r="F48" s="1">
        <v>17.0</v>
      </c>
      <c r="G48" s="1">
        <v>3.0</v>
      </c>
      <c r="H48" s="1" t="s">
        <v>37</v>
      </c>
      <c r="I48" s="2">
        <v>46070.0</v>
      </c>
      <c r="J48" s="1">
        <v>85000.0</v>
      </c>
      <c r="K48" s="2">
        <v>46054.0</v>
      </c>
    </row>
    <row r="49" hidden="1">
      <c r="A49" s="1" t="s">
        <v>15</v>
      </c>
      <c r="B49" s="1" t="s">
        <v>16</v>
      </c>
      <c r="C49" s="1" t="s">
        <v>17</v>
      </c>
      <c r="D49" s="1">
        <v>22.0</v>
      </c>
      <c r="E49" s="1">
        <v>15.0</v>
      </c>
      <c r="F49" s="1">
        <v>2.0</v>
      </c>
      <c r="G49" s="1">
        <v>7.0</v>
      </c>
      <c r="H49" s="1" t="s">
        <v>18</v>
      </c>
      <c r="I49" s="2">
        <v>45878.0</v>
      </c>
      <c r="J49" s="1">
        <v>8500000.0</v>
      </c>
      <c r="K49" s="2">
        <v>45870.0</v>
      </c>
    </row>
    <row r="50" hidden="1">
      <c r="A50" s="1" t="s">
        <v>48</v>
      </c>
      <c r="B50" s="1" t="s">
        <v>49</v>
      </c>
      <c r="C50" s="1" t="s">
        <v>36</v>
      </c>
      <c r="D50" s="1">
        <v>27.0</v>
      </c>
      <c r="E50" s="1">
        <v>120.0</v>
      </c>
      <c r="F50" s="1">
        <v>18.0</v>
      </c>
      <c r="G50" s="1">
        <v>4.0</v>
      </c>
      <c r="H50" s="1" t="s">
        <v>50</v>
      </c>
      <c r="I50" s="2">
        <v>45782.0</v>
      </c>
      <c r="J50" s="1">
        <v>55000.0</v>
      </c>
      <c r="K50" s="2">
        <v>45778.0</v>
      </c>
    </row>
    <row r="51" hidden="1">
      <c r="A51" s="1" t="s">
        <v>38</v>
      </c>
      <c r="B51" s="1" t="s">
        <v>39</v>
      </c>
      <c r="C51" s="1" t="s">
        <v>23</v>
      </c>
      <c r="D51" s="1">
        <v>0.0</v>
      </c>
      <c r="E51" s="1">
        <v>45.0</v>
      </c>
      <c r="F51" s="1">
        <v>10.0</v>
      </c>
      <c r="G51" s="1">
        <v>3.0</v>
      </c>
      <c r="H51" s="1" t="s">
        <v>24</v>
      </c>
      <c r="I51" s="2">
        <v>45737.0</v>
      </c>
      <c r="J51" s="1">
        <v>450000.0</v>
      </c>
      <c r="K51" s="2">
        <v>45717.0</v>
      </c>
    </row>
    <row r="52" hidden="1">
      <c r="A52" s="1" t="s">
        <v>46</v>
      </c>
      <c r="B52" s="1" t="s">
        <v>47</v>
      </c>
      <c r="C52" s="1" t="s">
        <v>23</v>
      </c>
      <c r="D52" s="1">
        <v>0.0</v>
      </c>
      <c r="E52" s="1">
        <v>40.0</v>
      </c>
      <c r="F52" s="1">
        <v>8.0</v>
      </c>
      <c r="G52" s="1">
        <v>3.0</v>
      </c>
      <c r="H52" s="1" t="s">
        <v>30</v>
      </c>
      <c r="I52" s="2">
        <v>46018.0</v>
      </c>
      <c r="J52" s="1">
        <v>550000.0</v>
      </c>
      <c r="K52" s="2">
        <v>45992.0</v>
      </c>
    </row>
    <row r="53" hidden="1">
      <c r="A53" s="1" t="s">
        <v>55</v>
      </c>
      <c r="B53" s="1" t="s">
        <v>56</v>
      </c>
      <c r="C53" s="1" t="s">
        <v>36</v>
      </c>
      <c r="D53" s="1">
        <v>35.0</v>
      </c>
      <c r="E53" s="1">
        <v>100.0</v>
      </c>
      <c r="F53" s="1">
        <v>14.0</v>
      </c>
      <c r="G53" s="1">
        <v>3.0</v>
      </c>
      <c r="H53" s="1" t="s">
        <v>37</v>
      </c>
      <c r="I53" s="2">
        <v>45685.0</v>
      </c>
      <c r="J53" s="1">
        <v>85000.0</v>
      </c>
      <c r="K53" s="2">
        <v>45658.0</v>
      </c>
    </row>
    <row r="54" hidden="1">
      <c r="A54" s="1" t="s">
        <v>28</v>
      </c>
      <c r="B54" s="1" t="s">
        <v>29</v>
      </c>
      <c r="C54" s="1" t="s">
        <v>23</v>
      </c>
      <c r="D54" s="1">
        <v>0.0</v>
      </c>
      <c r="E54" s="1">
        <v>35.0</v>
      </c>
      <c r="F54" s="1">
        <v>9.0</v>
      </c>
      <c r="G54" s="1">
        <v>5.0</v>
      </c>
      <c r="H54" s="1" t="s">
        <v>30</v>
      </c>
      <c r="I54" s="2">
        <v>46095.0</v>
      </c>
      <c r="J54" s="1">
        <v>1250000.0</v>
      </c>
      <c r="K54" s="2">
        <v>46082.0</v>
      </c>
    </row>
    <row r="55" hidden="1">
      <c r="A55" s="1" t="s">
        <v>38</v>
      </c>
      <c r="B55" s="1" t="s">
        <v>39</v>
      </c>
      <c r="C55" s="1" t="s">
        <v>23</v>
      </c>
      <c r="D55" s="1">
        <v>40.0</v>
      </c>
      <c r="E55" s="1">
        <v>45.0</v>
      </c>
      <c r="F55" s="1">
        <v>5.0</v>
      </c>
      <c r="G55" s="1">
        <v>3.0</v>
      </c>
      <c r="H55" s="1" t="s">
        <v>24</v>
      </c>
      <c r="I55" s="2">
        <v>45959.0</v>
      </c>
      <c r="J55" s="1">
        <v>450000.0</v>
      </c>
      <c r="K55" s="2">
        <v>45931.0</v>
      </c>
    </row>
    <row r="56" hidden="1">
      <c r="A56" s="1" t="s">
        <v>64</v>
      </c>
      <c r="B56" s="1" t="s">
        <v>65</v>
      </c>
      <c r="C56" s="1" t="s">
        <v>42</v>
      </c>
      <c r="D56" s="1">
        <v>29.0</v>
      </c>
      <c r="E56" s="1">
        <v>20.0</v>
      </c>
      <c r="F56" s="1">
        <v>4.0</v>
      </c>
      <c r="G56" s="1">
        <v>10.0</v>
      </c>
      <c r="H56" s="1" t="s">
        <v>59</v>
      </c>
      <c r="I56" s="2">
        <v>45826.0</v>
      </c>
      <c r="J56" s="1">
        <v>750000.0</v>
      </c>
      <c r="K56" s="2">
        <v>45809.0</v>
      </c>
    </row>
    <row r="57" hidden="1">
      <c r="A57" s="1" t="s">
        <v>40</v>
      </c>
      <c r="B57" s="1" t="s">
        <v>41</v>
      </c>
      <c r="C57" s="1" t="s">
        <v>42</v>
      </c>
      <c r="D57" s="1">
        <v>30.0</v>
      </c>
      <c r="E57" s="1">
        <v>15.0</v>
      </c>
      <c r="F57" s="1">
        <v>2.0</v>
      </c>
      <c r="G57" s="1">
        <v>9.0</v>
      </c>
      <c r="H57" s="1" t="s">
        <v>43</v>
      </c>
      <c r="I57" s="2">
        <v>45892.0</v>
      </c>
      <c r="J57" s="1">
        <v>1200000.0</v>
      </c>
      <c r="K57" s="2">
        <v>45870.0</v>
      </c>
    </row>
    <row r="58" hidden="1">
      <c r="A58" s="1" t="s">
        <v>31</v>
      </c>
      <c r="B58" s="1" t="s">
        <v>32</v>
      </c>
      <c r="C58" s="1" t="s">
        <v>13</v>
      </c>
      <c r="D58" s="1">
        <v>91.0</v>
      </c>
      <c r="E58" s="1">
        <v>40.0</v>
      </c>
      <c r="F58" s="1">
        <v>3.0</v>
      </c>
      <c r="G58" s="1">
        <v>5.0</v>
      </c>
      <c r="H58" s="1" t="s">
        <v>33</v>
      </c>
      <c r="I58" s="2">
        <v>45724.0</v>
      </c>
      <c r="J58" s="1">
        <v>550000.0</v>
      </c>
      <c r="K58" s="2">
        <v>45717.0</v>
      </c>
    </row>
    <row r="59" hidden="1">
      <c r="A59" s="1" t="s">
        <v>53</v>
      </c>
      <c r="B59" s="1" t="s">
        <v>54</v>
      </c>
      <c r="C59" s="1" t="s">
        <v>13</v>
      </c>
      <c r="D59" s="1">
        <v>299.0</v>
      </c>
      <c r="E59" s="1">
        <v>60.0</v>
      </c>
      <c r="F59" s="1">
        <v>1.0</v>
      </c>
      <c r="G59" s="1">
        <v>7.0</v>
      </c>
      <c r="H59" s="1" t="s">
        <v>14</v>
      </c>
      <c r="I59" s="2">
        <v>45756.0</v>
      </c>
      <c r="J59" s="1">
        <v>165000.0</v>
      </c>
      <c r="K59" s="2">
        <v>45748.0</v>
      </c>
    </row>
    <row r="60" hidden="1">
      <c r="A60" s="1" t="s">
        <v>62</v>
      </c>
      <c r="B60" s="1" t="s">
        <v>63</v>
      </c>
      <c r="C60" s="1" t="s">
        <v>13</v>
      </c>
      <c r="D60" s="1">
        <v>392.0</v>
      </c>
      <c r="E60" s="1">
        <v>80.0</v>
      </c>
      <c r="F60" s="1">
        <v>5.0</v>
      </c>
      <c r="G60" s="1">
        <v>4.0</v>
      </c>
      <c r="H60" s="1" t="s">
        <v>33</v>
      </c>
      <c r="I60" s="2">
        <v>45701.0</v>
      </c>
      <c r="J60" s="1">
        <v>85000.0</v>
      </c>
      <c r="K60" s="2">
        <v>45689.0</v>
      </c>
    </row>
    <row r="61" hidden="1">
      <c r="A61" s="1" t="s">
        <v>53</v>
      </c>
      <c r="B61" s="1" t="s">
        <v>54</v>
      </c>
      <c r="C61" s="1" t="s">
        <v>13</v>
      </c>
      <c r="D61" s="1">
        <v>198.0</v>
      </c>
      <c r="E61" s="1">
        <v>60.0</v>
      </c>
      <c r="F61" s="1">
        <v>3.0</v>
      </c>
      <c r="G61" s="1">
        <v>8.0</v>
      </c>
      <c r="H61" s="1" t="s">
        <v>14</v>
      </c>
      <c r="I61" s="2">
        <v>45712.0</v>
      </c>
      <c r="J61" s="1">
        <v>165000.0</v>
      </c>
      <c r="K61" s="2">
        <v>45689.0</v>
      </c>
    </row>
    <row r="62" hidden="1">
      <c r="A62" s="1" t="s">
        <v>11</v>
      </c>
      <c r="B62" s="1" t="s">
        <v>12</v>
      </c>
      <c r="C62" s="1" t="s">
        <v>13</v>
      </c>
      <c r="D62" s="1">
        <v>238.0</v>
      </c>
      <c r="E62" s="1">
        <v>50.0</v>
      </c>
      <c r="F62" s="1">
        <v>2.0</v>
      </c>
      <c r="G62" s="1">
        <v>7.0</v>
      </c>
      <c r="H62" s="1" t="s">
        <v>14</v>
      </c>
      <c r="I62" s="2">
        <v>45671.0</v>
      </c>
      <c r="J62" s="1">
        <v>125000.0</v>
      </c>
      <c r="K62" s="2">
        <v>45658.0</v>
      </c>
    </row>
    <row r="63" hidden="1">
      <c r="A63" s="1" t="s">
        <v>46</v>
      </c>
      <c r="B63" s="1" t="s">
        <v>47</v>
      </c>
      <c r="C63" s="1" t="s">
        <v>23</v>
      </c>
      <c r="D63" s="1">
        <v>44.0</v>
      </c>
      <c r="E63" s="1">
        <v>40.0</v>
      </c>
      <c r="F63" s="1">
        <v>5.0</v>
      </c>
      <c r="G63" s="1">
        <v>6.0</v>
      </c>
      <c r="H63" s="1" t="s">
        <v>30</v>
      </c>
      <c r="I63" s="2">
        <v>45799.0</v>
      </c>
      <c r="J63" s="1">
        <v>550000.0</v>
      </c>
      <c r="K63" s="2">
        <v>45778.0</v>
      </c>
    </row>
    <row r="64" hidden="1">
      <c r="A64" s="1" t="s">
        <v>46</v>
      </c>
      <c r="B64" s="1" t="s">
        <v>47</v>
      </c>
      <c r="C64" s="1" t="s">
        <v>23</v>
      </c>
      <c r="D64" s="1">
        <v>28.0</v>
      </c>
      <c r="E64" s="1">
        <v>40.0</v>
      </c>
      <c r="F64" s="1">
        <v>3.0</v>
      </c>
      <c r="G64" s="1">
        <v>6.0</v>
      </c>
      <c r="H64" s="1" t="s">
        <v>30</v>
      </c>
      <c r="I64" s="2">
        <v>45956.0</v>
      </c>
      <c r="J64" s="1">
        <v>550000.0</v>
      </c>
      <c r="K64" s="2">
        <v>45931.0</v>
      </c>
    </row>
    <row r="65" hidden="1">
      <c r="A65" s="1" t="s">
        <v>46</v>
      </c>
      <c r="B65" s="1" t="s">
        <v>47</v>
      </c>
      <c r="C65" s="1" t="s">
        <v>23</v>
      </c>
      <c r="D65" s="1">
        <v>29.0</v>
      </c>
      <c r="E65" s="1">
        <v>40.0</v>
      </c>
      <c r="F65" s="1">
        <v>4.0</v>
      </c>
      <c r="G65" s="1">
        <v>9.0</v>
      </c>
      <c r="H65" s="1" t="s">
        <v>30</v>
      </c>
      <c r="I65" s="2">
        <v>45839.0</v>
      </c>
      <c r="J65" s="1">
        <v>550000.0</v>
      </c>
      <c r="K65" s="2">
        <v>45839.0</v>
      </c>
    </row>
    <row r="66" hidden="1">
      <c r="A66" s="1" t="s">
        <v>62</v>
      </c>
      <c r="B66" s="1" t="s">
        <v>63</v>
      </c>
      <c r="C66" s="1" t="s">
        <v>13</v>
      </c>
      <c r="D66" s="1">
        <v>468.0</v>
      </c>
      <c r="E66" s="1">
        <v>80.0</v>
      </c>
      <c r="F66" s="1">
        <v>5.0</v>
      </c>
      <c r="G66" s="1">
        <v>6.0</v>
      </c>
      <c r="H66" s="1" t="s">
        <v>33</v>
      </c>
      <c r="I66" s="2">
        <v>46079.0</v>
      </c>
      <c r="J66" s="1">
        <v>85000.0</v>
      </c>
      <c r="K66" s="2">
        <v>46054.0</v>
      </c>
    </row>
    <row r="67" hidden="1">
      <c r="A67" s="1" t="s">
        <v>57</v>
      </c>
      <c r="B67" s="1" t="s">
        <v>58</v>
      </c>
      <c r="C67" s="1" t="s">
        <v>42</v>
      </c>
      <c r="D67" s="1">
        <v>16.0</v>
      </c>
      <c r="E67" s="1">
        <v>25.0</v>
      </c>
      <c r="F67" s="1">
        <v>3.0</v>
      </c>
      <c r="G67" s="1">
        <v>6.0</v>
      </c>
      <c r="H67" s="1" t="s">
        <v>59</v>
      </c>
      <c r="I67" s="2">
        <v>45982.0</v>
      </c>
      <c r="J67" s="1">
        <v>450000.0</v>
      </c>
      <c r="K67" s="2">
        <v>45962.0</v>
      </c>
    </row>
    <row r="68" hidden="1">
      <c r="A68" s="1" t="s">
        <v>62</v>
      </c>
      <c r="B68" s="1" t="s">
        <v>63</v>
      </c>
      <c r="C68" s="1" t="s">
        <v>13</v>
      </c>
      <c r="D68" s="1">
        <v>320.0</v>
      </c>
      <c r="E68" s="1">
        <v>80.0</v>
      </c>
      <c r="F68" s="1">
        <v>5.0</v>
      </c>
      <c r="G68" s="1">
        <v>4.0</v>
      </c>
      <c r="H68" s="1" t="s">
        <v>33</v>
      </c>
      <c r="I68" s="2">
        <v>45909.0</v>
      </c>
      <c r="J68" s="1">
        <v>85000.0</v>
      </c>
      <c r="K68" s="2">
        <v>45901.0</v>
      </c>
    </row>
    <row r="69" hidden="1">
      <c r="A69" s="1" t="s">
        <v>38</v>
      </c>
      <c r="B69" s="1" t="s">
        <v>39</v>
      </c>
      <c r="C69" s="1" t="s">
        <v>23</v>
      </c>
      <c r="D69" s="1">
        <v>0.0</v>
      </c>
      <c r="E69" s="1">
        <v>45.0</v>
      </c>
      <c r="F69" s="1">
        <v>10.0</v>
      </c>
      <c r="G69" s="1">
        <v>4.0</v>
      </c>
      <c r="H69" s="1" t="s">
        <v>24</v>
      </c>
      <c r="I69" s="2">
        <v>45768.0</v>
      </c>
      <c r="J69" s="1">
        <v>450000.0</v>
      </c>
      <c r="K69" s="2">
        <v>45748.0</v>
      </c>
    </row>
    <row r="70" hidden="1">
      <c r="A70" s="1" t="s">
        <v>55</v>
      </c>
      <c r="B70" s="1" t="s">
        <v>56</v>
      </c>
      <c r="C70" s="1" t="s">
        <v>36</v>
      </c>
      <c r="D70" s="1">
        <v>29.0</v>
      </c>
      <c r="E70" s="1">
        <v>100.0</v>
      </c>
      <c r="F70" s="1">
        <v>16.0</v>
      </c>
      <c r="G70" s="1">
        <v>5.0</v>
      </c>
      <c r="H70" s="1" t="s">
        <v>37</v>
      </c>
      <c r="I70" s="2">
        <v>45813.0</v>
      </c>
      <c r="J70" s="1">
        <v>85000.0</v>
      </c>
      <c r="K70" s="2">
        <v>45809.0</v>
      </c>
    </row>
    <row r="71" hidden="1">
      <c r="A71" s="1" t="s">
        <v>19</v>
      </c>
      <c r="B71" s="1" t="s">
        <v>20</v>
      </c>
      <c r="C71" s="1" t="s">
        <v>17</v>
      </c>
      <c r="D71" s="1">
        <v>34.0</v>
      </c>
      <c r="E71" s="1">
        <v>30.0</v>
      </c>
      <c r="F71" s="1">
        <v>4.0</v>
      </c>
      <c r="G71" s="1">
        <v>5.0</v>
      </c>
      <c r="H71" s="1" t="s">
        <v>18</v>
      </c>
      <c r="I71" s="2">
        <v>46083.0</v>
      </c>
      <c r="J71" s="1">
        <v>1200000.0</v>
      </c>
      <c r="K71" s="2">
        <v>46082.0</v>
      </c>
    </row>
    <row r="72" hidden="1">
      <c r="A72" s="1" t="s">
        <v>55</v>
      </c>
      <c r="B72" s="1" t="s">
        <v>56</v>
      </c>
      <c r="C72" s="1" t="s">
        <v>36</v>
      </c>
      <c r="D72" s="1">
        <v>60.0</v>
      </c>
      <c r="E72" s="1">
        <v>100.0</v>
      </c>
      <c r="F72" s="1">
        <v>12.0</v>
      </c>
      <c r="G72" s="1">
        <v>4.0</v>
      </c>
      <c r="H72" s="1" t="s">
        <v>37</v>
      </c>
      <c r="I72" s="2">
        <v>45928.0</v>
      </c>
      <c r="J72" s="1">
        <v>85000.0</v>
      </c>
      <c r="K72" s="2">
        <v>45901.0</v>
      </c>
    </row>
    <row r="73" hidden="1">
      <c r="A73" s="1" t="s">
        <v>15</v>
      </c>
      <c r="B73" s="1" t="s">
        <v>16</v>
      </c>
      <c r="C73" s="1" t="s">
        <v>17</v>
      </c>
      <c r="D73" s="1">
        <v>1.0</v>
      </c>
      <c r="E73" s="1">
        <v>15.0</v>
      </c>
      <c r="F73" s="1">
        <v>2.0</v>
      </c>
      <c r="G73" s="1">
        <v>6.0</v>
      </c>
      <c r="H73" s="1" t="s">
        <v>18</v>
      </c>
      <c r="I73" s="2">
        <v>45861.0</v>
      </c>
      <c r="J73" s="1">
        <v>8500000.0</v>
      </c>
      <c r="K73" s="2">
        <v>45839.0</v>
      </c>
    </row>
    <row r="74" hidden="1">
      <c r="A74" s="1" t="s">
        <v>31</v>
      </c>
      <c r="B74" s="1" t="s">
        <v>32</v>
      </c>
      <c r="C74" s="1" t="s">
        <v>13</v>
      </c>
      <c r="D74" s="1">
        <v>177.0</v>
      </c>
      <c r="E74" s="1">
        <v>40.0</v>
      </c>
      <c r="F74" s="1">
        <v>2.0</v>
      </c>
      <c r="G74" s="1">
        <v>4.0</v>
      </c>
      <c r="H74" s="1" t="s">
        <v>33</v>
      </c>
      <c r="I74" s="2">
        <v>45757.0</v>
      </c>
      <c r="J74" s="1">
        <v>550000.0</v>
      </c>
      <c r="K74" s="2">
        <v>45748.0</v>
      </c>
    </row>
    <row r="75" hidden="1">
      <c r="A75" s="1" t="s">
        <v>60</v>
      </c>
      <c r="B75" s="1" t="s">
        <v>61</v>
      </c>
      <c r="C75" s="1" t="s">
        <v>17</v>
      </c>
      <c r="D75" s="1">
        <v>28.0</v>
      </c>
      <c r="E75" s="1">
        <v>20.0</v>
      </c>
      <c r="F75" s="1">
        <v>1.0</v>
      </c>
      <c r="G75" s="1">
        <v>11.0</v>
      </c>
      <c r="H75" s="1" t="s">
        <v>27</v>
      </c>
      <c r="I75" s="2">
        <v>45669.0</v>
      </c>
      <c r="J75" s="1">
        <v>3200000.0</v>
      </c>
      <c r="K75" s="2">
        <v>45658.0</v>
      </c>
    </row>
    <row r="76" hidden="1">
      <c r="A76" s="1" t="s">
        <v>25</v>
      </c>
      <c r="B76" s="1" t="s">
        <v>26</v>
      </c>
      <c r="C76" s="1" t="s">
        <v>17</v>
      </c>
      <c r="D76" s="1">
        <v>42.0</v>
      </c>
      <c r="E76" s="1">
        <v>25.0</v>
      </c>
      <c r="F76" s="1">
        <v>4.0</v>
      </c>
      <c r="G76" s="1">
        <v>19.0</v>
      </c>
      <c r="H76" s="1" t="s">
        <v>27</v>
      </c>
      <c r="I76" s="2">
        <v>45881.0</v>
      </c>
      <c r="J76" s="1">
        <v>4500000.0</v>
      </c>
      <c r="K76" s="2">
        <v>45870.0</v>
      </c>
    </row>
    <row r="77" hidden="1">
      <c r="A77" s="1" t="s">
        <v>51</v>
      </c>
      <c r="B77" s="1" t="s">
        <v>52</v>
      </c>
      <c r="C77" s="1" t="s">
        <v>36</v>
      </c>
      <c r="D77" s="1">
        <v>18.0</v>
      </c>
      <c r="E77" s="1">
        <v>60.0</v>
      </c>
      <c r="F77" s="1">
        <v>8.0</v>
      </c>
      <c r="G77" s="1">
        <v>5.0</v>
      </c>
      <c r="H77" s="1" t="s">
        <v>50</v>
      </c>
      <c r="I77" s="2">
        <v>45712.0</v>
      </c>
      <c r="K77" s="2">
        <v>45689.0</v>
      </c>
    </row>
    <row r="78" hidden="1">
      <c r="A78" s="1" t="s">
        <v>19</v>
      </c>
      <c r="B78" s="1" t="s">
        <v>20</v>
      </c>
      <c r="C78" s="1" t="s">
        <v>17</v>
      </c>
      <c r="D78" s="1">
        <v>17.0</v>
      </c>
      <c r="E78" s="1">
        <v>30.0</v>
      </c>
      <c r="F78" s="1">
        <v>6.0</v>
      </c>
      <c r="G78" s="1">
        <v>8.0</v>
      </c>
      <c r="H78" s="1" t="s">
        <v>18</v>
      </c>
      <c r="I78" s="2">
        <v>45996.0</v>
      </c>
      <c r="J78" s="1">
        <v>1200000.0</v>
      </c>
      <c r="K78" s="2">
        <v>45992.0</v>
      </c>
    </row>
    <row r="79" hidden="1">
      <c r="A79" s="1" t="s">
        <v>11</v>
      </c>
      <c r="B79" s="1" t="s">
        <v>12</v>
      </c>
      <c r="C79" s="1" t="s">
        <v>13</v>
      </c>
      <c r="D79" s="1">
        <v>238.0</v>
      </c>
      <c r="E79" s="1">
        <v>50.0</v>
      </c>
      <c r="F79" s="1">
        <v>2.0</v>
      </c>
      <c r="G79" s="1">
        <v>7.0</v>
      </c>
      <c r="H79" s="1" t="s">
        <v>14</v>
      </c>
      <c r="I79" s="2">
        <v>45671.0</v>
      </c>
      <c r="J79" s="1">
        <v>125000.0</v>
      </c>
      <c r="K79" s="2">
        <v>45658.0</v>
      </c>
    </row>
    <row r="80" hidden="1">
      <c r="A80" s="1" t="s">
        <v>46</v>
      </c>
      <c r="B80" s="1" t="s">
        <v>47</v>
      </c>
      <c r="C80" s="1" t="s">
        <v>23</v>
      </c>
      <c r="D80" s="1">
        <v>0.0</v>
      </c>
      <c r="E80" s="1">
        <v>40.0</v>
      </c>
      <c r="F80" s="1">
        <v>10.0</v>
      </c>
      <c r="G80" s="1">
        <v>7.0</v>
      </c>
      <c r="H80" s="1" t="s">
        <v>30</v>
      </c>
      <c r="I80" s="2">
        <v>46109.0</v>
      </c>
      <c r="J80" s="1">
        <v>550000.0</v>
      </c>
      <c r="K80" s="2">
        <v>46082.0</v>
      </c>
    </row>
    <row r="81" hidden="1">
      <c r="A81" s="1" t="s">
        <v>34</v>
      </c>
      <c r="B81" s="1" t="s">
        <v>35</v>
      </c>
      <c r="C81" s="1" t="s">
        <v>36</v>
      </c>
      <c r="E81" s="1">
        <v>80.0</v>
      </c>
      <c r="F81" s="1">
        <v>11.0</v>
      </c>
      <c r="G81" s="1">
        <v>4.0</v>
      </c>
      <c r="H81" s="1" t="s">
        <v>37</v>
      </c>
      <c r="I81" s="2">
        <v>45766.0</v>
      </c>
      <c r="J81" s="1">
        <v>65000.0</v>
      </c>
      <c r="K81" s="2">
        <v>45748.0</v>
      </c>
    </row>
    <row r="82" hidden="1">
      <c r="A82" s="1" t="s">
        <v>55</v>
      </c>
      <c r="B82" s="1" t="s">
        <v>56</v>
      </c>
      <c r="C82" s="1" t="s">
        <v>36</v>
      </c>
      <c r="D82" s="1">
        <v>26.0</v>
      </c>
      <c r="E82" s="1">
        <v>100.0</v>
      </c>
      <c r="F82" s="1">
        <v>16.0</v>
      </c>
      <c r="G82" s="1">
        <v>4.0</v>
      </c>
      <c r="H82" s="1" t="s">
        <v>37</v>
      </c>
      <c r="I82" s="2">
        <v>45778.0</v>
      </c>
      <c r="J82" s="1">
        <v>85000.0</v>
      </c>
      <c r="K82" s="2">
        <v>45778.0</v>
      </c>
    </row>
    <row r="83" hidden="1">
      <c r="A83" s="1" t="s">
        <v>62</v>
      </c>
      <c r="B83" s="1" t="s">
        <v>63</v>
      </c>
      <c r="C83" s="1" t="s">
        <v>13</v>
      </c>
      <c r="D83" s="1">
        <v>301.0</v>
      </c>
      <c r="E83" s="1">
        <v>80.0</v>
      </c>
      <c r="F83" s="1">
        <v>3.0</v>
      </c>
      <c r="G83" s="1">
        <v>4.0</v>
      </c>
      <c r="H83" s="1" t="s">
        <v>33</v>
      </c>
      <c r="I83" s="2">
        <v>45936.0</v>
      </c>
      <c r="J83" s="1">
        <v>85000.0</v>
      </c>
      <c r="K83" s="2">
        <v>45931.0</v>
      </c>
    </row>
    <row r="84" hidden="1">
      <c r="A84" s="1" t="s">
        <v>57</v>
      </c>
      <c r="B84" s="1" t="s">
        <v>58</v>
      </c>
      <c r="C84" s="1" t="s">
        <v>42</v>
      </c>
      <c r="D84" s="1">
        <v>19.0</v>
      </c>
      <c r="E84" s="1">
        <v>25.0</v>
      </c>
      <c r="F84" s="1">
        <v>4.0</v>
      </c>
      <c r="G84" s="1">
        <v>10.0</v>
      </c>
      <c r="H84" s="1" t="s">
        <v>59</v>
      </c>
      <c r="I84" s="2">
        <v>45729.0</v>
      </c>
      <c r="J84" s="1">
        <v>450000.0</v>
      </c>
      <c r="K84" s="2">
        <v>45717.0</v>
      </c>
    </row>
    <row r="85" hidden="1">
      <c r="A85" s="1" t="s">
        <v>44</v>
      </c>
      <c r="B85" s="1" t="s">
        <v>45</v>
      </c>
      <c r="C85" s="1" t="s">
        <v>42</v>
      </c>
      <c r="D85" s="1">
        <v>51.0</v>
      </c>
      <c r="E85" s="1">
        <v>30.0</v>
      </c>
      <c r="F85" s="1">
        <v>6.0</v>
      </c>
      <c r="G85" s="1">
        <v>9.0</v>
      </c>
      <c r="H85" s="1" t="s">
        <v>43</v>
      </c>
      <c r="I85" s="2">
        <v>45752.0</v>
      </c>
      <c r="J85" s="1">
        <v>350000.0</v>
      </c>
      <c r="K85" s="2">
        <v>45748.0</v>
      </c>
    </row>
    <row r="86" hidden="1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</row>
    <row r="87" hidden="1">
      <c r="A87" s="1" t="s">
        <v>53</v>
      </c>
      <c r="B87" s="1" t="s">
        <v>54</v>
      </c>
      <c r="C87" s="1" t="s">
        <v>13</v>
      </c>
      <c r="D87" s="1">
        <v>223.0</v>
      </c>
      <c r="E87" s="1">
        <v>60.0</v>
      </c>
      <c r="F87" s="1">
        <v>4.0</v>
      </c>
      <c r="G87" s="1">
        <v>8.0</v>
      </c>
      <c r="H87" s="1" t="s">
        <v>14</v>
      </c>
      <c r="I87" s="2">
        <v>46108.0</v>
      </c>
      <c r="J87" s="1">
        <v>165000.0</v>
      </c>
      <c r="K87" s="2">
        <v>46082.0</v>
      </c>
    </row>
    <row r="88" hidden="1">
      <c r="A88" s="1" t="s">
        <v>21</v>
      </c>
      <c r="B88" s="1" t="s">
        <v>22</v>
      </c>
      <c r="C88" s="1" t="s">
        <v>23</v>
      </c>
      <c r="D88" s="1">
        <v>34.0</v>
      </c>
      <c r="E88" s="1">
        <v>50.0</v>
      </c>
      <c r="F88" s="1">
        <v>6.0</v>
      </c>
      <c r="G88" s="1">
        <v>6.0</v>
      </c>
      <c r="H88" s="1" t="s">
        <v>24</v>
      </c>
      <c r="I88" s="2">
        <v>45849.0</v>
      </c>
      <c r="J88" s="1">
        <v>350000.0</v>
      </c>
      <c r="K88" s="2">
        <v>45839.0</v>
      </c>
    </row>
    <row r="89" hidden="1">
      <c r="A89" s="1" t="s">
        <v>46</v>
      </c>
      <c r="B89" s="1" t="s">
        <v>47</v>
      </c>
      <c r="C89" s="1" t="s">
        <v>23</v>
      </c>
      <c r="D89" s="1">
        <v>10.0</v>
      </c>
      <c r="E89" s="1">
        <v>40.0</v>
      </c>
      <c r="F89" s="1">
        <v>4.0</v>
      </c>
      <c r="G89" s="1">
        <v>3.0</v>
      </c>
      <c r="H89" s="1" t="s">
        <v>30</v>
      </c>
      <c r="I89" s="2">
        <v>46055.0</v>
      </c>
      <c r="J89" s="1">
        <v>550000.0</v>
      </c>
      <c r="K89" s="2">
        <v>46054.0</v>
      </c>
    </row>
    <row r="90" hidden="1">
      <c r="A90" s="1" t="s">
        <v>62</v>
      </c>
      <c r="B90" s="1" t="s">
        <v>63</v>
      </c>
      <c r="C90" s="1" t="s">
        <v>13</v>
      </c>
      <c r="D90" s="1">
        <v>436.0</v>
      </c>
      <c r="E90" s="1">
        <v>80.0</v>
      </c>
      <c r="F90" s="1">
        <v>4.0</v>
      </c>
      <c r="G90" s="1">
        <v>4.0</v>
      </c>
      <c r="H90" s="1" t="s">
        <v>33</v>
      </c>
      <c r="I90" s="2">
        <v>45755.0</v>
      </c>
      <c r="J90" s="1">
        <v>85000.0</v>
      </c>
      <c r="K90" s="2">
        <v>45748.0</v>
      </c>
    </row>
    <row r="91" hidden="1">
      <c r="A91" s="1" t="s">
        <v>25</v>
      </c>
      <c r="B91" s="1" t="s">
        <v>26</v>
      </c>
      <c r="C91" s="1" t="s">
        <v>17</v>
      </c>
      <c r="D91" s="1">
        <v>0.0</v>
      </c>
      <c r="E91" s="1">
        <v>25.0</v>
      </c>
      <c r="F91" s="1">
        <v>8.0</v>
      </c>
      <c r="G91" s="1">
        <v>10.0</v>
      </c>
      <c r="H91" s="1" t="s">
        <v>27</v>
      </c>
      <c r="I91" s="2">
        <v>46013.0</v>
      </c>
      <c r="J91" s="1">
        <v>4500000.0</v>
      </c>
      <c r="K91" s="2">
        <v>45992.0</v>
      </c>
    </row>
    <row r="92" hidden="1">
      <c r="A92" s="1" t="s">
        <v>25</v>
      </c>
      <c r="B92" s="1" t="s">
        <v>26</v>
      </c>
      <c r="C92" s="1" t="s">
        <v>17</v>
      </c>
      <c r="D92" s="1">
        <v>20.0</v>
      </c>
      <c r="E92" s="1">
        <v>25.0</v>
      </c>
      <c r="F92" s="1">
        <v>4.0</v>
      </c>
      <c r="G92" s="1">
        <v>19.0</v>
      </c>
      <c r="H92" s="1" t="s">
        <v>27</v>
      </c>
      <c r="I92" s="2">
        <v>45786.0</v>
      </c>
      <c r="J92" s="1">
        <v>4500000.0</v>
      </c>
      <c r="K92" s="2">
        <v>45778.0</v>
      </c>
    </row>
    <row r="93" hidden="1">
      <c r="A93" s="1" t="s">
        <v>57</v>
      </c>
      <c r="B93" s="1" t="s">
        <v>58</v>
      </c>
      <c r="C93" s="1" t="s">
        <v>42</v>
      </c>
      <c r="D93" s="1">
        <v>42.0</v>
      </c>
      <c r="E93" s="1">
        <v>25.0</v>
      </c>
      <c r="F93" s="1">
        <v>4.0</v>
      </c>
      <c r="G93" s="1">
        <v>8.0</v>
      </c>
      <c r="H93" s="1" t="s">
        <v>59</v>
      </c>
      <c r="I93" s="2">
        <v>46029.0</v>
      </c>
      <c r="J93" s="1">
        <v>450000.0</v>
      </c>
      <c r="K93" s="2">
        <v>46023.0</v>
      </c>
    </row>
    <row r="94" hidden="1">
      <c r="A94" s="1" t="s">
        <v>28</v>
      </c>
      <c r="B94" s="1" t="s">
        <v>29</v>
      </c>
      <c r="C94" s="1" t="s">
        <v>23</v>
      </c>
      <c r="D94" s="1">
        <v>0.0</v>
      </c>
      <c r="E94" s="1">
        <v>35.0</v>
      </c>
      <c r="F94" s="1">
        <v>12.0</v>
      </c>
      <c r="G94" s="1">
        <v>9.0</v>
      </c>
      <c r="H94" s="1" t="s">
        <v>30</v>
      </c>
      <c r="I94" s="2">
        <v>45746.0</v>
      </c>
      <c r="J94" s="1">
        <v>1250000.0</v>
      </c>
      <c r="K94" s="2">
        <v>45717.0</v>
      </c>
    </row>
    <row r="95" hidden="1">
      <c r="A95" s="1" t="s">
        <v>38</v>
      </c>
      <c r="B95" s="1" t="s">
        <v>39</v>
      </c>
      <c r="C95" s="1" t="s">
        <v>23</v>
      </c>
      <c r="D95" s="1">
        <v>34.0</v>
      </c>
      <c r="E95" s="1">
        <v>45.0</v>
      </c>
      <c r="F95" s="1">
        <v>5.0</v>
      </c>
      <c r="G95" s="1">
        <v>4.0</v>
      </c>
      <c r="H95" s="1" t="s">
        <v>24</v>
      </c>
      <c r="I95" s="2">
        <v>45801.0</v>
      </c>
      <c r="J95" s="1">
        <v>450000.0</v>
      </c>
      <c r="K95" s="2">
        <v>45778.0</v>
      </c>
    </row>
    <row r="96" hidden="1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10.0</v>
      </c>
      <c r="G96" s="1">
        <v>7.0</v>
      </c>
      <c r="H96" s="1" t="s">
        <v>30</v>
      </c>
      <c r="I96" s="2">
        <v>46008.0</v>
      </c>
      <c r="J96" s="1">
        <v>1250000.0</v>
      </c>
      <c r="K96" s="2">
        <v>45992.0</v>
      </c>
    </row>
    <row r="97" hidden="1">
      <c r="A97" s="1" t="s">
        <v>31</v>
      </c>
      <c r="B97" s="1" t="s">
        <v>32</v>
      </c>
      <c r="C97" s="1" t="s">
        <v>13</v>
      </c>
      <c r="D97" s="1">
        <v>169.0</v>
      </c>
      <c r="E97" s="1">
        <v>40.0</v>
      </c>
      <c r="F97" s="1">
        <v>3.0</v>
      </c>
      <c r="G97" s="1">
        <v>4.0</v>
      </c>
      <c r="H97" s="1" t="s">
        <v>33</v>
      </c>
      <c r="I97" s="2">
        <v>46074.0</v>
      </c>
      <c r="J97" s="1">
        <v>550000.0</v>
      </c>
      <c r="K97" s="2">
        <v>46054.0</v>
      </c>
    </row>
    <row r="98" hidden="1">
      <c r="A98" s="1" t="s">
        <v>21</v>
      </c>
      <c r="B98" s="1" t="s">
        <v>22</v>
      </c>
      <c r="C98" s="1" t="s">
        <v>23</v>
      </c>
      <c r="D98" s="1">
        <v>15.0</v>
      </c>
      <c r="E98" s="1">
        <v>50.0</v>
      </c>
      <c r="F98" s="1">
        <v>7.0</v>
      </c>
      <c r="G98" s="1">
        <v>7.0</v>
      </c>
      <c r="H98" s="1" t="s">
        <v>24</v>
      </c>
      <c r="I98" s="2">
        <v>46032.0</v>
      </c>
      <c r="J98" s="1">
        <v>350000.0</v>
      </c>
      <c r="K98" s="2">
        <v>46023.0</v>
      </c>
    </row>
    <row r="99" hidden="1">
      <c r="A99" s="1" t="s">
        <v>48</v>
      </c>
      <c r="B99" s="1" t="s">
        <v>49</v>
      </c>
      <c r="C99" s="1" t="s">
        <v>36</v>
      </c>
      <c r="D99" s="1">
        <v>48.0</v>
      </c>
      <c r="E99" s="1">
        <v>120.0</v>
      </c>
      <c r="F99" s="1">
        <v>18.0</v>
      </c>
      <c r="G99" s="1">
        <v>6.0</v>
      </c>
      <c r="H99" s="1" t="s">
        <v>50</v>
      </c>
      <c r="I99" s="2">
        <v>46074.0</v>
      </c>
      <c r="J99" s="1">
        <v>55000.0</v>
      </c>
      <c r="K99" s="2">
        <v>46054.0</v>
      </c>
    </row>
    <row r="100" hidden="1">
      <c r="A100" s="1" t="s">
        <v>25</v>
      </c>
      <c r="B100" s="1" t="s">
        <v>26</v>
      </c>
      <c r="C100" s="1" t="s">
        <v>17</v>
      </c>
      <c r="D100" s="1">
        <v>0.0</v>
      </c>
      <c r="E100" s="1">
        <v>25.0</v>
      </c>
      <c r="F100" s="1">
        <v>3.0</v>
      </c>
      <c r="G100" s="1">
        <v>18.0</v>
      </c>
      <c r="H100" s="1" t="s">
        <v>27</v>
      </c>
      <c r="I100" s="2">
        <v>45663.0</v>
      </c>
      <c r="J100" s="1">
        <v>4500000.0</v>
      </c>
      <c r="K100" s="2">
        <v>45658.0</v>
      </c>
    </row>
    <row r="101" hidden="1">
      <c r="A101" s="1" t="s">
        <v>15</v>
      </c>
      <c r="B101" s="1" t="s">
        <v>16</v>
      </c>
      <c r="C101" s="1" t="s">
        <v>17</v>
      </c>
      <c r="D101" s="1">
        <v>0.0</v>
      </c>
      <c r="E101" s="1">
        <v>15.0</v>
      </c>
      <c r="F101" s="1">
        <v>3.0</v>
      </c>
      <c r="G101" s="1">
        <v>8.0</v>
      </c>
      <c r="H101" s="1" t="s">
        <v>18</v>
      </c>
      <c r="I101" s="2">
        <v>45979.0</v>
      </c>
      <c r="J101" s="1">
        <v>8500000.0</v>
      </c>
      <c r="K101" s="2">
        <v>45962.0</v>
      </c>
    </row>
    <row r="102" hidden="1">
      <c r="A102" s="1" t="s">
        <v>44</v>
      </c>
      <c r="B102" s="1" t="s">
        <v>45</v>
      </c>
      <c r="C102" s="1" t="s">
        <v>42</v>
      </c>
      <c r="D102" s="1">
        <v>53.0</v>
      </c>
      <c r="E102" s="1">
        <v>30.0</v>
      </c>
      <c r="F102" s="1">
        <v>5.0</v>
      </c>
      <c r="G102" s="1">
        <v>4.0</v>
      </c>
      <c r="H102" s="1" t="s">
        <v>43</v>
      </c>
      <c r="I102" s="2">
        <v>45730.0</v>
      </c>
      <c r="J102" s="1">
        <v>350000.0</v>
      </c>
      <c r="K102" s="2">
        <v>45717.0</v>
      </c>
    </row>
    <row r="103" hidden="1">
      <c r="A103" s="1" t="s">
        <v>40</v>
      </c>
      <c r="B103" s="1" t="s">
        <v>41</v>
      </c>
      <c r="C103" s="1" t="s">
        <v>42</v>
      </c>
      <c r="D103" s="1">
        <v>12.0</v>
      </c>
      <c r="E103" s="1">
        <v>15.0</v>
      </c>
      <c r="F103" s="1">
        <v>4.0</v>
      </c>
      <c r="G103" s="1">
        <v>10.0</v>
      </c>
      <c r="H103" s="1" t="s">
        <v>43</v>
      </c>
      <c r="I103" s="2">
        <v>45717.0</v>
      </c>
      <c r="J103" s="1">
        <v>1200000.0</v>
      </c>
      <c r="K103" s="2">
        <v>45717.0</v>
      </c>
    </row>
    <row r="104" hidden="1">
      <c r="A104" s="1" t="s">
        <v>28</v>
      </c>
      <c r="B104" s="1" t="s">
        <v>29</v>
      </c>
      <c r="C104" s="1" t="s">
        <v>23</v>
      </c>
      <c r="D104" s="1">
        <v>31.0</v>
      </c>
      <c r="E104" s="1">
        <v>35.0</v>
      </c>
      <c r="F104" s="1">
        <v>3.0</v>
      </c>
      <c r="G104" s="1">
        <v>6.0</v>
      </c>
      <c r="H104" s="1" t="s">
        <v>30</v>
      </c>
      <c r="I104" s="2">
        <v>45891.0</v>
      </c>
      <c r="J104" s="1">
        <v>1250000.0</v>
      </c>
      <c r="K104" s="2">
        <v>45870.0</v>
      </c>
    </row>
    <row r="105" hidden="1">
      <c r="A105" s="1" t="s">
        <v>21</v>
      </c>
      <c r="B105" s="1" t="s">
        <v>22</v>
      </c>
      <c r="C105" s="1" t="s">
        <v>23</v>
      </c>
      <c r="D105" s="1">
        <v>21.0</v>
      </c>
      <c r="E105" s="1">
        <v>50.0</v>
      </c>
      <c r="F105" s="1">
        <v>7.0</v>
      </c>
      <c r="G105" s="1">
        <v>3.0</v>
      </c>
      <c r="H105" s="1" t="s">
        <v>24</v>
      </c>
      <c r="I105" s="2">
        <v>45918.0</v>
      </c>
      <c r="J105" s="1">
        <v>350000.0</v>
      </c>
      <c r="K105" s="2">
        <v>45901.0</v>
      </c>
    </row>
    <row r="106" hidden="1">
      <c r="A106" s="1" t="s">
        <v>11</v>
      </c>
      <c r="B106" s="1" t="s">
        <v>12</v>
      </c>
      <c r="C106" s="1" t="s">
        <v>13</v>
      </c>
      <c r="D106" s="1">
        <v>250.0</v>
      </c>
      <c r="E106" s="1">
        <v>50.0</v>
      </c>
      <c r="F106" s="1">
        <v>1.0</v>
      </c>
      <c r="G106" s="1">
        <v>7.0</v>
      </c>
      <c r="H106" s="1" t="s">
        <v>14</v>
      </c>
      <c r="I106" s="2">
        <v>46050.0</v>
      </c>
      <c r="J106" s="1">
        <v>125000.0</v>
      </c>
      <c r="K106" s="2">
        <v>46023.0</v>
      </c>
    </row>
    <row r="107">
      <c r="A107" s="1" t="s">
        <v>60</v>
      </c>
      <c r="B107" s="1" t="s">
        <v>61</v>
      </c>
      <c r="C107" s="1" t="s">
        <v>17</v>
      </c>
      <c r="D107" s="1">
        <v>-19.0</v>
      </c>
      <c r="E107" s="1">
        <v>20.0</v>
      </c>
      <c r="F107" s="1">
        <v>2.0</v>
      </c>
      <c r="G107" s="1">
        <v>18.0</v>
      </c>
      <c r="H107" s="1" t="s">
        <v>27</v>
      </c>
      <c r="I107" s="2">
        <v>45884.0</v>
      </c>
      <c r="J107" s="1">
        <v>3200000.0</v>
      </c>
      <c r="K107" s="2">
        <v>45870.0</v>
      </c>
    </row>
    <row r="108" hidden="1">
      <c r="A108" s="1" t="s">
        <v>25</v>
      </c>
      <c r="B108" s="1" t="s">
        <v>26</v>
      </c>
      <c r="C108" s="1" t="s">
        <v>17</v>
      </c>
      <c r="D108" s="1">
        <v>32.0</v>
      </c>
      <c r="E108" s="1">
        <v>25.0</v>
      </c>
      <c r="F108" s="1">
        <v>4.0</v>
      </c>
      <c r="G108" s="1">
        <v>9.0</v>
      </c>
      <c r="H108" s="1" t="s">
        <v>27</v>
      </c>
      <c r="I108" s="2">
        <v>45708.0</v>
      </c>
      <c r="J108" s="1">
        <v>4500000.0</v>
      </c>
      <c r="K108" s="2">
        <v>45689.0</v>
      </c>
    </row>
    <row r="109">
      <c r="A109" s="1" t="s">
        <v>19</v>
      </c>
      <c r="B109" s="1" t="s">
        <v>20</v>
      </c>
      <c r="C109" s="1" t="s">
        <v>17</v>
      </c>
      <c r="D109" s="1">
        <v>-12.0</v>
      </c>
      <c r="E109" s="1">
        <v>30.0</v>
      </c>
      <c r="F109" s="1">
        <v>6.0</v>
      </c>
      <c r="G109" s="1">
        <v>7.0</v>
      </c>
      <c r="H109" s="1" t="s">
        <v>18</v>
      </c>
      <c r="I109" s="2">
        <v>45975.0</v>
      </c>
      <c r="J109" s="1">
        <v>1200000.0</v>
      </c>
      <c r="K109" s="2">
        <v>45962.0</v>
      </c>
    </row>
    <row r="110" hidden="1">
      <c r="A110" s="1" t="s">
        <v>40</v>
      </c>
      <c r="B110" s="1" t="s">
        <v>41</v>
      </c>
      <c r="C110" s="1" t="s">
        <v>42</v>
      </c>
      <c r="D110" s="1">
        <v>3.0</v>
      </c>
      <c r="E110" s="1">
        <v>15.0</v>
      </c>
      <c r="F110" s="1">
        <v>3.0</v>
      </c>
      <c r="G110" s="1">
        <v>8.0</v>
      </c>
      <c r="H110" s="1" t="s">
        <v>43</v>
      </c>
      <c r="I110" s="2">
        <v>45815.0</v>
      </c>
      <c r="J110" s="1">
        <v>1200000.0</v>
      </c>
      <c r="K110" s="2">
        <v>45809.0</v>
      </c>
    </row>
    <row r="111" hidden="1">
      <c r="A111" s="1" t="s">
        <v>51</v>
      </c>
      <c r="B111" s="1" t="s">
        <v>52</v>
      </c>
      <c r="C111" s="1" t="s">
        <v>36</v>
      </c>
      <c r="D111" s="1">
        <v>0.0</v>
      </c>
      <c r="E111" s="1">
        <v>60.0</v>
      </c>
      <c r="F111" s="1">
        <v>13.0</v>
      </c>
      <c r="G111" s="1">
        <v>4.0</v>
      </c>
      <c r="H111" s="1" t="s">
        <v>50</v>
      </c>
      <c r="I111" s="2">
        <v>46004.0</v>
      </c>
      <c r="J111" s="1">
        <v>175000.0</v>
      </c>
      <c r="K111" s="2">
        <v>45992.0</v>
      </c>
    </row>
    <row r="112" hidden="1">
      <c r="A112" s="1" t="s">
        <v>21</v>
      </c>
      <c r="B112" s="1" t="s">
        <v>22</v>
      </c>
      <c r="C112" s="1" t="s">
        <v>23</v>
      </c>
      <c r="D112" s="1">
        <v>26.0</v>
      </c>
      <c r="E112" s="1">
        <v>50.0</v>
      </c>
      <c r="F112" s="1">
        <v>8.0</v>
      </c>
      <c r="G112" s="1">
        <v>3.0</v>
      </c>
      <c r="H112" s="1" t="s">
        <v>24</v>
      </c>
      <c r="I112" s="2">
        <v>45884.0</v>
      </c>
      <c r="J112" s="1">
        <v>350000.0</v>
      </c>
      <c r="K112" s="2">
        <v>45870.0</v>
      </c>
    </row>
    <row r="113" hidden="1">
      <c r="A113" s="1" t="s">
        <v>46</v>
      </c>
      <c r="B113" s="1" t="s">
        <v>47</v>
      </c>
      <c r="C113" s="1" t="s">
        <v>23</v>
      </c>
      <c r="D113" s="1">
        <v>32.0</v>
      </c>
      <c r="E113" s="1">
        <v>40.0</v>
      </c>
      <c r="F113" s="1">
        <v>5.0</v>
      </c>
      <c r="G113" s="1">
        <v>5.0</v>
      </c>
      <c r="H113" s="1" t="s">
        <v>30</v>
      </c>
      <c r="I113" s="2">
        <v>45915.0</v>
      </c>
      <c r="J113" s="1">
        <v>550000.0</v>
      </c>
      <c r="K113" s="2">
        <v>45901.0</v>
      </c>
    </row>
    <row r="114" hidden="1">
      <c r="A114" s="1" t="s">
        <v>21</v>
      </c>
      <c r="B114" s="1" t="s">
        <v>22</v>
      </c>
      <c r="C114" s="1" t="s">
        <v>23</v>
      </c>
      <c r="D114" s="1">
        <v>28.0</v>
      </c>
      <c r="E114" s="1">
        <v>50.0</v>
      </c>
      <c r="F114" s="1">
        <v>7.0</v>
      </c>
      <c r="G114" s="1">
        <v>7.0</v>
      </c>
      <c r="H114" s="1" t="s">
        <v>24</v>
      </c>
      <c r="I114" s="2">
        <v>45939.0</v>
      </c>
      <c r="J114" s="1">
        <v>350000.0</v>
      </c>
      <c r="K114" s="2">
        <v>45931.0</v>
      </c>
    </row>
    <row r="115" hidden="1">
      <c r="A115" s="1" t="s">
        <v>60</v>
      </c>
      <c r="B115" s="1" t="s">
        <v>61</v>
      </c>
      <c r="C115" s="1" t="s">
        <v>17</v>
      </c>
      <c r="D115" s="1">
        <v>0.0</v>
      </c>
      <c r="E115" s="1">
        <v>20.0</v>
      </c>
      <c r="F115" s="1">
        <v>1.0</v>
      </c>
      <c r="G115" s="1">
        <v>23.0</v>
      </c>
      <c r="H115" s="1" t="s">
        <v>27</v>
      </c>
      <c r="I115" s="2">
        <v>45689.0</v>
      </c>
      <c r="J115" s="1">
        <v>3200000.0</v>
      </c>
      <c r="K115" s="2">
        <v>45689.0</v>
      </c>
    </row>
    <row r="116" hidden="1">
      <c r="A116" s="1" t="s">
        <v>31</v>
      </c>
      <c r="B116" s="1" t="s">
        <v>32</v>
      </c>
      <c r="C116" s="1" t="s">
        <v>13</v>
      </c>
      <c r="D116" s="1">
        <v>221.0</v>
      </c>
      <c r="E116" s="1">
        <v>40.0</v>
      </c>
      <c r="F116" s="1">
        <v>2.0</v>
      </c>
      <c r="G116" s="1">
        <v>5.0</v>
      </c>
      <c r="H116" s="1" t="s">
        <v>33</v>
      </c>
      <c r="I116" s="2">
        <v>45791.0</v>
      </c>
      <c r="J116" s="1">
        <v>550000.0</v>
      </c>
      <c r="K116" s="2">
        <v>45778.0</v>
      </c>
    </row>
    <row r="117" hidden="1">
      <c r="A117" s="1" t="s">
        <v>40</v>
      </c>
      <c r="B117" s="1" t="s">
        <v>41</v>
      </c>
      <c r="C117" s="1" t="s">
        <v>42</v>
      </c>
      <c r="D117" s="1">
        <v>22.0</v>
      </c>
      <c r="E117" s="1">
        <v>15.0</v>
      </c>
      <c r="F117" s="1">
        <v>3.0</v>
      </c>
      <c r="G117" s="1">
        <v>4.0</v>
      </c>
      <c r="H117" s="1" t="s">
        <v>43</v>
      </c>
      <c r="I117" s="2">
        <v>45919.0</v>
      </c>
      <c r="J117" s="1">
        <v>1200000.0</v>
      </c>
      <c r="K117" s="2">
        <v>45901.0</v>
      </c>
    </row>
    <row r="118" hidden="1">
      <c r="A118" s="1" t="s">
        <v>11</v>
      </c>
      <c r="B118" s="1" t="s">
        <v>12</v>
      </c>
      <c r="C118" s="1" t="s">
        <v>13</v>
      </c>
      <c r="D118" s="1">
        <v>185.0</v>
      </c>
      <c r="E118" s="1">
        <v>50.0</v>
      </c>
      <c r="F118" s="1">
        <v>2.0</v>
      </c>
      <c r="G118" s="1">
        <v>8.0</v>
      </c>
      <c r="H118" s="1" t="s">
        <v>14</v>
      </c>
      <c r="I118" s="2">
        <v>46078.0</v>
      </c>
      <c r="J118" s="1">
        <v>125000.0</v>
      </c>
      <c r="K118" s="2">
        <v>46054.0</v>
      </c>
    </row>
    <row r="119" hidden="1">
      <c r="A119" s="1" t="s">
        <v>64</v>
      </c>
      <c r="B119" s="1" t="s">
        <v>65</v>
      </c>
      <c r="C119" s="1" t="s">
        <v>42</v>
      </c>
      <c r="D119" s="1">
        <v>32.0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45865.0</v>
      </c>
      <c r="J119" s="1">
        <v>750000.0</v>
      </c>
      <c r="K119" s="2">
        <v>45839.0</v>
      </c>
    </row>
    <row r="120" hidden="1">
      <c r="A120" s="1" t="s">
        <v>25</v>
      </c>
      <c r="B120" s="1" t="s">
        <v>26</v>
      </c>
      <c r="C120" s="1" t="s">
        <v>17</v>
      </c>
      <c r="D120" s="1">
        <v>32.0</v>
      </c>
      <c r="E120" s="1">
        <v>25.0</v>
      </c>
      <c r="F120" s="1">
        <v>3.0</v>
      </c>
      <c r="G120" s="1">
        <v>8.0</v>
      </c>
      <c r="H120" s="1" t="s">
        <v>27</v>
      </c>
      <c r="I120" s="2">
        <v>45755.0</v>
      </c>
      <c r="J120" s="1">
        <v>4500000.0</v>
      </c>
      <c r="K120" s="2">
        <v>45748.0</v>
      </c>
    </row>
    <row r="121" hidden="1">
      <c r="A121" s="1" t="s">
        <v>48</v>
      </c>
      <c r="B121" s="1" t="s">
        <v>49</v>
      </c>
      <c r="C121" s="1" t="s">
        <v>36</v>
      </c>
      <c r="D121" s="1">
        <v>154.0</v>
      </c>
      <c r="E121" s="1">
        <v>120.0</v>
      </c>
      <c r="F121" s="1">
        <v>19.0</v>
      </c>
      <c r="G121" s="1">
        <v>6.0</v>
      </c>
      <c r="H121" s="1" t="s">
        <v>50</v>
      </c>
      <c r="I121" s="2">
        <v>45978.0</v>
      </c>
      <c r="J121" s="1">
        <v>55000.0</v>
      </c>
      <c r="K121" s="2">
        <v>45962.0</v>
      </c>
    </row>
    <row r="122" hidden="1">
      <c r="A122" s="1" t="s">
        <v>28</v>
      </c>
      <c r="B122" s="1" t="s">
        <v>29</v>
      </c>
      <c r="C122" s="1" t="s">
        <v>23</v>
      </c>
      <c r="D122" s="1">
        <v>18.0</v>
      </c>
      <c r="E122" s="1">
        <v>35.0</v>
      </c>
      <c r="F122" s="1">
        <v>7.0</v>
      </c>
      <c r="G122" s="1">
        <v>5.0</v>
      </c>
      <c r="H122" s="1" t="s">
        <v>30</v>
      </c>
      <c r="I122" s="2">
        <v>45859.0</v>
      </c>
      <c r="J122" s="1">
        <v>1250000.0</v>
      </c>
      <c r="K122" s="2">
        <v>45839.0</v>
      </c>
    </row>
    <row r="123" hidden="1">
      <c r="A123" s="1" t="s">
        <v>57</v>
      </c>
      <c r="B123" s="1" t="s">
        <v>58</v>
      </c>
      <c r="C123" s="1" t="s">
        <v>42</v>
      </c>
      <c r="D123" s="1">
        <v>14.0</v>
      </c>
      <c r="E123" s="1">
        <v>25.0</v>
      </c>
      <c r="F123" s="1">
        <v>5.0</v>
      </c>
      <c r="G123" s="1">
        <v>9.0</v>
      </c>
      <c r="H123" s="1" t="s">
        <v>59</v>
      </c>
      <c r="I123" s="2">
        <v>45816.0</v>
      </c>
      <c r="K123" s="2">
        <v>45809.0</v>
      </c>
    </row>
    <row r="124" hidden="1">
      <c r="A124" s="1" t="s">
        <v>44</v>
      </c>
      <c r="B124" s="1" t="s">
        <v>45</v>
      </c>
      <c r="C124" s="1" t="s">
        <v>42</v>
      </c>
      <c r="D124" s="1">
        <v>34.0</v>
      </c>
      <c r="E124" s="1">
        <v>30.0</v>
      </c>
      <c r="F124" s="1">
        <v>5.0</v>
      </c>
      <c r="G124" s="1">
        <v>5.0</v>
      </c>
      <c r="H124" s="1" t="s">
        <v>43</v>
      </c>
      <c r="I124" s="2">
        <v>46007.0</v>
      </c>
      <c r="J124" s="1">
        <v>350000.0</v>
      </c>
      <c r="K124" s="2">
        <v>45992.0</v>
      </c>
    </row>
    <row r="125" hidden="1">
      <c r="A125" s="1" t="s">
        <v>38</v>
      </c>
      <c r="B125" s="1" t="s">
        <v>39</v>
      </c>
      <c r="C125" s="1" t="s">
        <v>23</v>
      </c>
      <c r="D125" s="1">
        <v>0.0</v>
      </c>
      <c r="E125" s="1">
        <v>45.0</v>
      </c>
      <c r="F125" s="1">
        <v>13.0</v>
      </c>
      <c r="G125" s="1">
        <v>7.0</v>
      </c>
      <c r="H125" s="1" t="s">
        <v>24</v>
      </c>
      <c r="I125" s="2">
        <v>46015.0</v>
      </c>
      <c r="J125" s="1">
        <v>450000.0</v>
      </c>
      <c r="K125" s="2">
        <v>45992.0</v>
      </c>
    </row>
    <row r="126" hidden="1">
      <c r="A126" s="1" t="s">
        <v>34</v>
      </c>
      <c r="B126" s="1" t="s">
        <v>35</v>
      </c>
      <c r="C126" s="1" t="s">
        <v>36</v>
      </c>
      <c r="D126" s="1">
        <v>17.0</v>
      </c>
      <c r="E126" s="1">
        <v>80.0</v>
      </c>
      <c r="F126" s="1">
        <v>11.0</v>
      </c>
      <c r="G126" s="1">
        <v>5.0</v>
      </c>
      <c r="H126" s="1" t="s">
        <v>37</v>
      </c>
      <c r="I126" s="2">
        <v>45882.0</v>
      </c>
      <c r="J126" s="1">
        <v>65000.0</v>
      </c>
      <c r="K126" s="2">
        <v>45870.0</v>
      </c>
    </row>
    <row r="127" hidden="1">
      <c r="A127" s="1" t="s">
        <v>51</v>
      </c>
      <c r="B127" s="1" t="s">
        <v>52</v>
      </c>
      <c r="C127" s="1" t="s">
        <v>36</v>
      </c>
      <c r="D127" s="1">
        <v>0.0</v>
      </c>
      <c r="E127" s="1">
        <v>60.0</v>
      </c>
      <c r="F127" s="1">
        <v>14.0</v>
      </c>
      <c r="G127" s="1">
        <v>4.0</v>
      </c>
      <c r="H127" s="1" t="s">
        <v>50</v>
      </c>
      <c r="I127" s="2">
        <v>45741.0</v>
      </c>
      <c r="J127" s="1">
        <v>175000.0</v>
      </c>
      <c r="K127" s="2">
        <v>45717.0</v>
      </c>
    </row>
    <row r="128" hidden="1">
      <c r="A128" s="1" t="s">
        <v>40</v>
      </c>
      <c r="B128" s="1" t="s">
        <v>41</v>
      </c>
      <c r="C128" s="1" t="s">
        <v>42</v>
      </c>
      <c r="D128" s="1">
        <v>13.0</v>
      </c>
      <c r="E128" s="1">
        <v>15.0</v>
      </c>
      <c r="F128" s="1">
        <v>2.0</v>
      </c>
      <c r="G128" s="1">
        <v>7.0</v>
      </c>
      <c r="H128" s="1" t="s">
        <v>43</v>
      </c>
      <c r="I128" s="2">
        <v>45799.0</v>
      </c>
      <c r="J128" s="1">
        <v>1200000.0</v>
      </c>
      <c r="K128" s="2">
        <v>45778.0</v>
      </c>
    </row>
    <row r="129" hidden="1">
      <c r="A129" s="1" t="s">
        <v>34</v>
      </c>
      <c r="B129" s="1" t="s">
        <v>35</v>
      </c>
      <c r="C129" s="1" t="s">
        <v>36</v>
      </c>
      <c r="D129" s="1">
        <v>9.0</v>
      </c>
      <c r="E129" s="1">
        <v>80.0</v>
      </c>
      <c r="F129" s="1">
        <v>11.0</v>
      </c>
      <c r="G129" s="1">
        <v>4.0</v>
      </c>
      <c r="H129" s="1" t="s">
        <v>37</v>
      </c>
      <c r="I129" s="2">
        <v>46077.0</v>
      </c>
      <c r="J129" s="1">
        <v>65000.0</v>
      </c>
      <c r="K129" s="2">
        <v>46054.0</v>
      </c>
    </row>
    <row r="130" hidden="1">
      <c r="A130" s="1" t="s">
        <v>53</v>
      </c>
      <c r="B130" s="1" t="s">
        <v>54</v>
      </c>
      <c r="C130" s="1" t="s">
        <v>13</v>
      </c>
      <c r="D130" s="1">
        <v>202.0</v>
      </c>
      <c r="E130" s="1">
        <v>60.0</v>
      </c>
      <c r="F130" s="1">
        <v>2.0</v>
      </c>
      <c r="G130" s="1">
        <v>4.0</v>
      </c>
      <c r="H130" s="1" t="s">
        <v>14</v>
      </c>
      <c r="I130" s="2">
        <v>46019.0</v>
      </c>
      <c r="J130" s="1">
        <v>165000.0</v>
      </c>
      <c r="K130" s="2">
        <v>45992.0</v>
      </c>
    </row>
    <row r="131" hidden="1">
      <c r="A131" s="1" t="s">
        <v>53</v>
      </c>
      <c r="B131" s="1" t="s">
        <v>54</v>
      </c>
      <c r="C131" s="1" t="s">
        <v>13</v>
      </c>
      <c r="D131" s="1">
        <v>252.0</v>
      </c>
      <c r="E131" s="1">
        <v>60.0</v>
      </c>
      <c r="F131" s="1">
        <v>4.0</v>
      </c>
      <c r="G131" s="1">
        <v>7.0</v>
      </c>
      <c r="H131" s="1" t="s">
        <v>14</v>
      </c>
      <c r="I131" s="2">
        <v>45930.0</v>
      </c>
      <c r="J131" s="1">
        <v>165000.0</v>
      </c>
      <c r="K131" s="2">
        <v>45901.0</v>
      </c>
    </row>
    <row r="132" hidden="1">
      <c r="A132" s="1" t="s">
        <v>64</v>
      </c>
      <c r="B132" s="1" t="s">
        <v>65</v>
      </c>
      <c r="C132" s="1" t="s">
        <v>42</v>
      </c>
      <c r="D132" s="1">
        <v>20.0</v>
      </c>
      <c r="E132" s="1">
        <v>20.0</v>
      </c>
      <c r="F132" s="1">
        <v>2.0</v>
      </c>
      <c r="G132" s="1">
        <v>7.0</v>
      </c>
      <c r="H132" s="1" t="s">
        <v>59</v>
      </c>
      <c r="I132" s="2">
        <v>46027.0</v>
      </c>
      <c r="J132" s="1">
        <v>750000.0</v>
      </c>
      <c r="K132" s="2">
        <v>46023.0</v>
      </c>
    </row>
    <row r="133" hidden="1">
      <c r="A133" s="1" t="s">
        <v>31</v>
      </c>
      <c r="B133" s="1" t="s">
        <v>32</v>
      </c>
      <c r="C133" s="1" t="s">
        <v>13</v>
      </c>
      <c r="D133" s="1">
        <v>153.0</v>
      </c>
      <c r="E133" s="1">
        <v>40.0</v>
      </c>
      <c r="F133" s="1">
        <v>4.0</v>
      </c>
      <c r="G133" s="1">
        <v>5.0</v>
      </c>
      <c r="H133" s="1" t="s">
        <v>33</v>
      </c>
      <c r="I133" s="2">
        <v>46097.0</v>
      </c>
      <c r="J133" s="1">
        <v>550000.0</v>
      </c>
      <c r="K133" s="2">
        <v>46082.0</v>
      </c>
    </row>
    <row r="134" hidden="1">
      <c r="A134" s="1" t="s">
        <v>57</v>
      </c>
      <c r="B134" s="1" t="s">
        <v>58</v>
      </c>
      <c r="C134" s="1" t="s">
        <v>42</v>
      </c>
      <c r="D134" s="1">
        <v>41.0</v>
      </c>
      <c r="E134" s="1">
        <v>25.0</v>
      </c>
      <c r="F134" s="1">
        <v>4.0</v>
      </c>
      <c r="G134" s="1">
        <v>10.0</v>
      </c>
      <c r="H134" s="1" t="s">
        <v>59</v>
      </c>
      <c r="I134" s="2">
        <v>45801.0</v>
      </c>
      <c r="J134" s="1">
        <v>450000.0</v>
      </c>
      <c r="K134" s="2">
        <v>45778.0</v>
      </c>
    </row>
    <row r="135" hidden="1">
      <c r="A135" s="1" t="s">
        <v>62</v>
      </c>
      <c r="B135" s="1" t="s">
        <v>63</v>
      </c>
      <c r="C135" s="1" t="s">
        <v>13</v>
      </c>
      <c r="D135" s="1">
        <v>405.0</v>
      </c>
      <c r="E135" s="1">
        <v>80.0</v>
      </c>
      <c r="G135" s="1">
        <v>5.0</v>
      </c>
      <c r="H135" s="1" t="s">
        <v>33</v>
      </c>
      <c r="I135" s="2">
        <v>45663.0</v>
      </c>
      <c r="J135" s="1">
        <v>85000.0</v>
      </c>
      <c r="K135" s="2">
        <v>45658.0</v>
      </c>
    </row>
    <row r="136" hidden="1">
      <c r="A136" s="1" t="s">
        <v>64</v>
      </c>
      <c r="B136" s="1" t="s">
        <v>65</v>
      </c>
      <c r="C136" s="1" t="s">
        <v>42</v>
      </c>
      <c r="D136" s="1">
        <v>32.0</v>
      </c>
      <c r="E136" s="1">
        <v>20.0</v>
      </c>
      <c r="F136" s="1">
        <v>1.0</v>
      </c>
      <c r="G136" s="1">
        <v>8.0</v>
      </c>
      <c r="H136" s="1" t="s">
        <v>59</v>
      </c>
      <c r="I136" s="2">
        <v>45955.0</v>
      </c>
      <c r="J136" s="1">
        <v>750000.0</v>
      </c>
      <c r="K136" s="2">
        <v>45931.0</v>
      </c>
    </row>
    <row r="137" hidden="1">
      <c r="A137" s="1" t="s">
        <v>60</v>
      </c>
      <c r="B137" s="1" t="s">
        <v>61</v>
      </c>
      <c r="C137" s="1" t="s">
        <v>17</v>
      </c>
      <c r="D137" s="1">
        <v>0.0</v>
      </c>
      <c r="E137" s="1">
        <v>20.0</v>
      </c>
      <c r="F137" s="1">
        <v>3.0</v>
      </c>
      <c r="G137" s="1">
        <v>7.0</v>
      </c>
      <c r="H137" s="1" t="s">
        <v>27</v>
      </c>
      <c r="I137" s="2">
        <v>45919.0</v>
      </c>
      <c r="J137" s="1">
        <v>3200000.0</v>
      </c>
      <c r="K137" s="2">
        <v>45901.0</v>
      </c>
    </row>
    <row r="138" hidden="1">
      <c r="A138" s="1" t="s">
        <v>62</v>
      </c>
      <c r="B138" s="1" t="s">
        <v>63</v>
      </c>
      <c r="C138" s="1" t="s">
        <v>13</v>
      </c>
      <c r="D138" s="1">
        <v>255.0</v>
      </c>
      <c r="E138" s="1">
        <v>80.0</v>
      </c>
      <c r="F138" s="1">
        <v>4.0</v>
      </c>
      <c r="G138" s="1">
        <v>6.0</v>
      </c>
      <c r="H138" s="1" t="s">
        <v>33</v>
      </c>
      <c r="I138" s="2">
        <v>46001.0</v>
      </c>
      <c r="J138" s="1">
        <v>85000.0</v>
      </c>
      <c r="K138" s="2">
        <v>45992.0</v>
      </c>
    </row>
    <row r="139" hidden="1">
      <c r="A139" s="1" t="s">
        <v>31</v>
      </c>
      <c r="B139" s="1" t="s">
        <v>32</v>
      </c>
      <c r="C139" s="1" t="s">
        <v>13</v>
      </c>
      <c r="D139" s="1">
        <v>168.0</v>
      </c>
      <c r="E139" s="1">
        <v>40.0</v>
      </c>
      <c r="F139" s="1">
        <v>3.0</v>
      </c>
      <c r="G139" s="1">
        <v>5.0</v>
      </c>
      <c r="H139" s="1" t="s">
        <v>33</v>
      </c>
      <c r="I139" s="2">
        <v>45709.0</v>
      </c>
      <c r="J139" s="1">
        <v>550000.0</v>
      </c>
      <c r="K139" s="2">
        <v>45689.0</v>
      </c>
    </row>
    <row r="140" hidden="1">
      <c r="A140" s="1" t="s">
        <v>57</v>
      </c>
      <c r="B140" s="1" t="s">
        <v>58</v>
      </c>
      <c r="C140" s="1" t="s">
        <v>42</v>
      </c>
      <c r="D140" s="1">
        <v>58.0</v>
      </c>
      <c r="E140" s="1">
        <v>25.0</v>
      </c>
      <c r="F140" s="1">
        <v>1.0</v>
      </c>
      <c r="G140" s="1">
        <v>10.0</v>
      </c>
      <c r="H140" s="1" t="s">
        <v>59</v>
      </c>
      <c r="I140" s="2">
        <v>45952.0</v>
      </c>
      <c r="J140" s="1">
        <v>450000.0</v>
      </c>
      <c r="K140" s="2">
        <v>45931.0</v>
      </c>
    </row>
    <row r="141" hidden="1">
      <c r="A141" s="1" t="s">
        <v>46</v>
      </c>
      <c r="B141" s="1" t="s">
        <v>47</v>
      </c>
      <c r="C141" s="1" t="s">
        <v>23</v>
      </c>
      <c r="D141" s="1">
        <v>42.0</v>
      </c>
      <c r="E141" s="1">
        <v>40.0</v>
      </c>
      <c r="F141" s="1">
        <v>4.0</v>
      </c>
      <c r="G141" s="1">
        <v>7.0</v>
      </c>
      <c r="H141" s="1" t="s">
        <v>30</v>
      </c>
      <c r="I141" s="2">
        <v>45889.0</v>
      </c>
      <c r="J141" s="1">
        <v>550000.0</v>
      </c>
      <c r="K141" s="2">
        <v>45870.0</v>
      </c>
    </row>
    <row r="142" hidden="1">
      <c r="A142" s="1" t="s">
        <v>44</v>
      </c>
      <c r="B142" s="1" t="s">
        <v>45</v>
      </c>
      <c r="C142" s="1" t="s">
        <v>42</v>
      </c>
      <c r="D142" s="1">
        <v>35.0</v>
      </c>
      <c r="E142" s="1">
        <v>30.0</v>
      </c>
      <c r="F142" s="1">
        <v>5.0</v>
      </c>
      <c r="G142" s="1">
        <v>6.0</v>
      </c>
      <c r="H142" s="1" t="s">
        <v>43</v>
      </c>
      <c r="I142" s="2">
        <v>46048.0</v>
      </c>
      <c r="J142" s="1">
        <v>350000.0</v>
      </c>
      <c r="K142" s="2">
        <v>46023.0</v>
      </c>
    </row>
    <row r="143" hidden="1">
      <c r="A143" s="1" t="s">
        <v>46</v>
      </c>
      <c r="B143" s="1" t="s">
        <v>47</v>
      </c>
      <c r="C143" s="1" t="s">
        <v>23</v>
      </c>
      <c r="D143" s="1">
        <v>36.0</v>
      </c>
      <c r="E143" s="1">
        <v>40.0</v>
      </c>
      <c r="F143" s="1">
        <v>6.0</v>
      </c>
      <c r="G143" s="1">
        <v>4.0</v>
      </c>
      <c r="H143" s="1" t="s">
        <v>30</v>
      </c>
      <c r="I143" s="2">
        <v>46044.0</v>
      </c>
      <c r="J143" s="1">
        <v>550000.0</v>
      </c>
      <c r="K143" s="2">
        <v>46023.0</v>
      </c>
    </row>
    <row r="144" hidden="1">
      <c r="A144" s="1" t="s">
        <v>48</v>
      </c>
      <c r="B144" s="1" t="s">
        <v>49</v>
      </c>
      <c r="C144" s="1" t="s">
        <v>36</v>
      </c>
      <c r="D144" s="1">
        <v>87.0</v>
      </c>
      <c r="E144" s="1">
        <v>120.0</v>
      </c>
      <c r="F144" s="1">
        <v>18.0</v>
      </c>
      <c r="G144" s="1">
        <v>7.0</v>
      </c>
      <c r="H144" s="1" t="s">
        <v>50</v>
      </c>
      <c r="I144" s="2">
        <v>45748.0</v>
      </c>
      <c r="J144" s="1">
        <v>55000.0</v>
      </c>
      <c r="K144" s="2">
        <v>45748.0</v>
      </c>
    </row>
    <row r="145" hidden="1">
      <c r="A145" s="1" t="s">
        <v>51</v>
      </c>
      <c r="B145" s="1" t="s">
        <v>52</v>
      </c>
      <c r="C145" s="1" t="s">
        <v>36</v>
      </c>
      <c r="D145" s="1">
        <v>35.0</v>
      </c>
      <c r="E145" s="1">
        <v>60.0</v>
      </c>
      <c r="F145" s="1">
        <v>6.0</v>
      </c>
      <c r="G145" s="1">
        <v>7.0</v>
      </c>
      <c r="H145" s="1" t="s">
        <v>50</v>
      </c>
      <c r="I145" s="2">
        <v>46221.0</v>
      </c>
      <c r="J145" s="1">
        <v>175000.0</v>
      </c>
      <c r="K145" s="2">
        <v>46023.0</v>
      </c>
    </row>
    <row r="146" hidden="1">
      <c r="A146" s="1" t="s">
        <v>40</v>
      </c>
      <c r="B146" s="1" t="s">
        <v>41</v>
      </c>
      <c r="C146" s="1" t="s">
        <v>42</v>
      </c>
      <c r="D146" s="1">
        <v>32.0</v>
      </c>
      <c r="E146" s="1">
        <v>15.0</v>
      </c>
      <c r="F146" s="1">
        <v>1.0</v>
      </c>
      <c r="G146" s="1">
        <v>8.0</v>
      </c>
      <c r="H146" s="1" t="s">
        <v>43</v>
      </c>
      <c r="I146" s="2">
        <v>46079.0</v>
      </c>
      <c r="J146" s="1">
        <v>1200000.0</v>
      </c>
      <c r="K146" s="2">
        <v>46054.0</v>
      </c>
    </row>
    <row r="147" hidden="1">
      <c r="A147" s="1" t="s">
        <v>31</v>
      </c>
      <c r="B147" s="1" t="s">
        <v>32</v>
      </c>
      <c r="C147" s="1" t="s">
        <v>13</v>
      </c>
      <c r="D147" s="1">
        <v>139.0</v>
      </c>
      <c r="E147" s="1">
        <v>40.0</v>
      </c>
      <c r="F147" s="1">
        <v>2.0</v>
      </c>
      <c r="G147" s="1">
        <v>6.0</v>
      </c>
      <c r="H147" s="1" t="s">
        <v>33</v>
      </c>
      <c r="I147" s="2">
        <v>45845.0</v>
      </c>
      <c r="J147" s="1">
        <v>550000.0</v>
      </c>
      <c r="K147" s="2">
        <v>45839.0</v>
      </c>
    </row>
    <row r="148" hidden="1">
      <c r="A148" s="1" t="s">
        <v>31</v>
      </c>
      <c r="B148" s="1" t="s">
        <v>32</v>
      </c>
      <c r="C148" s="1" t="s">
        <v>13</v>
      </c>
      <c r="D148" s="1">
        <v>169.0</v>
      </c>
      <c r="E148" s="1">
        <v>40.0</v>
      </c>
      <c r="F148" s="1">
        <v>3.0</v>
      </c>
      <c r="G148" s="1">
        <v>4.0</v>
      </c>
      <c r="H148" s="1" t="s">
        <v>33</v>
      </c>
      <c r="I148" s="2">
        <v>46074.0</v>
      </c>
      <c r="J148" s="1">
        <v>550000.0</v>
      </c>
      <c r="K148" s="2">
        <v>46054.0</v>
      </c>
    </row>
    <row r="149" hidden="1">
      <c r="A149" s="1" t="s">
        <v>15</v>
      </c>
      <c r="B149" s="1" t="s">
        <v>16</v>
      </c>
      <c r="C149" s="1" t="s">
        <v>17</v>
      </c>
      <c r="D149" s="1">
        <v>25.0</v>
      </c>
      <c r="E149" s="1">
        <v>15.0</v>
      </c>
      <c r="F149" s="1">
        <v>2.0</v>
      </c>
      <c r="G149" s="1">
        <v>8.0</v>
      </c>
      <c r="H149" s="1" t="s">
        <v>18</v>
      </c>
      <c r="I149" s="2">
        <v>45718.0</v>
      </c>
      <c r="J149" s="1">
        <v>8500000.0</v>
      </c>
      <c r="K149" s="2">
        <v>45717.0</v>
      </c>
    </row>
    <row r="150" hidden="1">
      <c r="A150" s="1" t="s">
        <v>46</v>
      </c>
      <c r="B150" s="1" t="s">
        <v>47</v>
      </c>
      <c r="C150" s="1" t="s">
        <v>23</v>
      </c>
      <c r="D150" s="1">
        <v>0.0</v>
      </c>
      <c r="E150" s="1">
        <v>40.0</v>
      </c>
      <c r="F150" s="1">
        <v>8.0</v>
      </c>
      <c r="G150" s="1">
        <v>8.0</v>
      </c>
      <c r="H150" s="1" t="s">
        <v>30</v>
      </c>
      <c r="I150" s="2">
        <v>45964.0</v>
      </c>
      <c r="J150" s="1">
        <v>550000.0</v>
      </c>
      <c r="K150" s="2">
        <v>45962.0</v>
      </c>
    </row>
    <row r="151" hidden="1">
      <c r="A151" s="1" t="s">
        <v>21</v>
      </c>
      <c r="B151" s="1" t="s">
        <v>22</v>
      </c>
      <c r="C151" s="1" t="s">
        <v>23</v>
      </c>
      <c r="D151" s="1">
        <v>28.0</v>
      </c>
      <c r="E151" s="1">
        <v>50.0</v>
      </c>
      <c r="F151" s="1">
        <v>7.0</v>
      </c>
      <c r="G151" s="1">
        <v>7.0</v>
      </c>
      <c r="H151" s="1" t="s">
        <v>24</v>
      </c>
      <c r="I151" s="2">
        <v>45939.0</v>
      </c>
      <c r="J151" s="1">
        <v>350000.0</v>
      </c>
      <c r="K151" s="2">
        <v>45931.0</v>
      </c>
    </row>
    <row r="152" hidden="1">
      <c r="A152" s="1" t="s">
        <v>11</v>
      </c>
      <c r="B152" s="1" t="s">
        <v>12</v>
      </c>
      <c r="C152" s="1" t="s">
        <v>13</v>
      </c>
      <c r="D152" s="1">
        <v>230.0</v>
      </c>
      <c r="E152" s="1">
        <v>50.0</v>
      </c>
      <c r="F152" s="1">
        <v>1.0</v>
      </c>
      <c r="G152" s="1">
        <v>4.0</v>
      </c>
      <c r="H152" s="1" t="s">
        <v>14</v>
      </c>
      <c r="I152" s="2">
        <v>45939.0</v>
      </c>
      <c r="J152" s="1">
        <v>125000.0</v>
      </c>
      <c r="K152" s="2">
        <v>45931.0</v>
      </c>
    </row>
    <row r="153" hidden="1">
      <c r="A153" s="1" t="s">
        <v>64</v>
      </c>
      <c r="B153" s="1" t="s">
        <v>65</v>
      </c>
      <c r="C153" s="1" t="s">
        <v>42</v>
      </c>
      <c r="D153" s="1">
        <v>27.0</v>
      </c>
      <c r="E153" s="1">
        <v>20.0</v>
      </c>
      <c r="F153" s="1">
        <v>3.0</v>
      </c>
      <c r="G153" s="1">
        <v>9.0</v>
      </c>
      <c r="H153" s="1" t="s">
        <v>59</v>
      </c>
      <c r="I153" s="2">
        <v>45673.0</v>
      </c>
      <c r="J153" s="1">
        <v>750000.0</v>
      </c>
      <c r="K153" s="2">
        <v>45658.0</v>
      </c>
    </row>
    <row r="154" hidden="1">
      <c r="A154" s="1" t="s">
        <v>53</v>
      </c>
      <c r="B154" s="1" t="s">
        <v>54</v>
      </c>
      <c r="C154" s="1" t="s">
        <v>13</v>
      </c>
      <c r="D154" s="1">
        <v>305.0</v>
      </c>
      <c r="E154" s="1">
        <v>60.0</v>
      </c>
      <c r="F154" s="1">
        <v>4.0</v>
      </c>
      <c r="G154" s="1">
        <v>4.0</v>
      </c>
      <c r="H154" s="1" t="s">
        <v>14</v>
      </c>
      <c r="I154" s="2">
        <v>46068.0</v>
      </c>
      <c r="J154" s="1">
        <v>165000.0</v>
      </c>
      <c r="K154" s="2">
        <v>46054.0</v>
      </c>
    </row>
    <row r="155" hidden="1">
      <c r="A155" s="1" t="s">
        <v>34</v>
      </c>
      <c r="B155" s="1" t="s">
        <v>35</v>
      </c>
      <c r="C155" s="1" t="s">
        <v>36</v>
      </c>
      <c r="D155" s="1">
        <v>56.0</v>
      </c>
      <c r="E155" s="1">
        <v>80.0</v>
      </c>
      <c r="F155" s="1">
        <v>18.0</v>
      </c>
      <c r="G155" s="1">
        <v>5.0</v>
      </c>
      <c r="H155" s="1" t="s">
        <v>37</v>
      </c>
      <c r="I155" s="2">
        <v>46110.0</v>
      </c>
      <c r="J155" s="1">
        <v>65000.0</v>
      </c>
      <c r="K155" s="2">
        <v>46082.0</v>
      </c>
    </row>
    <row r="156" hidden="1">
      <c r="A156" s="1" t="s">
        <v>64</v>
      </c>
      <c r="B156" s="1" t="s">
        <v>65</v>
      </c>
      <c r="C156" s="1" t="s">
        <v>42</v>
      </c>
      <c r="D156" s="1">
        <v>42.0</v>
      </c>
      <c r="E156" s="1">
        <v>20.0</v>
      </c>
      <c r="F156" s="1">
        <v>1.0</v>
      </c>
      <c r="G156" s="1">
        <v>10.0</v>
      </c>
      <c r="H156" s="1" t="s">
        <v>59</v>
      </c>
      <c r="I156" s="2">
        <v>45884.0</v>
      </c>
      <c r="J156" s="1">
        <v>750000.0</v>
      </c>
      <c r="K156" s="2">
        <v>45870.0</v>
      </c>
    </row>
    <row r="157" hidden="1">
      <c r="A157" s="1" t="s">
        <v>21</v>
      </c>
      <c r="B157" s="1" t="s">
        <v>22</v>
      </c>
      <c r="C157" s="1" t="s">
        <v>23</v>
      </c>
      <c r="D157" s="1">
        <v>0.0</v>
      </c>
      <c r="E157" s="1">
        <v>50.0</v>
      </c>
      <c r="F157" s="1">
        <v>14.0</v>
      </c>
      <c r="G157" s="1">
        <v>5.0</v>
      </c>
      <c r="H157" s="1" t="s">
        <v>24</v>
      </c>
      <c r="I157" s="2">
        <v>46101.0</v>
      </c>
      <c r="J157" s="1">
        <v>350000.0</v>
      </c>
      <c r="K157" s="2">
        <v>46082.0</v>
      </c>
    </row>
    <row r="158" hidden="1">
      <c r="A158" s="1" t="s">
        <v>25</v>
      </c>
      <c r="B158" s="1" t="s">
        <v>26</v>
      </c>
      <c r="C158" s="1" t="s">
        <v>17</v>
      </c>
      <c r="D158" s="1">
        <v>23.0</v>
      </c>
      <c r="E158" s="1">
        <v>25.0</v>
      </c>
      <c r="F158" s="1">
        <v>6.0</v>
      </c>
      <c r="G158" s="1">
        <v>10.0</v>
      </c>
      <c r="H158" s="1" t="s">
        <v>27</v>
      </c>
      <c r="I158" s="2">
        <v>46109.0</v>
      </c>
      <c r="J158" s="1">
        <v>4500000.0</v>
      </c>
      <c r="K158" s="2">
        <v>46082.0</v>
      </c>
    </row>
    <row r="159" hidden="1">
      <c r="A159" s="1" t="s">
        <v>38</v>
      </c>
      <c r="B159" s="1" t="s">
        <v>39</v>
      </c>
      <c r="C159" s="1" t="s">
        <v>23</v>
      </c>
      <c r="D159" s="1">
        <v>17.0</v>
      </c>
      <c r="E159" s="1">
        <v>45.0</v>
      </c>
      <c r="F159" s="1">
        <v>7.0</v>
      </c>
      <c r="G159" s="1">
        <v>3.0</v>
      </c>
      <c r="H159" s="1" t="s">
        <v>24</v>
      </c>
      <c r="I159" s="2">
        <v>45910.0</v>
      </c>
      <c r="J159" s="1">
        <v>450000.0</v>
      </c>
      <c r="K159" s="2">
        <v>45901.0</v>
      </c>
    </row>
    <row r="160" hidden="1">
      <c r="A160" s="1" t="s">
        <v>48</v>
      </c>
      <c r="B160" s="1" t="s">
        <v>49</v>
      </c>
      <c r="C160" s="1" t="s">
        <v>36</v>
      </c>
      <c r="D160" s="1">
        <v>30.0</v>
      </c>
      <c r="E160" s="1">
        <v>120.0</v>
      </c>
      <c r="F160" s="1">
        <v>18.0</v>
      </c>
      <c r="G160" s="1">
        <v>4.0</v>
      </c>
      <c r="H160" s="1" t="s">
        <v>50</v>
      </c>
      <c r="I160" s="2">
        <v>46053.0</v>
      </c>
      <c r="J160" s="1">
        <v>55000.0</v>
      </c>
      <c r="K160" s="2">
        <v>46023.0</v>
      </c>
    </row>
    <row r="161" hidden="1">
      <c r="A161" s="1" t="s">
        <v>46</v>
      </c>
      <c r="B161" s="1" t="s">
        <v>47</v>
      </c>
      <c r="C161" s="1" t="s">
        <v>23</v>
      </c>
      <c r="D161" s="1">
        <v>0.0</v>
      </c>
      <c r="E161" s="1">
        <v>40.0</v>
      </c>
      <c r="F161" s="1">
        <v>9.0</v>
      </c>
      <c r="G161" s="1">
        <v>8.0</v>
      </c>
      <c r="H161" s="1" t="s">
        <v>30</v>
      </c>
      <c r="I161" s="2">
        <v>45730.0</v>
      </c>
      <c r="J161" s="1">
        <v>550000.0</v>
      </c>
      <c r="K161" s="2">
        <v>45717.0</v>
      </c>
    </row>
    <row r="162" hidden="1">
      <c r="A162" s="1" t="s">
        <v>55</v>
      </c>
      <c r="B162" s="1" t="s">
        <v>56</v>
      </c>
      <c r="C162" s="1" t="s">
        <v>36</v>
      </c>
      <c r="D162" s="1">
        <v>92.0</v>
      </c>
      <c r="E162" s="1">
        <v>100.0</v>
      </c>
      <c r="F162" s="1">
        <v>15.0</v>
      </c>
      <c r="G162" s="1">
        <v>5.0</v>
      </c>
      <c r="H162" s="1" t="s">
        <v>37</v>
      </c>
      <c r="I162" s="2">
        <v>45897.0</v>
      </c>
      <c r="J162" s="1">
        <v>85000.0</v>
      </c>
      <c r="K162" s="2">
        <v>45870.0</v>
      </c>
    </row>
    <row r="163" hidden="1">
      <c r="A163" s="1" t="s">
        <v>48</v>
      </c>
      <c r="B163" s="1" t="s">
        <v>49</v>
      </c>
      <c r="C163" s="1" t="s">
        <v>36</v>
      </c>
      <c r="D163" s="1">
        <v>39.0</v>
      </c>
      <c r="E163" s="1">
        <v>120.0</v>
      </c>
      <c r="F163" s="1">
        <v>19.0</v>
      </c>
      <c r="G163" s="1">
        <v>3.0</v>
      </c>
      <c r="H163" s="1" t="s">
        <v>50</v>
      </c>
      <c r="I163" s="2">
        <v>45936.0</v>
      </c>
      <c r="J163" s="1">
        <v>55000.0</v>
      </c>
      <c r="K163" s="2">
        <v>45931.0</v>
      </c>
    </row>
    <row r="164" hidden="1">
      <c r="A164" s="1" t="s">
        <v>64</v>
      </c>
      <c r="B164" s="1" t="s">
        <v>65</v>
      </c>
      <c r="C164" s="1" t="s">
        <v>42</v>
      </c>
      <c r="D164" s="1">
        <v>29.0</v>
      </c>
      <c r="E164" s="1">
        <v>20.0</v>
      </c>
      <c r="F164" s="1">
        <v>3.0</v>
      </c>
      <c r="G164" s="1">
        <v>9.0</v>
      </c>
      <c r="H164" s="1" t="s">
        <v>59</v>
      </c>
      <c r="I164" s="2">
        <v>46076.0</v>
      </c>
      <c r="J164" s="1">
        <v>750000.0</v>
      </c>
      <c r="K164" s="2">
        <v>46054.0</v>
      </c>
    </row>
    <row r="165" hidden="1">
      <c r="A165" s="1" t="s">
        <v>34</v>
      </c>
      <c r="B165" s="1" t="s">
        <v>35</v>
      </c>
      <c r="C165" s="1" t="s">
        <v>36</v>
      </c>
      <c r="D165" s="1">
        <v>40.0</v>
      </c>
      <c r="E165" s="1">
        <v>80.0</v>
      </c>
      <c r="F165" s="1">
        <v>12.0</v>
      </c>
      <c r="G165" s="1">
        <v>3.0</v>
      </c>
      <c r="H165" s="1" t="s">
        <v>37</v>
      </c>
      <c r="I165" s="2">
        <v>45673.0</v>
      </c>
      <c r="J165" s="1">
        <v>65000.0</v>
      </c>
      <c r="K165" s="2">
        <v>45658.0</v>
      </c>
    </row>
    <row r="166" hidden="1">
      <c r="A166" s="1" t="s">
        <v>11</v>
      </c>
      <c r="B166" s="1" t="s">
        <v>12</v>
      </c>
      <c r="C166" s="1" t="s">
        <v>13</v>
      </c>
      <c r="D166" s="1">
        <v>261.0</v>
      </c>
      <c r="E166" s="1">
        <v>50.0</v>
      </c>
      <c r="F166" s="1">
        <v>2.0</v>
      </c>
      <c r="G166" s="1">
        <v>5.0</v>
      </c>
      <c r="H166" s="1" t="s">
        <v>14</v>
      </c>
      <c r="I166" s="2">
        <v>45787.0</v>
      </c>
      <c r="J166" s="1">
        <v>125000.0</v>
      </c>
      <c r="K166" s="2">
        <v>45778.0</v>
      </c>
    </row>
    <row r="167" hidden="1">
      <c r="A167" s="1" t="s">
        <v>21</v>
      </c>
      <c r="B167" s="1" t="s">
        <v>22</v>
      </c>
      <c r="C167" s="1" t="s">
        <v>23</v>
      </c>
      <c r="D167" s="1">
        <v>42.0</v>
      </c>
      <c r="E167" s="1">
        <v>50.0</v>
      </c>
      <c r="F167" s="1">
        <v>6.0</v>
      </c>
      <c r="G167" s="1">
        <v>4.0</v>
      </c>
      <c r="H167" s="1" t="s">
        <v>24</v>
      </c>
      <c r="I167" s="2">
        <v>45817.0</v>
      </c>
      <c r="J167" s="1">
        <v>350000.0</v>
      </c>
      <c r="K167" s="2">
        <v>45809.0</v>
      </c>
    </row>
    <row r="168" hidden="1">
      <c r="A168" s="1" t="s">
        <v>53</v>
      </c>
      <c r="B168" s="1" t="s">
        <v>54</v>
      </c>
      <c r="C168" s="1" t="s">
        <v>13</v>
      </c>
      <c r="D168" s="1">
        <v>188.0</v>
      </c>
      <c r="E168" s="1">
        <v>60.0</v>
      </c>
      <c r="F168" s="1">
        <v>3.0</v>
      </c>
      <c r="G168" s="1">
        <v>4.0</v>
      </c>
      <c r="H168" s="1" t="s">
        <v>14</v>
      </c>
      <c r="I168" s="2">
        <v>45659.0</v>
      </c>
      <c r="J168" s="1">
        <v>165000.0</v>
      </c>
      <c r="K168" s="2">
        <v>45658.0</v>
      </c>
    </row>
    <row r="169" hidden="1">
      <c r="A169" s="1" t="s">
        <v>38</v>
      </c>
      <c r="B169" s="1" t="s">
        <v>39</v>
      </c>
      <c r="C169" s="1" t="s">
        <v>23</v>
      </c>
      <c r="D169" s="1">
        <v>0.0</v>
      </c>
      <c r="E169" s="1">
        <v>45.0</v>
      </c>
      <c r="F169" s="1">
        <v>12.0</v>
      </c>
      <c r="G169" s="1">
        <v>4.0</v>
      </c>
      <c r="H169" s="1" t="s">
        <v>24</v>
      </c>
      <c r="I169" s="2">
        <v>45983.0</v>
      </c>
      <c r="J169" s="1">
        <v>450000.0</v>
      </c>
      <c r="K169" s="2">
        <v>45962.0</v>
      </c>
    </row>
    <row r="170" hidden="1">
      <c r="A170" s="1" t="s">
        <v>11</v>
      </c>
      <c r="B170" s="1" t="s">
        <v>12</v>
      </c>
      <c r="C170" s="1" t="s">
        <v>13</v>
      </c>
      <c r="D170" s="1">
        <v>252.0</v>
      </c>
      <c r="E170" s="1">
        <v>50.0</v>
      </c>
      <c r="F170" s="1">
        <v>3.0</v>
      </c>
      <c r="G170" s="1">
        <v>7.0</v>
      </c>
      <c r="H170" s="1" t="s">
        <v>14</v>
      </c>
      <c r="I170" s="2">
        <v>45713.0</v>
      </c>
      <c r="J170" s="1">
        <v>125000.0</v>
      </c>
      <c r="K170" s="2">
        <v>45689.0</v>
      </c>
    </row>
    <row r="171" hidden="1">
      <c r="A171" s="1" t="s">
        <v>40</v>
      </c>
      <c r="B171" s="1" t="s">
        <v>41</v>
      </c>
      <c r="C171" s="1" t="s">
        <v>42</v>
      </c>
      <c r="D171" s="1">
        <v>13.0</v>
      </c>
      <c r="E171" s="1">
        <v>15.0</v>
      </c>
      <c r="F171" s="1">
        <v>3.0</v>
      </c>
      <c r="G171" s="1">
        <v>6.0</v>
      </c>
      <c r="H171" s="1" t="s">
        <v>43</v>
      </c>
      <c r="I171" s="2">
        <v>45949.0</v>
      </c>
      <c r="J171" s="1">
        <v>1200000.0</v>
      </c>
      <c r="K171" s="2">
        <v>45931.0</v>
      </c>
    </row>
    <row r="172" hidden="1">
      <c r="A172" s="1" t="s">
        <v>15</v>
      </c>
      <c r="B172" s="1" t="s">
        <v>16</v>
      </c>
      <c r="C172" s="1" t="s">
        <v>17</v>
      </c>
      <c r="D172" s="1">
        <v>28.0</v>
      </c>
      <c r="E172" s="1">
        <v>15.0</v>
      </c>
      <c r="F172" s="1">
        <v>1.0</v>
      </c>
      <c r="G172" s="1">
        <v>7.0</v>
      </c>
      <c r="H172" s="1" t="s">
        <v>18</v>
      </c>
      <c r="I172" s="2">
        <v>46041.0</v>
      </c>
      <c r="J172" s="1">
        <v>8500000.0</v>
      </c>
      <c r="K172" s="2">
        <v>46023.0</v>
      </c>
    </row>
    <row r="173" hidden="1">
      <c r="A173" s="1" t="s">
        <v>60</v>
      </c>
      <c r="B173" s="1" t="s">
        <v>61</v>
      </c>
      <c r="C173" s="1" t="s">
        <v>17</v>
      </c>
      <c r="D173" s="1">
        <v>33.0</v>
      </c>
      <c r="E173" s="1">
        <v>20.0</v>
      </c>
      <c r="F173" s="1">
        <v>1.0</v>
      </c>
      <c r="G173" s="1">
        <v>12.0</v>
      </c>
      <c r="H173" s="1" t="s">
        <v>27</v>
      </c>
      <c r="I173" s="2">
        <v>45817.0</v>
      </c>
      <c r="J173" s="1">
        <v>3200000.0</v>
      </c>
      <c r="K173" s="2">
        <v>45809.0</v>
      </c>
    </row>
    <row r="174" hidden="1">
      <c r="A174" s="1" t="s">
        <v>25</v>
      </c>
      <c r="B174" s="1" t="s">
        <v>26</v>
      </c>
      <c r="C174" s="1" t="s">
        <v>17</v>
      </c>
      <c r="D174" s="1">
        <v>15.0</v>
      </c>
      <c r="E174" s="1">
        <v>25.0</v>
      </c>
      <c r="F174" s="1">
        <v>4.0</v>
      </c>
      <c r="G174" s="1">
        <v>15.0</v>
      </c>
      <c r="H174" s="1" t="s">
        <v>27</v>
      </c>
      <c r="I174" s="2">
        <v>46070.0</v>
      </c>
      <c r="J174" s="1">
        <v>4500000.0</v>
      </c>
      <c r="K174" s="2">
        <v>46054.0</v>
      </c>
    </row>
    <row r="175" hidden="1">
      <c r="A175" s="1" t="s">
        <v>44</v>
      </c>
      <c r="B175" s="1" t="s">
        <v>45</v>
      </c>
      <c r="C175" s="1" t="s">
        <v>42</v>
      </c>
      <c r="D175" s="1">
        <v>39.0</v>
      </c>
      <c r="E175" s="1">
        <v>30.0</v>
      </c>
      <c r="F175" s="1">
        <v>6.0</v>
      </c>
      <c r="G175" s="1">
        <v>10.0</v>
      </c>
      <c r="H175" s="1" t="s">
        <v>43</v>
      </c>
      <c r="I175" s="2">
        <v>45838.0</v>
      </c>
      <c r="J175" s="1">
        <v>350000.0</v>
      </c>
      <c r="K175" s="2">
        <v>45809.0</v>
      </c>
    </row>
    <row r="176" hidden="1">
      <c r="A176" s="1" t="s">
        <v>57</v>
      </c>
      <c r="B176" s="1" t="s">
        <v>58</v>
      </c>
      <c r="C176" s="1" t="s">
        <v>42</v>
      </c>
      <c r="D176" s="1">
        <v>43.0</v>
      </c>
      <c r="E176" s="1">
        <v>25.0</v>
      </c>
      <c r="F176" s="1">
        <v>4.0</v>
      </c>
      <c r="G176" s="1">
        <v>7.0</v>
      </c>
      <c r="H176" s="1" t="s">
        <v>59</v>
      </c>
      <c r="I176" s="2">
        <v>45896.0</v>
      </c>
      <c r="J176" s="1">
        <v>450000.0</v>
      </c>
      <c r="K176" s="2">
        <v>45870.0</v>
      </c>
    </row>
    <row r="177" hidden="1">
      <c r="A177" s="1" t="s">
        <v>62</v>
      </c>
      <c r="B177" s="1" t="s">
        <v>63</v>
      </c>
      <c r="C177" s="1" t="s">
        <v>13</v>
      </c>
      <c r="D177" s="1">
        <v>472.0</v>
      </c>
      <c r="E177" s="1">
        <v>80.0</v>
      </c>
      <c r="F177" s="1">
        <v>3.0</v>
      </c>
      <c r="G177" s="1">
        <v>4.0</v>
      </c>
      <c r="H177" s="1" t="s">
        <v>33</v>
      </c>
      <c r="I177" s="2">
        <v>45900.0</v>
      </c>
      <c r="J177" s="1">
        <v>85000.0</v>
      </c>
      <c r="K177" s="2">
        <v>45870.0</v>
      </c>
    </row>
    <row r="178" hidden="1">
      <c r="A178" s="1" t="s">
        <v>64</v>
      </c>
      <c r="B178" s="1" t="s">
        <v>65</v>
      </c>
      <c r="C178" s="1" t="s">
        <v>42</v>
      </c>
      <c r="D178" s="1">
        <v>14.0</v>
      </c>
      <c r="E178" s="1">
        <v>20.0</v>
      </c>
      <c r="F178" s="1">
        <v>2.0</v>
      </c>
      <c r="G178" s="1">
        <v>8.0</v>
      </c>
      <c r="H178" s="1" t="s">
        <v>59</v>
      </c>
      <c r="I178" s="2">
        <v>45999.0</v>
      </c>
      <c r="J178" s="1">
        <v>750000.0</v>
      </c>
      <c r="K178" s="2">
        <v>45992.0</v>
      </c>
    </row>
    <row r="179" hidden="1">
      <c r="A179" s="1" t="s">
        <v>44</v>
      </c>
      <c r="B179" s="1" t="s">
        <v>45</v>
      </c>
      <c r="C179" s="1" t="s">
        <v>42</v>
      </c>
      <c r="D179" s="1">
        <v>57.0</v>
      </c>
      <c r="E179" s="1">
        <v>30.0</v>
      </c>
      <c r="F179" s="1">
        <v>5.0</v>
      </c>
      <c r="G179" s="1">
        <v>4.0</v>
      </c>
      <c r="H179" s="1" t="s">
        <v>43</v>
      </c>
      <c r="I179" s="2">
        <v>46098.0</v>
      </c>
      <c r="J179" s="1">
        <v>350000.0</v>
      </c>
      <c r="K179" s="2">
        <v>46082.0</v>
      </c>
    </row>
    <row r="180" hidden="1">
      <c r="A180" s="1" t="s">
        <v>19</v>
      </c>
      <c r="B180" s="1" t="s">
        <v>20</v>
      </c>
      <c r="C180" s="1" t="s">
        <v>17</v>
      </c>
      <c r="D180" s="1">
        <v>1.0</v>
      </c>
      <c r="E180" s="1">
        <v>30.0</v>
      </c>
      <c r="F180" s="1">
        <v>4.0</v>
      </c>
      <c r="G180" s="1">
        <v>5.0</v>
      </c>
      <c r="H180" s="1" t="s">
        <v>18</v>
      </c>
      <c r="I180" s="2">
        <v>45868.0</v>
      </c>
      <c r="J180" s="1">
        <v>1200000.0</v>
      </c>
      <c r="K180" s="2">
        <v>45839.0</v>
      </c>
    </row>
    <row r="181" hidden="1">
      <c r="A181" s="1" t="s">
        <v>28</v>
      </c>
      <c r="B181" s="1" t="s">
        <v>29</v>
      </c>
      <c r="C181" s="1" t="s">
        <v>23</v>
      </c>
      <c r="D181" s="1">
        <v>27.0</v>
      </c>
      <c r="E181" s="1">
        <v>35.0</v>
      </c>
      <c r="F181" s="1">
        <v>4.0</v>
      </c>
      <c r="G181" s="1">
        <v>5.0</v>
      </c>
      <c r="H181" s="1" t="s">
        <v>30</v>
      </c>
      <c r="I181" s="2">
        <v>45817.0</v>
      </c>
      <c r="J181" s="1">
        <v>1250000.0</v>
      </c>
      <c r="K181" s="2">
        <v>45809.0</v>
      </c>
    </row>
    <row r="182" hidden="1">
      <c r="A182" s="1" t="s">
        <v>53</v>
      </c>
      <c r="B182" s="1" t="s">
        <v>54</v>
      </c>
      <c r="C182" s="1" t="s">
        <v>13</v>
      </c>
      <c r="D182" s="1">
        <v>240.0</v>
      </c>
      <c r="E182" s="1">
        <v>60.0</v>
      </c>
      <c r="F182" s="1">
        <v>2.0</v>
      </c>
      <c r="G182" s="1">
        <v>6.0</v>
      </c>
      <c r="H182" s="1" t="s">
        <v>14</v>
      </c>
      <c r="I182" s="2">
        <v>46187.0</v>
      </c>
      <c r="J182" s="1">
        <v>165000.0</v>
      </c>
      <c r="K182" s="2">
        <v>45962.0</v>
      </c>
    </row>
    <row r="183" hidden="1">
      <c r="A183" s="1" t="s">
        <v>44</v>
      </c>
      <c r="B183" s="1" t="s">
        <v>45</v>
      </c>
      <c r="C183" s="1" t="s">
        <v>42</v>
      </c>
      <c r="D183" s="1">
        <v>60.0</v>
      </c>
      <c r="E183" s="1">
        <v>30.0</v>
      </c>
      <c r="F183" s="1">
        <v>4.0</v>
      </c>
      <c r="G183" s="1">
        <v>9.0</v>
      </c>
      <c r="H183" s="1" t="s">
        <v>43</v>
      </c>
      <c r="I183" s="2">
        <v>46062.0</v>
      </c>
      <c r="J183" s="1">
        <v>350000.0</v>
      </c>
      <c r="K183" s="2">
        <v>46054.0</v>
      </c>
    </row>
    <row r="184" hidden="1">
      <c r="A184" s="1" t="s">
        <v>11</v>
      </c>
      <c r="B184" s="1" t="s">
        <v>12</v>
      </c>
      <c r="C184" s="1" t="s">
        <v>13</v>
      </c>
      <c r="D184" s="1">
        <v>216.0</v>
      </c>
      <c r="E184" s="1">
        <v>50.0</v>
      </c>
      <c r="F184" s="1">
        <v>1.0</v>
      </c>
      <c r="G184" s="1">
        <v>8.0</v>
      </c>
      <c r="H184" s="1" t="s">
        <v>14</v>
      </c>
      <c r="I184" s="2">
        <v>45905.0</v>
      </c>
      <c r="J184" s="1">
        <v>125000.0</v>
      </c>
      <c r="K184" s="2">
        <v>45901.0</v>
      </c>
    </row>
    <row r="185">
      <c r="A185" s="1" t="s">
        <v>60</v>
      </c>
      <c r="B185" s="1" t="s">
        <v>61</v>
      </c>
      <c r="C185" s="1" t="s">
        <v>17</v>
      </c>
      <c r="D185" s="1">
        <v>-17.0</v>
      </c>
      <c r="E185" s="1">
        <v>20.0</v>
      </c>
      <c r="F185" s="1">
        <v>5.0</v>
      </c>
      <c r="G185" s="1">
        <v>22.0</v>
      </c>
      <c r="H185" s="1" t="s">
        <v>27</v>
      </c>
      <c r="I185" s="2">
        <v>45998.0</v>
      </c>
      <c r="J185" s="1">
        <v>3200000.0</v>
      </c>
      <c r="K185" s="2">
        <v>45992.0</v>
      </c>
    </row>
    <row r="186" hidden="1">
      <c r="A186" s="1" t="s">
        <v>38</v>
      </c>
      <c r="B186" s="1" t="s">
        <v>39</v>
      </c>
      <c r="C186" s="1" t="s">
        <v>23</v>
      </c>
      <c r="D186" s="1">
        <v>0.0</v>
      </c>
      <c r="E186" s="1">
        <v>45.0</v>
      </c>
      <c r="F186" s="1">
        <v>14.0</v>
      </c>
      <c r="G186" s="1">
        <v>6.0</v>
      </c>
      <c r="H186" s="1" t="s">
        <v>24</v>
      </c>
      <c r="I186" s="2">
        <v>46107.0</v>
      </c>
      <c r="J186" s="1">
        <v>450000.0</v>
      </c>
      <c r="K186" s="2">
        <v>46082.0</v>
      </c>
    </row>
    <row r="187" hidden="1">
      <c r="A187" s="1" t="s">
        <v>11</v>
      </c>
      <c r="B187" s="1" t="s">
        <v>12</v>
      </c>
      <c r="C187" s="1" t="s">
        <v>13</v>
      </c>
      <c r="D187" s="1">
        <v>157.0</v>
      </c>
      <c r="E187" s="1">
        <v>50.0</v>
      </c>
      <c r="F187" s="1">
        <v>1.0</v>
      </c>
      <c r="G187" s="1">
        <v>4.0</v>
      </c>
      <c r="H187" s="1" t="s">
        <v>14</v>
      </c>
      <c r="I187" s="2">
        <v>45823.0</v>
      </c>
      <c r="J187" s="1">
        <v>125000.0</v>
      </c>
      <c r="K187" s="2">
        <v>45809.0</v>
      </c>
    </row>
    <row r="188" hidden="1">
      <c r="A188" s="1" t="s">
        <v>57</v>
      </c>
      <c r="B188" s="1" t="s">
        <v>58</v>
      </c>
      <c r="C188" s="1" t="s">
        <v>42</v>
      </c>
      <c r="D188" s="1">
        <v>42.0</v>
      </c>
      <c r="E188" s="1">
        <v>25.0</v>
      </c>
      <c r="F188" s="1">
        <v>5.0</v>
      </c>
      <c r="G188" s="1">
        <v>10.0</v>
      </c>
      <c r="H188" s="1" t="s">
        <v>59</v>
      </c>
      <c r="I188" s="2">
        <v>45711.0</v>
      </c>
      <c r="J188" s="1">
        <v>450000.0</v>
      </c>
      <c r="K188" s="2">
        <v>45689.0</v>
      </c>
    </row>
    <row r="189" hidden="1">
      <c r="A189" s="1" t="s">
        <v>25</v>
      </c>
      <c r="B189" s="1" t="s">
        <v>26</v>
      </c>
      <c r="C189" s="1" t="s">
        <v>17</v>
      </c>
      <c r="D189" s="1">
        <v>0.0</v>
      </c>
      <c r="E189" s="1">
        <v>25.0</v>
      </c>
      <c r="F189" s="1">
        <v>8.0</v>
      </c>
      <c r="G189" s="1">
        <v>10.0</v>
      </c>
      <c r="H189" s="1" t="s">
        <v>27</v>
      </c>
      <c r="I189" s="2">
        <v>46013.0</v>
      </c>
      <c r="J189" s="1">
        <v>4500000.0</v>
      </c>
      <c r="K189" s="2">
        <v>45992.0</v>
      </c>
    </row>
    <row r="190" hidden="1">
      <c r="A190" s="1" t="s">
        <v>40</v>
      </c>
      <c r="B190" s="1" t="s">
        <v>41</v>
      </c>
      <c r="C190" s="1" t="s">
        <v>42</v>
      </c>
      <c r="D190" s="1">
        <v>22.0</v>
      </c>
      <c r="E190" s="1">
        <v>15.0</v>
      </c>
      <c r="F190" s="1">
        <v>3.0</v>
      </c>
      <c r="G190" s="1">
        <v>4.0</v>
      </c>
      <c r="H190" s="1" t="s">
        <v>43</v>
      </c>
      <c r="I190" s="2">
        <v>45919.0</v>
      </c>
      <c r="J190" s="1">
        <v>1200000.0</v>
      </c>
      <c r="K190" s="2">
        <v>45901.0</v>
      </c>
    </row>
    <row r="191" hidden="1">
      <c r="A191" s="1" t="s">
        <v>57</v>
      </c>
      <c r="B191" s="1" t="s">
        <v>58</v>
      </c>
      <c r="C191" s="1" t="s">
        <v>42</v>
      </c>
      <c r="D191" s="1">
        <v>21.0</v>
      </c>
      <c r="E191" s="1">
        <v>25.0</v>
      </c>
      <c r="F191" s="1">
        <v>3.0</v>
      </c>
      <c r="G191" s="1">
        <v>9.0</v>
      </c>
      <c r="H191" s="1" t="s">
        <v>59</v>
      </c>
      <c r="I191" s="2">
        <v>45854.0</v>
      </c>
      <c r="J191" s="1">
        <v>450000.0</v>
      </c>
      <c r="K191" s="2">
        <v>45839.0</v>
      </c>
    </row>
    <row r="192" hidden="1">
      <c r="A192" s="1" t="s">
        <v>51</v>
      </c>
      <c r="B192" s="1" t="s">
        <v>52</v>
      </c>
      <c r="C192" s="1" t="s">
        <v>36</v>
      </c>
      <c r="D192" s="1">
        <v>12.0</v>
      </c>
      <c r="E192" s="1">
        <v>60.0</v>
      </c>
      <c r="F192" s="1">
        <v>10.0</v>
      </c>
      <c r="H192" s="1" t="s">
        <v>50</v>
      </c>
      <c r="I192" s="2">
        <v>45965.0</v>
      </c>
      <c r="J192" s="1">
        <v>175000.0</v>
      </c>
      <c r="K192" s="2">
        <v>45962.0</v>
      </c>
    </row>
    <row r="193" hidden="1">
      <c r="A193" s="1" t="s">
        <v>15</v>
      </c>
      <c r="B193" s="1" t="s">
        <v>16</v>
      </c>
      <c r="C193" s="1" t="s">
        <v>17</v>
      </c>
      <c r="D193" s="1">
        <v>17.0</v>
      </c>
      <c r="E193" s="1">
        <v>15.0</v>
      </c>
      <c r="F193" s="1">
        <v>1.0</v>
      </c>
      <c r="G193" s="1">
        <v>6.0</v>
      </c>
      <c r="H193" s="1" t="s">
        <v>18</v>
      </c>
      <c r="I193" s="2">
        <v>45665.0</v>
      </c>
      <c r="J193" s="1">
        <v>8500000.0</v>
      </c>
      <c r="K193" s="2">
        <v>45658.0</v>
      </c>
    </row>
    <row r="194" hidden="1">
      <c r="A194" s="1" t="s">
        <v>51</v>
      </c>
      <c r="B194" s="1" t="s">
        <v>52</v>
      </c>
      <c r="C194" s="1" t="s">
        <v>36</v>
      </c>
      <c r="D194" s="1">
        <v>34.0</v>
      </c>
      <c r="E194" s="1">
        <v>60.0</v>
      </c>
      <c r="F194" s="1">
        <v>7.0</v>
      </c>
      <c r="G194" s="1">
        <v>6.0</v>
      </c>
      <c r="H194" s="1" t="s">
        <v>50</v>
      </c>
      <c r="I194" s="2">
        <v>45934.0</v>
      </c>
      <c r="J194" s="1">
        <v>175000.0</v>
      </c>
      <c r="K194" s="2">
        <v>45931.0</v>
      </c>
    </row>
    <row r="195" hidden="1">
      <c r="A195" s="1" t="s">
        <v>51</v>
      </c>
      <c r="B195" s="1" t="s">
        <v>52</v>
      </c>
      <c r="C195" s="1" t="s">
        <v>36</v>
      </c>
      <c r="D195" s="1">
        <v>21.0</v>
      </c>
      <c r="E195" s="1">
        <v>60.0</v>
      </c>
      <c r="F195" s="1">
        <v>9.0</v>
      </c>
      <c r="G195" s="1">
        <v>4.0</v>
      </c>
      <c r="H195" s="1" t="s">
        <v>50</v>
      </c>
      <c r="I195" s="2">
        <v>46067.0</v>
      </c>
      <c r="J195" s="1">
        <v>175000.0</v>
      </c>
      <c r="K195" s="2">
        <v>46054.0</v>
      </c>
    </row>
    <row r="196" hidden="1">
      <c r="A196" s="1" t="s">
        <v>28</v>
      </c>
      <c r="B196" s="1" t="s">
        <v>29</v>
      </c>
      <c r="C196" s="1" t="s">
        <v>23</v>
      </c>
      <c r="D196" s="1">
        <v>0.0</v>
      </c>
      <c r="E196" s="1">
        <v>35.0</v>
      </c>
      <c r="F196" s="1">
        <v>9.0</v>
      </c>
      <c r="G196" s="1">
        <v>6.0</v>
      </c>
      <c r="H196" s="1" t="s">
        <v>30</v>
      </c>
      <c r="I196" s="2">
        <v>45973.0</v>
      </c>
      <c r="J196" s="1">
        <v>1250000.0</v>
      </c>
      <c r="K196" s="2">
        <v>45962.0</v>
      </c>
    </row>
    <row r="197" hidden="1">
      <c r="A197" s="1" t="s">
        <v>31</v>
      </c>
      <c r="B197" s="1" t="s">
        <v>32</v>
      </c>
      <c r="C197" s="1" t="s">
        <v>13</v>
      </c>
      <c r="D197" s="1">
        <v>150.0</v>
      </c>
      <c r="E197" s="1">
        <v>40.0</v>
      </c>
      <c r="F197" s="1">
        <v>4.0</v>
      </c>
      <c r="G197" s="1">
        <v>4.0</v>
      </c>
      <c r="H197" s="1" t="s">
        <v>33</v>
      </c>
      <c r="I197" s="2">
        <v>46040.0</v>
      </c>
      <c r="J197" s="1">
        <v>550000.0</v>
      </c>
      <c r="K197" s="2">
        <v>46023.0</v>
      </c>
    </row>
    <row r="198" hidden="1">
      <c r="A198" s="1" t="s">
        <v>34</v>
      </c>
      <c r="B198" s="1" t="s">
        <v>35</v>
      </c>
      <c r="C198" s="1" t="s">
        <v>36</v>
      </c>
      <c r="D198" s="1">
        <v>18.0</v>
      </c>
      <c r="E198" s="1">
        <v>80.0</v>
      </c>
      <c r="F198" s="1">
        <v>10.0</v>
      </c>
      <c r="G198" s="1">
        <v>4.0</v>
      </c>
      <c r="H198" s="1" t="s">
        <v>37</v>
      </c>
      <c r="I198" s="2">
        <v>46024.0</v>
      </c>
      <c r="J198" s="1">
        <v>65000.0</v>
      </c>
      <c r="K198" s="2">
        <v>46023.0</v>
      </c>
    </row>
    <row r="199" hidden="1">
      <c r="A199" s="1" t="s">
        <v>28</v>
      </c>
      <c r="B199" s="1" t="s">
        <v>29</v>
      </c>
      <c r="C199" s="1" t="s">
        <v>23</v>
      </c>
      <c r="D199" s="1">
        <v>27.0</v>
      </c>
      <c r="E199" s="1">
        <v>35.0</v>
      </c>
      <c r="F199" s="1">
        <v>8.0</v>
      </c>
      <c r="G199" s="1">
        <v>6.0</v>
      </c>
      <c r="H199" s="1" t="s">
        <v>30</v>
      </c>
      <c r="I199" s="2">
        <v>46054.0</v>
      </c>
      <c r="J199" s="1">
        <v>1250000.0</v>
      </c>
      <c r="K199" s="2">
        <v>46054.0</v>
      </c>
    </row>
    <row r="200" hidden="1">
      <c r="A200" s="1" t="s">
        <v>44</v>
      </c>
      <c r="B200" s="1" t="s">
        <v>45</v>
      </c>
      <c r="C200" s="1" t="s">
        <v>42</v>
      </c>
      <c r="D200" s="1">
        <v>39.0</v>
      </c>
      <c r="E200" s="1">
        <v>30.0</v>
      </c>
      <c r="F200" s="1">
        <v>6.0</v>
      </c>
      <c r="G200" s="1">
        <v>10.0</v>
      </c>
      <c r="H200" s="1" t="s">
        <v>43</v>
      </c>
      <c r="I200" s="2">
        <v>45854.0</v>
      </c>
      <c r="J200" s="1">
        <v>350000.0</v>
      </c>
      <c r="K200" s="2">
        <v>45839.0</v>
      </c>
    </row>
    <row r="201" hidden="1">
      <c r="A201" s="1" t="s">
        <v>28</v>
      </c>
      <c r="B201" s="1" t="s">
        <v>29</v>
      </c>
      <c r="C201" s="1" t="s">
        <v>23</v>
      </c>
      <c r="D201" s="1">
        <v>10.0</v>
      </c>
      <c r="E201" s="1">
        <v>35.0</v>
      </c>
      <c r="F201" s="1">
        <v>7.0</v>
      </c>
      <c r="G201" s="1">
        <v>3.0</v>
      </c>
      <c r="H201" s="1" t="s">
        <v>30</v>
      </c>
      <c r="I201" s="2">
        <v>45929.0</v>
      </c>
      <c r="J201" s="1">
        <v>1250000.0</v>
      </c>
      <c r="K201" s="2">
        <v>45901.0</v>
      </c>
    </row>
    <row r="202" hidden="1">
      <c r="A202" s="1" t="s">
        <v>60</v>
      </c>
      <c r="B202" s="1" t="s">
        <v>61</v>
      </c>
      <c r="C202" s="1" t="s">
        <v>17</v>
      </c>
      <c r="D202" s="1">
        <v>7.0</v>
      </c>
      <c r="E202" s="1">
        <v>20.0</v>
      </c>
      <c r="F202" s="1">
        <v>2.0</v>
      </c>
      <c r="G202" s="1">
        <v>13.0</v>
      </c>
      <c r="H202" s="1" t="s">
        <v>27</v>
      </c>
      <c r="I202" s="2">
        <v>45861.0</v>
      </c>
      <c r="J202" s="1">
        <v>3200000.0</v>
      </c>
      <c r="K202" s="2">
        <v>45839.0</v>
      </c>
    </row>
    <row r="203" hidden="1">
      <c r="A203" s="1" t="s">
        <v>21</v>
      </c>
      <c r="B203" s="1" t="s">
        <v>22</v>
      </c>
      <c r="C203" s="1" t="s">
        <v>23</v>
      </c>
      <c r="D203" s="1">
        <v>13.0</v>
      </c>
      <c r="E203" s="1">
        <v>50.0</v>
      </c>
      <c r="F203" s="1">
        <v>8.0</v>
      </c>
      <c r="G203" s="1">
        <v>4.0</v>
      </c>
      <c r="H203" s="1" t="s">
        <v>24</v>
      </c>
      <c r="I203" s="2">
        <v>45691.0</v>
      </c>
      <c r="J203" s="1">
        <v>350000.0</v>
      </c>
      <c r="K203" s="2">
        <v>45689.0</v>
      </c>
    </row>
    <row r="204" hidden="1">
      <c r="A204" s="1" t="s">
        <v>40</v>
      </c>
      <c r="B204" s="1" t="s">
        <v>41</v>
      </c>
      <c r="C204" s="1" t="s">
        <v>42</v>
      </c>
      <c r="E204" s="1">
        <v>15.0</v>
      </c>
      <c r="F204" s="1">
        <v>2.0</v>
      </c>
      <c r="G204" s="1">
        <v>4.0</v>
      </c>
      <c r="H204" s="1" t="s">
        <v>43</v>
      </c>
      <c r="I204" s="2">
        <v>45688.0</v>
      </c>
      <c r="J204" s="1">
        <v>1200000.0</v>
      </c>
      <c r="K204" s="2">
        <v>45658.0</v>
      </c>
    </row>
    <row r="205" hidden="1">
      <c r="A205" s="1" t="s">
        <v>55</v>
      </c>
      <c r="B205" s="1" t="s">
        <v>56</v>
      </c>
      <c r="C205" s="1" t="s">
        <v>36</v>
      </c>
      <c r="D205" s="1">
        <v>19.0</v>
      </c>
      <c r="E205" s="1">
        <v>100.0</v>
      </c>
      <c r="F205" s="1">
        <v>16.0</v>
      </c>
      <c r="G205" s="1">
        <v>4.0</v>
      </c>
      <c r="H205" s="1" t="s">
        <v>37</v>
      </c>
      <c r="I205" s="2">
        <v>45965.0</v>
      </c>
      <c r="J205" s="1">
        <v>85000.0</v>
      </c>
      <c r="K205" s="2">
        <v>45962.0</v>
      </c>
    </row>
    <row r="206" hidden="1">
      <c r="A206" s="1" t="s">
        <v>55</v>
      </c>
      <c r="B206" s="1" t="s">
        <v>56</v>
      </c>
      <c r="C206" s="1" t="s">
        <v>36</v>
      </c>
      <c r="D206" s="1">
        <v>36.0</v>
      </c>
      <c r="E206" s="1">
        <v>100.0</v>
      </c>
      <c r="F206" s="1">
        <v>16.0</v>
      </c>
      <c r="G206" s="1">
        <v>5.0</v>
      </c>
      <c r="H206" s="1" t="s">
        <v>37</v>
      </c>
      <c r="I206" s="2">
        <v>45851.0</v>
      </c>
      <c r="J206" s="1">
        <v>85000.0</v>
      </c>
      <c r="K206" s="2">
        <v>45839.0</v>
      </c>
    </row>
    <row r="207" hidden="1">
      <c r="A207" s="1" t="s">
        <v>34</v>
      </c>
      <c r="B207" s="1" t="s">
        <v>35</v>
      </c>
      <c r="C207" s="1" t="s">
        <v>36</v>
      </c>
      <c r="D207" s="1">
        <v>33.0</v>
      </c>
      <c r="E207" s="1">
        <v>80.0</v>
      </c>
      <c r="F207" s="1">
        <v>13.0</v>
      </c>
      <c r="G207" s="1">
        <v>4.0</v>
      </c>
      <c r="H207" s="1" t="s">
        <v>37</v>
      </c>
      <c r="I207" s="2">
        <v>45697.0</v>
      </c>
      <c r="J207" s="1">
        <v>65000.0</v>
      </c>
      <c r="K207" s="2">
        <v>45689.0</v>
      </c>
    </row>
    <row r="208" hidden="1">
      <c r="A208" s="1" t="s">
        <v>15</v>
      </c>
      <c r="B208" s="1" t="s">
        <v>16</v>
      </c>
      <c r="C208" s="1" t="s">
        <v>17</v>
      </c>
      <c r="D208" s="1">
        <v>0.0</v>
      </c>
      <c r="E208" s="1">
        <v>15.0</v>
      </c>
      <c r="F208" s="1">
        <v>2.0</v>
      </c>
      <c r="G208" s="1">
        <v>8.0</v>
      </c>
      <c r="H208" s="1" t="s">
        <v>18</v>
      </c>
      <c r="I208" s="2">
        <v>45994.0</v>
      </c>
      <c r="J208" s="1">
        <v>8500000.0</v>
      </c>
      <c r="K208" s="2">
        <v>45992.0</v>
      </c>
    </row>
    <row r="209" hidden="1">
      <c r="A209" s="1" t="s">
        <v>19</v>
      </c>
      <c r="B209" s="1" t="s">
        <v>20</v>
      </c>
      <c r="C209" s="1" t="s">
        <v>17</v>
      </c>
      <c r="D209" s="1">
        <v>34.0</v>
      </c>
      <c r="E209" s="1">
        <v>30.0</v>
      </c>
      <c r="F209" s="1">
        <v>4.0</v>
      </c>
      <c r="G209" s="1">
        <v>5.0</v>
      </c>
      <c r="H209" s="1" t="s">
        <v>18</v>
      </c>
      <c r="I209" s="2">
        <v>46083.0</v>
      </c>
      <c r="J209" s="1">
        <v>1200000.0</v>
      </c>
      <c r="K209" s="2">
        <v>46082.0</v>
      </c>
    </row>
    <row r="210" hidden="1">
      <c r="A210" s="1" t="s">
        <v>62</v>
      </c>
      <c r="B210" s="1" t="s">
        <v>63</v>
      </c>
      <c r="C210" s="1" t="s">
        <v>13</v>
      </c>
      <c r="D210" s="1">
        <v>427.0</v>
      </c>
      <c r="E210" s="1">
        <v>80.0</v>
      </c>
      <c r="F210" s="1">
        <v>2.0</v>
      </c>
      <c r="G210" s="1">
        <v>5.0</v>
      </c>
      <c r="H210" s="1" t="s">
        <v>33</v>
      </c>
      <c r="I210" s="2">
        <v>45838.0</v>
      </c>
      <c r="J210" s="1">
        <v>85000.0</v>
      </c>
      <c r="K210" s="2">
        <v>45809.0</v>
      </c>
    </row>
    <row r="211" hidden="1">
      <c r="A211" s="1" t="s">
        <v>51</v>
      </c>
      <c r="B211" s="1" t="s">
        <v>52</v>
      </c>
      <c r="C211" s="1" t="s">
        <v>36</v>
      </c>
      <c r="D211" s="1">
        <v>14.0</v>
      </c>
      <c r="E211" s="1">
        <v>60.0</v>
      </c>
      <c r="F211" s="1">
        <v>8.0</v>
      </c>
      <c r="G211" s="1">
        <v>6.0</v>
      </c>
      <c r="H211" s="1" t="s">
        <v>50</v>
      </c>
      <c r="I211" s="2">
        <v>45930.0</v>
      </c>
      <c r="J211" s="1">
        <v>175000.0</v>
      </c>
      <c r="K211" s="2">
        <v>45901.0</v>
      </c>
    </row>
    <row r="212" hidden="1">
      <c r="A212" s="1" t="s">
        <v>25</v>
      </c>
      <c r="B212" s="1" t="s">
        <v>26</v>
      </c>
      <c r="C212" s="1" t="s">
        <v>17</v>
      </c>
      <c r="D212" s="1">
        <v>32.0</v>
      </c>
      <c r="E212" s="1">
        <v>25.0</v>
      </c>
      <c r="F212" s="1">
        <v>6.0</v>
      </c>
      <c r="G212" s="1">
        <v>17.0</v>
      </c>
      <c r="H212" s="1" t="s">
        <v>27</v>
      </c>
      <c r="I212" s="2">
        <v>46026.0</v>
      </c>
      <c r="J212" s="1">
        <v>4500000.0</v>
      </c>
      <c r="K212" s="2">
        <v>46023.0</v>
      </c>
    </row>
    <row r="213" hidden="1">
      <c r="A213" s="1" t="s">
        <v>11</v>
      </c>
      <c r="B213" s="1" t="s">
        <v>12</v>
      </c>
      <c r="C213" s="1" t="s">
        <v>13</v>
      </c>
      <c r="E213" s="1">
        <v>50.0</v>
      </c>
      <c r="F213" s="1">
        <v>1.0</v>
      </c>
      <c r="G213" s="1">
        <v>7.0</v>
      </c>
      <c r="H213" s="1" t="s">
        <v>14</v>
      </c>
      <c r="I213" s="2">
        <v>45885.0</v>
      </c>
      <c r="J213" s="1">
        <v>125000.0</v>
      </c>
      <c r="K213" s="2">
        <v>45870.0</v>
      </c>
    </row>
    <row r="214" hidden="1">
      <c r="A214" s="1" t="s">
        <v>15</v>
      </c>
      <c r="B214" s="1" t="s">
        <v>16</v>
      </c>
      <c r="C214" s="1" t="s">
        <v>17</v>
      </c>
      <c r="D214" s="1">
        <v>28.0</v>
      </c>
      <c r="E214" s="1">
        <v>15.0</v>
      </c>
      <c r="F214" s="1">
        <v>1.0</v>
      </c>
      <c r="G214" s="1">
        <v>6.0</v>
      </c>
      <c r="H214" s="1" t="s">
        <v>18</v>
      </c>
      <c r="I214" s="2">
        <v>45800.0</v>
      </c>
      <c r="J214" s="1">
        <v>8500000.0</v>
      </c>
      <c r="K214" s="2">
        <v>45778.0</v>
      </c>
    </row>
    <row r="215" hidden="1">
      <c r="A215" s="1" t="s">
        <v>64</v>
      </c>
      <c r="B215" s="1" t="s">
        <v>65</v>
      </c>
      <c r="C215" s="1" t="s">
        <v>42</v>
      </c>
      <c r="D215" s="1">
        <v>21.0</v>
      </c>
      <c r="E215" s="1">
        <v>20.0</v>
      </c>
      <c r="F215" s="1">
        <v>2.0</v>
      </c>
      <c r="G215" s="1">
        <v>9.0</v>
      </c>
      <c r="H215" s="1" t="s">
        <v>59</v>
      </c>
      <c r="I215" s="2">
        <v>45724.0</v>
      </c>
      <c r="J215" s="1">
        <v>750000.0</v>
      </c>
      <c r="K215" s="2">
        <v>45717.0</v>
      </c>
    </row>
    <row r="216" hidden="1">
      <c r="A216" s="1" t="s">
        <v>60</v>
      </c>
      <c r="B216" s="1" t="s">
        <v>61</v>
      </c>
      <c r="C216" s="1" t="s">
        <v>17</v>
      </c>
      <c r="D216" s="1">
        <v>12.0</v>
      </c>
      <c r="E216" s="1">
        <v>20.0</v>
      </c>
      <c r="F216" s="1">
        <v>2.0</v>
      </c>
      <c r="G216" s="1">
        <v>16.0</v>
      </c>
      <c r="H216" s="1" t="s">
        <v>27</v>
      </c>
      <c r="I216" s="2">
        <v>45724.0</v>
      </c>
      <c r="J216" s="1">
        <v>3200000.0</v>
      </c>
      <c r="K216" s="2">
        <v>45717.0</v>
      </c>
    </row>
    <row r="217" hidden="1">
      <c r="A217" s="1" t="s">
        <v>48</v>
      </c>
      <c r="B217" s="1" t="s">
        <v>49</v>
      </c>
      <c r="C217" s="1" t="s">
        <v>36</v>
      </c>
      <c r="D217" s="1">
        <v>72.0</v>
      </c>
      <c r="E217" s="1">
        <v>120.0</v>
      </c>
      <c r="F217" s="1">
        <v>18.0</v>
      </c>
      <c r="G217" s="1">
        <v>7.0</v>
      </c>
      <c r="H217" s="1" t="s">
        <v>50</v>
      </c>
      <c r="I217" s="2">
        <v>45815.0</v>
      </c>
      <c r="J217" s="1">
        <v>55000.0</v>
      </c>
      <c r="K217" s="2">
        <v>45809.0</v>
      </c>
    </row>
    <row r="218" hidden="1">
      <c r="A218" s="1" t="s">
        <v>40</v>
      </c>
      <c r="B218" s="1" t="s">
        <v>41</v>
      </c>
      <c r="C218" s="1" t="s">
        <v>42</v>
      </c>
      <c r="D218" s="1">
        <v>33.0</v>
      </c>
      <c r="E218" s="1">
        <v>15.0</v>
      </c>
      <c r="F218" s="1">
        <v>2.0</v>
      </c>
      <c r="G218" s="1">
        <v>10.0</v>
      </c>
      <c r="H218" s="1" t="s">
        <v>43</v>
      </c>
      <c r="I218" s="2">
        <v>46032.0</v>
      </c>
      <c r="J218" s="1">
        <v>1200000.0</v>
      </c>
      <c r="K218" s="2">
        <v>46023.0</v>
      </c>
    </row>
    <row r="219" hidden="1">
      <c r="A219" s="1" t="s">
        <v>53</v>
      </c>
      <c r="B219" s="1" t="s">
        <v>54</v>
      </c>
      <c r="C219" s="1" t="s">
        <v>13</v>
      </c>
      <c r="D219" s="1">
        <v>246.0</v>
      </c>
      <c r="E219" s="1">
        <v>60.0</v>
      </c>
      <c r="F219" s="1">
        <v>3.0</v>
      </c>
      <c r="G219" s="1">
        <v>7.0</v>
      </c>
      <c r="H219" s="1" t="s">
        <v>14</v>
      </c>
      <c r="I219" s="2">
        <v>46049.0</v>
      </c>
      <c r="J219" s="1">
        <v>165000.0</v>
      </c>
      <c r="K219" s="2">
        <v>46023.0</v>
      </c>
    </row>
    <row r="220" hidden="1">
      <c r="A220" s="1" t="s">
        <v>34</v>
      </c>
      <c r="B220" s="1" t="s">
        <v>35</v>
      </c>
      <c r="C220" s="1" t="s">
        <v>36</v>
      </c>
      <c r="D220" s="1">
        <v>64.0</v>
      </c>
      <c r="E220" s="1">
        <v>80.0</v>
      </c>
      <c r="F220" s="1">
        <v>13.0</v>
      </c>
      <c r="G220" s="1">
        <v>5.0</v>
      </c>
      <c r="H220" s="1" t="s">
        <v>37</v>
      </c>
      <c r="I220" s="2">
        <v>45970.0</v>
      </c>
      <c r="J220" s="1">
        <v>65000.0</v>
      </c>
      <c r="K220" s="2">
        <v>45962.0</v>
      </c>
    </row>
    <row r="221" hidden="1">
      <c r="A221" s="1" t="s">
        <v>57</v>
      </c>
      <c r="B221" s="1" t="s">
        <v>58</v>
      </c>
      <c r="C221" s="1" t="s">
        <v>42</v>
      </c>
      <c r="D221" s="1">
        <v>37.0</v>
      </c>
      <c r="E221" s="1">
        <v>25.0</v>
      </c>
      <c r="F221" s="1">
        <v>1.0</v>
      </c>
      <c r="G221" s="1">
        <v>9.0</v>
      </c>
      <c r="H221" s="1" t="s">
        <v>59</v>
      </c>
      <c r="I221" s="2">
        <v>45775.0</v>
      </c>
      <c r="J221" s="1">
        <v>450000.0</v>
      </c>
      <c r="K221" s="2">
        <v>45748.0</v>
      </c>
    </row>
    <row r="222" hidden="1">
      <c r="A222" s="1" t="s">
        <v>21</v>
      </c>
      <c r="B222" s="1" t="s">
        <v>22</v>
      </c>
      <c r="C222" s="1" t="s">
        <v>23</v>
      </c>
      <c r="D222" s="1">
        <v>0.0</v>
      </c>
      <c r="E222" s="1">
        <v>50.0</v>
      </c>
      <c r="F222" s="1">
        <v>13.0</v>
      </c>
      <c r="G222" s="1">
        <v>3.0</v>
      </c>
      <c r="H222" s="1" t="s">
        <v>24</v>
      </c>
      <c r="I222" s="2">
        <v>45747.0</v>
      </c>
      <c r="J222" s="1">
        <v>350000.0</v>
      </c>
      <c r="K222" s="2">
        <v>45717.0</v>
      </c>
    </row>
    <row r="223" hidden="1">
      <c r="A223" s="1" t="s">
        <v>53</v>
      </c>
      <c r="B223" s="1" t="s">
        <v>54</v>
      </c>
      <c r="C223" s="1" t="s">
        <v>13</v>
      </c>
      <c r="D223" s="1">
        <v>230.0</v>
      </c>
      <c r="E223" s="1">
        <v>60.0</v>
      </c>
      <c r="F223" s="1">
        <v>2.0</v>
      </c>
      <c r="G223" s="1">
        <v>8.0</v>
      </c>
      <c r="H223" s="1" t="s">
        <v>14</v>
      </c>
      <c r="I223" s="2">
        <v>45817.0</v>
      </c>
      <c r="J223" s="1">
        <v>165000.0</v>
      </c>
      <c r="K223" s="2">
        <v>45809.0</v>
      </c>
    </row>
    <row r="224" hidden="1">
      <c r="A224" s="1" t="s">
        <v>57</v>
      </c>
      <c r="B224" s="1" t="s">
        <v>58</v>
      </c>
      <c r="C224" s="1" t="s">
        <v>42</v>
      </c>
      <c r="D224" s="1">
        <v>52.0</v>
      </c>
      <c r="E224" s="1">
        <v>25.0</v>
      </c>
      <c r="F224" s="1">
        <v>4.0</v>
      </c>
      <c r="G224" s="1">
        <v>9.0</v>
      </c>
      <c r="H224" s="1" t="s">
        <v>59</v>
      </c>
      <c r="I224" s="2">
        <v>45671.0</v>
      </c>
      <c r="J224" s="1">
        <v>450000.0</v>
      </c>
      <c r="K224" s="2">
        <v>45658.0</v>
      </c>
    </row>
    <row r="225" hidden="1">
      <c r="A225" s="1" t="s">
        <v>64</v>
      </c>
      <c r="B225" s="1" t="s">
        <v>65</v>
      </c>
      <c r="C225" s="1" t="s">
        <v>42</v>
      </c>
      <c r="D225" s="1">
        <v>47.0</v>
      </c>
      <c r="E225" s="1">
        <v>20.0</v>
      </c>
      <c r="F225" s="1">
        <v>4.0</v>
      </c>
      <c r="G225" s="1">
        <v>9.0</v>
      </c>
      <c r="H225" s="1" t="s">
        <v>59</v>
      </c>
      <c r="I225" s="2">
        <v>45909.0</v>
      </c>
      <c r="J225" s="1">
        <v>750000.0</v>
      </c>
      <c r="K225" s="2">
        <v>45901.0</v>
      </c>
    </row>
    <row r="226" hidden="1">
      <c r="A226" s="1" t="s">
        <v>31</v>
      </c>
      <c r="B226" s="1" t="s">
        <v>32</v>
      </c>
      <c r="C226" s="1" t="s">
        <v>13</v>
      </c>
      <c r="D226" s="1">
        <v>153.0</v>
      </c>
      <c r="E226" s="1">
        <v>40.0</v>
      </c>
      <c r="F226" s="1">
        <v>4.0</v>
      </c>
      <c r="G226" s="1">
        <v>5.0</v>
      </c>
      <c r="H226" s="1" t="s">
        <v>33</v>
      </c>
      <c r="I226" s="2">
        <v>46097.0</v>
      </c>
      <c r="J226" s="1">
        <v>550000.0</v>
      </c>
      <c r="K226" s="2">
        <v>46082.0</v>
      </c>
    </row>
    <row r="227" hidden="1">
      <c r="A227" s="1" t="s">
        <v>15</v>
      </c>
      <c r="B227" s="1" t="s">
        <v>16</v>
      </c>
      <c r="C227" s="1" t="s">
        <v>17</v>
      </c>
      <c r="D227" s="1">
        <v>19.0</v>
      </c>
      <c r="E227" s="1">
        <v>15.0</v>
      </c>
      <c r="F227" s="1">
        <v>3.0</v>
      </c>
      <c r="G227" s="1">
        <v>5.0</v>
      </c>
      <c r="H227" s="1" t="s">
        <v>18</v>
      </c>
      <c r="I227" s="2">
        <v>45903.0</v>
      </c>
      <c r="J227" s="1">
        <v>8500000.0</v>
      </c>
      <c r="K227" s="2">
        <v>45901.0</v>
      </c>
    </row>
    <row r="228" hidden="1">
      <c r="A228" s="1" t="s">
        <v>21</v>
      </c>
      <c r="B228" s="1" t="s">
        <v>22</v>
      </c>
      <c r="C228" s="1" t="s">
        <v>23</v>
      </c>
      <c r="D228" s="1">
        <v>0.0</v>
      </c>
      <c r="E228" s="1">
        <v>50.0</v>
      </c>
      <c r="F228" s="1">
        <v>12.0</v>
      </c>
      <c r="G228" s="1">
        <v>5.0</v>
      </c>
      <c r="H228" s="1" t="s">
        <v>24</v>
      </c>
      <c r="I228" s="2">
        <v>45971.0</v>
      </c>
      <c r="J228" s="1">
        <v>350000.0</v>
      </c>
      <c r="K228" s="2">
        <v>45962.0</v>
      </c>
    </row>
    <row r="229" hidden="1">
      <c r="A229" s="1" t="s">
        <v>51</v>
      </c>
      <c r="B229" s="1" t="s">
        <v>52</v>
      </c>
      <c r="C229" s="1" t="s">
        <v>36</v>
      </c>
      <c r="D229" s="1">
        <v>37.0</v>
      </c>
      <c r="E229" s="1">
        <v>60.0</v>
      </c>
      <c r="F229" s="1">
        <v>8.0</v>
      </c>
      <c r="G229" s="1">
        <v>5.0</v>
      </c>
      <c r="H229" s="1" t="s">
        <v>50</v>
      </c>
      <c r="I229" s="2">
        <v>45795.0</v>
      </c>
      <c r="J229" s="1">
        <v>175000.0</v>
      </c>
      <c r="K229" s="2">
        <v>45778.0</v>
      </c>
    </row>
    <row r="230" hidden="1">
      <c r="A230" s="1" t="s">
        <v>21</v>
      </c>
      <c r="B230" s="1" t="s">
        <v>22</v>
      </c>
      <c r="C230" s="1" t="s">
        <v>23</v>
      </c>
      <c r="D230" s="1">
        <v>49.0</v>
      </c>
      <c r="E230" s="1">
        <v>50.0</v>
      </c>
      <c r="F230" s="1">
        <v>5.0</v>
      </c>
      <c r="H230" s="1" t="s">
        <v>24</v>
      </c>
      <c r="I230" s="2">
        <v>45784.0</v>
      </c>
      <c r="J230" s="1">
        <v>350000.0</v>
      </c>
      <c r="K230" s="2">
        <v>45778.0</v>
      </c>
    </row>
    <row r="231" hidden="1">
      <c r="A231" s="1" t="s">
        <v>60</v>
      </c>
      <c r="B231" s="1" t="s">
        <v>61</v>
      </c>
      <c r="C231" s="1" t="s">
        <v>17</v>
      </c>
      <c r="D231" s="1">
        <v>22.0</v>
      </c>
      <c r="E231" s="1">
        <v>20.0</v>
      </c>
      <c r="F231" s="1">
        <v>4.0</v>
      </c>
      <c r="G231" s="1">
        <v>8.0</v>
      </c>
      <c r="H231" s="1" t="s">
        <v>27</v>
      </c>
      <c r="I231" s="2">
        <v>46103.0</v>
      </c>
      <c r="J231" s="1">
        <v>3200000.0</v>
      </c>
      <c r="K231" s="2">
        <v>46082.0</v>
      </c>
    </row>
    <row r="232" hidden="1">
      <c r="A232" s="1" t="s">
        <v>55</v>
      </c>
      <c r="B232" s="1" t="s">
        <v>56</v>
      </c>
      <c r="C232" s="1" t="s">
        <v>36</v>
      </c>
      <c r="D232" s="1">
        <v>58.0</v>
      </c>
      <c r="E232" s="1">
        <v>100.0</v>
      </c>
      <c r="F232" s="1">
        <v>14.0</v>
      </c>
      <c r="G232" s="1">
        <v>3.0</v>
      </c>
      <c r="H232" s="1" t="s">
        <v>37</v>
      </c>
      <c r="I232" s="2">
        <v>45951.0</v>
      </c>
      <c r="J232" s="1">
        <v>85000.0</v>
      </c>
      <c r="K232" s="2">
        <v>45931.0</v>
      </c>
    </row>
    <row r="233" hidden="1">
      <c r="A233" s="1" t="s">
        <v>40</v>
      </c>
      <c r="B233" s="1" t="s">
        <v>41</v>
      </c>
      <c r="C233" s="1" t="s">
        <v>42</v>
      </c>
      <c r="D233" s="1">
        <v>14.0</v>
      </c>
      <c r="E233" s="1">
        <v>15.0</v>
      </c>
      <c r="F233" s="1">
        <v>2.0</v>
      </c>
      <c r="G233" s="1">
        <v>5.0</v>
      </c>
      <c r="H233" s="1" t="s">
        <v>43</v>
      </c>
      <c r="I233" s="2">
        <v>45858.0</v>
      </c>
      <c r="J233" s="1">
        <v>1200000.0</v>
      </c>
      <c r="K233" s="2">
        <v>45839.0</v>
      </c>
    </row>
    <row r="234" hidden="1">
      <c r="A234" s="1" t="s">
        <v>60</v>
      </c>
      <c r="B234" s="1" t="s">
        <v>61</v>
      </c>
      <c r="C234" s="1" t="s">
        <v>17</v>
      </c>
      <c r="D234" s="1">
        <v>0.0</v>
      </c>
      <c r="E234" s="1">
        <v>20.0</v>
      </c>
      <c r="F234" s="1">
        <v>4.0</v>
      </c>
      <c r="G234" s="1">
        <v>17.0</v>
      </c>
      <c r="H234" s="1" t="s">
        <v>27</v>
      </c>
      <c r="I234" s="2">
        <v>45964.0</v>
      </c>
      <c r="J234" s="1">
        <v>3200000.0</v>
      </c>
      <c r="K234" s="2">
        <v>45962.0</v>
      </c>
    </row>
    <row r="235" hidden="1">
      <c r="A235" s="1" t="s">
        <v>64</v>
      </c>
      <c r="B235" s="1" t="s">
        <v>65</v>
      </c>
      <c r="C235" s="1" t="s">
        <v>42</v>
      </c>
      <c r="D235" s="1">
        <v>26.0</v>
      </c>
      <c r="E235" s="1">
        <v>20.0</v>
      </c>
      <c r="F235" s="1">
        <v>2.0</v>
      </c>
      <c r="G235" s="1">
        <v>10.0</v>
      </c>
      <c r="H235" s="1" t="s">
        <v>59</v>
      </c>
      <c r="I235" s="2">
        <v>45762.0</v>
      </c>
      <c r="J235" s="1">
        <v>750000.0</v>
      </c>
      <c r="K235" s="2">
        <v>45748.0</v>
      </c>
    </row>
    <row r="236" hidden="1">
      <c r="A236" s="1" t="s">
        <v>48</v>
      </c>
      <c r="B236" s="1" t="s">
        <v>49</v>
      </c>
      <c r="C236" s="1" t="s">
        <v>36</v>
      </c>
      <c r="D236" s="1">
        <v>12.0</v>
      </c>
      <c r="E236" s="1">
        <v>120.0</v>
      </c>
      <c r="F236" s="1">
        <v>21.0</v>
      </c>
      <c r="G236" s="1">
        <v>5.0</v>
      </c>
      <c r="H236" s="1" t="s">
        <v>50</v>
      </c>
      <c r="I236" s="2">
        <v>45706.0</v>
      </c>
      <c r="J236" s="1">
        <v>55000.0</v>
      </c>
      <c r="K236" s="2">
        <v>45689.0</v>
      </c>
    </row>
    <row r="237" hidden="1">
      <c r="A237" s="1" t="s">
        <v>53</v>
      </c>
      <c r="B237" s="1" t="s">
        <v>54</v>
      </c>
      <c r="C237" s="1" t="s">
        <v>13</v>
      </c>
      <c r="D237" s="1">
        <v>292.0</v>
      </c>
      <c r="E237" s="1">
        <v>60.0</v>
      </c>
      <c r="F237" s="1">
        <v>3.0</v>
      </c>
      <c r="G237" s="1">
        <v>8.0</v>
      </c>
      <c r="H237" s="1" t="s">
        <v>14</v>
      </c>
      <c r="I237" s="2">
        <v>45869.0</v>
      </c>
      <c r="J237" s="1">
        <v>165000.0</v>
      </c>
      <c r="K237" s="2">
        <v>45839.0</v>
      </c>
    </row>
    <row r="238" hidden="1">
      <c r="A238" s="1" t="s">
        <v>40</v>
      </c>
      <c r="B238" s="1" t="s">
        <v>41</v>
      </c>
      <c r="C238" s="1" t="s">
        <v>42</v>
      </c>
      <c r="D238" s="1">
        <v>18.0</v>
      </c>
      <c r="E238" s="1">
        <v>15.0</v>
      </c>
      <c r="F238" s="1">
        <v>3.0</v>
      </c>
      <c r="G238" s="1">
        <v>5.0</v>
      </c>
      <c r="H238" s="1" t="s">
        <v>43</v>
      </c>
      <c r="I238" s="2">
        <v>45774.0</v>
      </c>
      <c r="J238" s="1">
        <v>1200000.0</v>
      </c>
      <c r="K238" s="2">
        <v>45748.0</v>
      </c>
    </row>
    <row r="239" hidden="1">
      <c r="A239" s="1" t="s">
        <v>25</v>
      </c>
      <c r="B239" s="1" t="s">
        <v>26</v>
      </c>
      <c r="C239" s="1" t="s">
        <v>17</v>
      </c>
      <c r="D239" s="1">
        <v>29.0</v>
      </c>
      <c r="E239" s="1">
        <v>25.0</v>
      </c>
      <c r="F239" s="1">
        <v>4.0</v>
      </c>
      <c r="G239" s="1">
        <v>11.0</v>
      </c>
      <c r="H239" s="1" t="s">
        <v>27</v>
      </c>
      <c r="I239" s="2">
        <v>45917.0</v>
      </c>
      <c r="J239" s="1">
        <v>4500000.0</v>
      </c>
      <c r="K239" s="2">
        <v>45901.0</v>
      </c>
    </row>
    <row r="240" hidden="1">
      <c r="A240" s="1" t="s">
        <v>48</v>
      </c>
      <c r="B240" s="1" t="s">
        <v>49</v>
      </c>
      <c r="C240" s="1" t="s">
        <v>36</v>
      </c>
      <c r="D240" s="1">
        <v>68.0</v>
      </c>
      <c r="E240" s="1">
        <v>120.0</v>
      </c>
      <c r="F240" s="1">
        <v>16.0</v>
      </c>
      <c r="G240" s="1">
        <v>6.0</v>
      </c>
      <c r="H240" s="1" t="s">
        <v>50</v>
      </c>
      <c r="I240" s="2">
        <v>45672.0</v>
      </c>
      <c r="J240" s="1">
        <v>55000.0</v>
      </c>
      <c r="K240" s="2">
        <v>45658.0</v>
      </c>
    </row>
    <row r="241" hidden="1">
      <c r="A241" s="1" t="s">
        <v>46</v>
      </c>
      <c r="B241" s="1" t="s">
        <v>47</v>
      </c>
      <c r="C241" s="1" t="s">
        <v>23</v>
      </c>
      <c r="D241" s="1">
        <v>35.0</v>
      </c>
      <c r="E241" s="1">
        <v>40.0</v>
      </c>
      <c r="F241" s="1">
        <v>4.0</v>
      </c>
      <c r="G241" s="1">
        <v>5.0</v>
      </c>
      <c r="H241" s="1" t="s">
        <v>30</v>
      </c>
      <c r="I241" s="2">
        <v>46161.0</v>
      </c>
      <c r="J241" s="1">
        <v>550000.0</v>
      </c>
      <c r="K241" s="2">
        <v>45809.0</v>
      </c>
    </row>
    <row r="242" hidden="1">
      <c r="A242" s="1" t="s">
        <v>38</v>
      </c>
      <c r="B242" s="1" t="s">
        <v>39</v>
      </c>
      <c r="C242" s="1" t="s">
        <v>23</v>
      </c>
      <c r="D242" s="1">
        <v>15.0</v>
      </c>
      <c r="E242" s="1">
        <v>45.0</v>
      </c>
      <c r="F242" s="1">
        <v>7.0</v>
      </c>
      <c r="G242" s="1">
        <v>4.0</v>
      </c>
      <c r="H242" s="1" t="s">
        <v>24</v>
      </c>
      <c r="I242" s="2">
        <v>45856.0</v>
      </c>
      <c r="J242" s="1">
        <v>450000.0</v>
      </c>
      <c r="K242" s="2">
        <v>45839.0</v>
      </c>
    </row>
    <row r="243" hidden="1">
      <c r="A243" s="1" t="s">
        <v>11</v>
      </c>
      <c r="B243" s="1" t="s">
        <v>12</v>
      </c>
      <c r="C243" s="1" t="s">
        <v>13</v>
      </c>
      <c r="D243" s="1">
        <v>172.0</v>
      </c>
      <c r="E243" s="1">
        <v>50.0</v>
      </c>
      <c r="F243" s="1">
        <v>2.0</v>
      </c>
      <c r="G243" s="1">
        <v>6.0</v>
      </c>
      <c r="H243" s="1" t="s">
        <v>14</v>
      </c>
      <c r="I243" s="2">
        <v>46018.0</v>
      </c>
      <c r="J243" s="1">
        <v>125000.0</v>
      </c>
      <c r="K243" s="2">
        <v>45992.0</v>
      </c>
    </row>
    <row r="244" hidden="1">
      <c r="A244" s="1" t="s">
        <v>62</v>
      </c>
      <c r="B244" s="1" t="s">
        <v>63</v>
      </c>
      <c r="C244" s="1" t="s">
        <v>13</v>
      </c>
      <c r="D244" s="1">
        <v>392.0</v>
      </c>
      <c r="E244" s="1">
        <v>80.0</v>
      </c>
      <c r="F244" s="1">
        <v>3.0</v>
      </c>
      <c r="G244" s="1">
        <v>6.0</v>
      </c>
      <c r="H244" s="1" t="s">
        <v>33</v>
      </c>
      <c r="I244" s="2">
        <v>46030.0</v>
      </c>
      <c r="J244" s="1">
        <v>85000.0</v>
      </c>
      <c r="K244" s="2">
        <v>46023.0</v>
      </c>
    </row>
    <row r="245" hidden="1">
      <c r="A245" s="1" t="s">
        <v>53</v>
      </c>
      <c r="B245" s="1" t="s">
        <v>54</v>
      </c>
      <c r="C245" s="1" t="s">
        <v>13</v>
      </c>
      <c r="D245" s="1">
        <v>205.0</v>
      </c>
      <c r="E245" s="1">
        <v>60.0</v>
      </c>
      <c r="F245" s="1">
        <v>4.0</v>
      </c>
      <c r="G245" s="1">
        <v>7.0</v>
      </c>
      <c r="H245" s="1" t="s">
        <v>14</v>
      </c>
      <c r="I245" s="2">
        <v>45739.0</v>
      </c>
      <c r="J245" s="1">
        <v>165000.0</v>
      </c>
      <c r="K245" s="2">
        <v>45717.0</v>
      </c>
    </row>
    <row r="246" hidden="1">
      <c r="A246" s="1" t="s">
        <v>60</v>
      </c>
      <c r="B246" s="1" t="s">
        <v>61</v>
      </c>
      <c r="C246" s="1" t="s">
        <v>17</v>
      </c>
      <c r="D246" s="1">
        <v>7.0</v>
      </c>
      <c r="E246" s="1">
        <v>20.0</v>
      </c>
      <c r="F246" s="1">
        <v>2.0</v>
      </c>
      <c r="G246" s="1">
        <v>7.0</v>
      </c>
      <c r="H246" s="1" t="s">
        <v>27</v>
      </c>
      <c r="I246" s="2">
        <v>45933.0</v>
      </c>
      <c r="J246" s="1">
        <v>3200000.0</v>
      </c>
      <c r="K246" s="2">
        <v>45931.0</v>
      </c>
    </row>
    <row r="247" hidden="1">
      <c r="A247" s="1" t="s">
        <v>55</v>
      </c>
      <c r="B247" s="1" t="s">
        <v>56</v>
      </c>
      <c r="C247" s="1" t="s">
        <v>36</v>
      </c>
      <c r="D247" s="1">
        <v>60.0</v>
      </c>
      <c r="E247" s="1">
        <v>100.0</v>
      </c>
      <c r="F247" s="1">
        <v>22.0</v>
      </c>
      <c r="G247" s="1">
        <v>5.0</v>
      </c>
      <c r="H247" s="1" t="s">
        <v>37</v>
      </c>
      <c r="I247" s="2">
        <v>46109.0</v>
      </c>
      <c r="J247" s="1">
        <v>85000.0</v>
      </c>
      <c r="K247" s="2">
        <v>46082.0</v>
      </c>
    </row>
    <row r="248" hidden="1">
      <c r="A248" s="1" t="s">
        <v>11</v>
      </c>
      <c r="B248" s="1" t="s">
        <v>12</v>
      </c>
      <c r="C248" s="1" t="s">
        <v>13</v>
      </c>
      <c r="D248" s="1">
        <v>230.0</v>
      </c>
      <c r="E248" s="1">
        <v>50.0</v>
      </c>
      <c r="F248" s="1">
        <v>1.0</v>
      </c>
      <c r="G248" s="1">
        <v>4.0</v>
      </c>
      <c r="H248" s="1" t="s">
        <v>14</v>
      </c>
      <c r="I248" s="2">
        <v>45939.0</v>
      </c>
      <c r="J248" s="1">
        <v>125000.0</v>
      </c>
      <c r="K248" s="2">
        <v>45931.0</v>
      </c>
    </row>
    <row r="249" hidden="1">
      <c r="A249" s="1" t="s">
        <v>34</v>
      </c>
      <c r="B249" s="1" t="s">
        <v>35</v>
      </c>
      <c r="C249" s="1" t="s">
        <v>36</v>
      </c>
      <c r="D249" s="1">
        <v>0.0</v>
      </c>
      <c r="E249" s="1">
        <v>80.0</v>
      </c>
      <c r="F249" s="1">
        <v>17.0</v>
      </c>
      <c r="G249" s="1">
        <v>5.0</v>
      </c>
      <c r="H249" s="1" t="s">
        <v>37</v>
      </c>
      <c r="I249" s="2">
        <v>46012.0</v>
      </c>
      <c r="J249" s="1">
        <v>65000.0</v>
      </c>
      <c r="K249" s="2">
        <v>45992.0</v>
      </c>
    </row>
    <row r="250" hidden="1">
      <c r="A250" s="1" t="s">
        <v>62</v>
      </c>
      <c r="B250" s="1" t="s">
        <v>63</v>
      </c>
      <c r="C250" s="1" t="s">
        <v>13</v>
      </c>
      <c r="D250" s="1">
        <v>302.0</v>
      </c>
      <c r="E250" s="1">
        <v>80.0</v>
      </c>
      <c r="F250" s="1">
        <v>3.0</v>
      </c>
      <c r="G250" s="1">
        <v>5.0</v>
      </c>
      <c r="H250" s="1" t="s">
        <v>33</v>
      </c>
      <c r="I250" s="2">
        <v>45797.0</v>
      </c>
      <c r="J250" s="1">
        <v>85000.0</v>
      </c>
      <c r="K250" s="2">
        <v>45778.0</v>
      </c>
    </row>
    <row r="251" hidden="1">
      <c r="A251" s="1" t="s">
        <v>15</v>
      </c>
      <c r="B251" s="1" t="s">
        <v>16</v>
      </c>
      <c r="C251" s="1" t="s">
        <v>17</v>
      </c>
      <c r="D251" s="1">
        <v>9.0</v>
      </c>
      <c r="E251" s="1">
        <v>15.0</v>
      </c>
      <c r="F251" s="1">
        <v>1.0</v>
      </c>
      <c r="G251" s="1">
        <v>6.0</v>
      </c>
      <c r="H251" s="1" t="s">
        <v>18</v>
      </c>
      <c r="I251" s="2">
        <v>46109.0</v>
      </c>
      <c r="J251" s="1">
        <v>8500000.0</v>
      </c>
      <c r="K251" s="2">
        <v>46082.0</v>
      </c>
    </row>
    <row r="252" hidden="1">
      <c r="A252" s="1" t="s">
        <v>19</v>
      </c>
      <c r="B252" s="1" t="s">
        <v>20</v>
      </c>
      <c r="C252" s="1" t="s">
        <v>17</v>
      </c>
      <c r="D252" s="1">
        <v>26.0</v>
      </c>
      <c r="E252" s="1">
        <v>30.0</v>
      </c>
      <c r="F252" s="1">
        <v>2.0</v>
      </c>
      <c r="G252" s="1">
        <v>9.0</v>
      </c>
      <c r="H252" s="1" t="s">
        <v>18</v>
      </c>
      <c r="I252" s="2">
        <v>45731.0</v>
      </c>
      <c r="J252" s="1">
        <v>1200000.0</v>
      </c>
      <c r="K252" s="2">
        <v>45717.0</v>
      </c>
    </row>
    <row r="253" hidden="1">
      <c r="A253" s="1" t="s">
        <v>28</v>
      </c>
      <c r="B253" s="1" t="s">
        <v>29</v>
      </c>
      <c r="C253" s="1" t="s">
        <v>23</v>
      </c>
      <c r="D253" s="1">
        <v>20.0</v>
      </c>
      <c r="E253" s="1">
        <v>35.0</v>
      </c>
      <c r="F253" s="1">
        <v>5.0</v>
      </c>
      <c r="G253" s="1">
        <v>8.0</v>
      </c>
      <c r="H253" s="1" t="s">
        <v>30</v>
      </c>
      <c r="I253" s="2">
        <v>45784.0</v>
      </c>
      <c r="J253" s="1">
        <v>1250000.0</v>
      </c>
      <c r="K253" s="2">
        <v>45778.0</v>
      </c>
    </row>
    <row r="254" hidden="1">
      <c r="A254" s="1" t="s">
        <v>51</v>
      </c>
      <c r="B254" s="1" t="s">
        <v>52</v>
      </c>
      <c r="C254" s="1" t="s">
        <v>36</v>
      </c>
      <c r="D254" s="1">
        <v>15.0</v>
      </c>
      <c r="E254" s="1">
        <v>60.0</v>
      </c>
      <c r="F254" s="1">
        <v>7.0</v>
      </c>
      <c r="G254" s="1">
        <v>5.0</v>
      </c>
      <c r="H254" s="1" t="s">
        <v>50</v>
      </c>
      <c r="I254" s="2">
        <v>45827.0</v>
      </c>
      <c r="J254" s="1">
        <v>175000.0</v>
      </c>
      <c r="K254" s="2">
        <v>45809.0</v>
      </c>
    </row>
    <row r="255">
      <c r="A255" s="1" t="s">
        <v>11</v>
      </c>
      <c r="B255" s="1" t="s">
        <v>12</v>
      </c>
      <c r="C255" s="1" t="s">
        <v>13</v>
      </c>
      <c r="D255" s="1">
        <v>-15.0</v>
      </c>
      <c r="E255" s="1">
        <v>50.0</v>
      </c>
      <c r="F255" s="1">
        <v>3.0</v>
      </c>
      <c r="G255" s="1">
        <v>6.0</v>
      </c>
      <c r="H255" s="1" t="s">
        <v>14</v>
      </c>
      <c r="I255" s="2">
        <v>45734.0</v>
      </c>
      <c r="J255" s="1">
        <v>125000.0</v>
      </c>
      <c r="K255" s="2">
        <v>45717.0</v>
      </c>
    </row>
    <row r="256" hidden="1">
      <c r="A256" s="1" t="s">
        <v>51</v>
      </c>
      <c r="B256" s="1" t="s">
        <v>52</v>
      </c>
      <c r="C256" s="1" t="s">
        <v>36</v>
      </c>
      <c r="D256" s="1">
        <v>0.0</v>
      </c>
      <c r="E256" s="1">
        <v>60.0</v>
      </c>
      <c r="F256" s="1">
        <v>11.0</v>
      </c>
      <c r="G256" s="1">
        <v>5.0</v>
      </c>
      <c r="H256" s="1" t="s">
        <v>50</v>
      </c>
      <c r="I256" s="2">
        <v>46083.0</v>
      </c>
      <c r="J256" s="1">
        <v>175000.0</v>
      </c>
      <c r="K256" s="2">
        <v>46082.0</v>
      </c>
    </row>
    <row r="257" hidden="1">
      <c r="A257" s="1" t="s">
        <v>62</v>
      </c>
      <c r="B257" s="1" t="s">
        <v>63</v>
      </c>
      <c r="C257" s="1" t="s">
        <v>13</v>
      </c>
      <c r="D257" s="1">
        <v>386.0</v>
      </c>
      <c r="E257" s="1">
        <v>80.0</v>
      </c>
      <c r="F257" s="1">
        <v>3.0</v>
      </c>
      <c r="G257" s="1">
        <v>6.0</v>
      </c>
      <c r="H257" s="1" t="s">
        <v>33</v>
      </c>
      <c r="I257" s="2">
        <v>45852.0</v>
      </c>
      <c r="J257" s="1">
        <v>85000.0</v>
      </c>
      <c r="K257" s="2">
        <v>45839.0</v>
      </c>
    </row>
    <row r="258" hidden="1">
      <c r="A258" s="1" t="s">
        <v>40</v>
      </c>
      <c r="B258" s="1" t="s">
        <v>41</v>
      </c>
      <c r="C258" s="1" t="s">
        <v>42</v>
      </c>
      <c r="D258" s="1">
        <v>9.0</v>
      </c>
      <c r="E258" s="1">
        <v>15.0</v>
      </c>
      <c r="F258" s="1">
        <v>1.0</v>
      </c>
      <c r="G258" s="1">
        <v>8.0</v>
      </c>
      <c r="H258" s="1" t="s">
        <v>43</v>
      </c>
      <c r="I258" s="2">
        <v>46014.0</v>
      </c>
      <c r="J258" s="1">
        <v>1200000.0</v>
      </c>
      <c r="K258" s="2">
        <v>45992.0</v>
      </c>
    </row>
    <row r="259" hidden="1">
      <c r="A259" s="1" t="s">
        <v>60</v>
      </c>
      <c r="B259" s="1" t="s">
        <v>61</v>
      </c>
      <c r="C259" s="1" t="s">
        <v>17</v>
      </c>
      <c r="D259" s="1">
        <v>27.0</v>
      </c>
      <c r="E259" s="1">
        <v>20.0</v>
      </c>
      <c r="F259" s="1">
        <v>2.0</v>
      </c>
      <c r="G259" s="1">
        <v>13.0</v>
      </c>
      <c r="H259" s="1" t="s">
        <v>27</v>
      </c>
      <c r="I259" s="2">
        <v>46057.0</v>
      </c>
      <c r="J259" s="1">
        <v>3200000.0</v>
      </c>
      <c r="K259" s="2">
        <v>46054.0</v>
      </c>
    </row>
    <row r="260" hidden="1">
      <c r="A260" s="1" t="s">
        <v>53</v>
      </c>
      <c r="B260" s="1" t="s">
        <v>54</v>
      </c>
      <c r="C260" s="1" t="s">
        <v>13</v>
      </c>
      <c r="D260" s="1">
        <v>292.0</v>
      </c>
      <c r="E260" s="1">
        <v>60.0</v>
      </c>
      <c r="F260" s="1">
        <v>3.0</v>
      </c>
      <c r="G260" s="1">
        <v>6.0</v>
      </c>
      <c r="H260" s="1" t="s">
        <v>14</v>
      </c>
      <c r="I260" s="2">
        <v>45888.0</v>
      </c>
      <c r="J260" s="1">
        <v>165000.0</v>
      </c>
      <c r="K260" s="2">
        <v>45870.0</v>
      </c>
    </row>
    <row r="261" hidden="1">
      <c r="A261" s="1" t="s">
        <v>31</v>
      </c>
      <c r="B261" s="1" t="s">
        <v>32</v>
      </c>
      <c r="C261" s="1" t="s">
        <v>13</v>
      </c>
      <c r="D261" s="1">
        <v>186.0</v>
      </c>
      <c r="E261" s="1">
        <v>40.0</v>
      </c>
      <c r="F261" s="1">
        <v>2.0</v>
      </c>
      <c r="G261" s="1">
        <v>4.0</v>
      </c>
      <c r="H261" s="1" t="s">
        <v>33</v>
      </c>
      <c r="I261" s="2">
        <v>45971.0</v>
      </c>
      <c r="J261" s="1">
        <v>550000.0</v>
      </c>
      <c r="K261" s="2">
        <v>45962.0</v>
      </c>
    </row>
    <row r="262" hidden="1">
      <c r="A262" s="1" t="s">
        <v>34</v>
      </c>
      <c r="B262" s="1" t="s">
        <v>35</v>
      </c>
      <c r="C262" s="1" t="s">
        <v>36</v>
      </c>
      <c r="D262" s="1">
        <v>35.0</v>
      </c>
      <c r="E262" s="1">
        <v>80.0</v>
      </c>
      <c r="F262" s="1">
        <v>13.0</v>
      </c>
      <c r="G262" s="1">
        <v>4.0</v>
      </c>
      <c r="H262" s="1" t="s">
        <v>37</v>
      </c>
      <c r="I262" s="2">
        <v>45800.0</v>
      </c>
      <c r="J262" s="1">
        <v>65000.0</v>
      </c>
      <c r="K262" s="2">
        <v>45778.0</v>
      </c>
    </row>
    <row r="263" hidden="1">
      <c r="A263" s="1" t="s">
        <v>46</v>
      </c>
      <c r="B263" s="1" t="s">
        <v>47</v>
      </c>
      <c r="C263" s="1" t="s">
        <v>23</v>
      </c>
      <c r="D263" s="1">
        <v>14.0</v>
      </c>
      <c r="E263" s="1">
        <v>40.0</v>
      </c>
      <c r="F263" s="1">
        <v>4.0</v>
      </c>
      <c r="G263" s="1">
        <v>8.0</v>
      </c>
      <c r="H263" s="1" t="s">
        <v>30</v>
      </c>
      <c r="I263" s="2">
        <v>45687.0</v>
      </c>
      <c r="J263" s="1">
        <v>550000.0</v>
      </c>
      <c r="K263" s="2">
        <v>45658.0</v>
      </c>
    </row>
    <row r="264" hidden="1">
      <c r="A264" s="1" t="s">
        <v>19</v>
      </c>
      <c r="B264" s="1" t="s">
        <v>20</v>
      </c>
      <c r="C264" s="1" t="s">
        <v>17</v>
      </c>
      <c r="D264" s="1">
        <v>31.0</v>
      </c>
      <c r="E264" s="1">
        <v>30.0</v>
      </c>
      <c r="F264" s="1">
        <v>3.0</v>
      </c>
      <c r="G264" s="1">
        <v>8.0</v>
      </c>
      <c r="H264" s="1" t="s">
        <v>18</v>
      </c>
      <c r="I264" s="2">
        <v>45929.0</v>
      </c>
      <c r="J264" s="1">
        <v>1200000.0</v>
      </c>
      <c r="K264" s="2">
        <v>45901.0</v>
      </c>
    </row>
    <row r="265" hidden="1">
      <c r="A265" s="1" t="s">
        <v>15</v>
      </c>
      <c r="B265" s="1" t="s">
        <v>16</v>
      </c>
      <c r="C265" s="1" t="s">
        <v>17</v>
      </c>
      <c r="D265" s="1">
        <v>13.0</v>
      </c>
      <c r="E265" s="1">
        <v>15.0</v>
      </c>
      <c r="F265" s="1">
        <v>1.0</v>
      </c>
      <c r="G265" s="1">
        <v>5.0</v>
      </c>
      <c r="H265" s="1" t="s">
        <v>18</v>
      </c>
      <c r="I265" s="2">
        <v>45710.0</v>
      </c>
      <c r="J265" s="1">
        <v>8500000.0</v>
      </c>
      <c r="K265" s="2">
        <v>45689.0</v>
      </c>
    </row>
    <row r="266" hidden="1">
      <c r="A266" s="1" t="s">
        <v>19</v>
      </c>
      <c r="B266" s="1" t="s">
        <v>20</v>
      </c>
      <c r="C266" s="1" t="s">
        <v>17</v>
      </c>
      <c r="D266" s="1">
        <v>26.0</v>
      </c>
      <c r="E266" s="1">
        <v>30.0</v>
      </c>
      <c r="F266" s="1">
        <v>4.0</v>
      </c>
      <c r="G266" s="1">
        <v>8.0</v>
      </c>
      <c r="H266" s="1" t="s">
        <v>18</v>
      </c>
      <c r="I266" s="2">
        <v>45803.0</v>
      </c>
      <c r="J266" s="1">
        <v>1200000.0</v>
      </c>
      <c r="K266" s="2">
        <v>45778.0</v>
      </c>
    </row>
    <row r="267" hidden="1">
      <c r="A267" s="1" t="s">
        <v>38</v>
      </c>
      <c r="B267" s="1" t="s">
        <v>39</v>
      </c>
      <c r="C267" s="1" t="s">
        <v>23</v>
      </c>
      <c r="D267" s="1">
        <v>36.0</v>
      </c>
      <c r="E267" s="1">
        <v>45.0</v>
      </c>
      <c r="F267" s="1">
        <v>4.0</v>
      </c>
      <c r="G267" s="1">
        <v>3.0</v>
      </c>
      <c r="H267" s="1" t="s">
        <v>24</v>
      </c>
      <c r="I267" s="2">
        <v>45812.0</v>
      </c>
      <c r="J267" s="1">
        <v>450000.0</v>
      </c>
      <c r="K267" s="2">
        <v>45809.0</v>
      </c>
    </row>
    <row r="268" hidden="1">
      <c r="A268" s="1" t="s">
        <v>62</v>
      </c>
      <c r="B268" s="1" t="s">
        <v>63</v>
      </c>
      <c r="C268" s="1" t="s">
        <v>13</v>
      </c>
      <c r="D268" s="1">
        <v>264.0</v>
      </c>
      <c r="E268" s="1">
        <v>80.0</v>
      </c>
      <c r="F268" s="1">
        <v>3.0</v>
      </c>
      <c r="G268" s="1">
        <v>5.0</v>
      </c>
      <c r="H268" s="1" t="s">
        <v>33</v>
      </c>
      <c r="I268" s="2">
        <v>45984.0</v>
      </c>
      <c r="J268" s="1">
        <v>85000.0</v>
      </c>
      <c r="K268" s="2">
        <v>45962.0</v>
      </c>
    </row>
    <row r="269" hidden="1">
      <c r="A269" s="1" t="s">
        <v>60</v>
      </c>
      <c r="B269" s="1" t="s">
        <v>61</v>
      </c>
      <c r="C269" s="1" t="s">
        <v>17</v>
      </c>
      <c r="D269" s="1">
        <v>38.0</v>
      </c>
      <c r="E269" s="1">
        <v>20.0</v>
      </c>
      <c r="F269" s="1">
        <v>2.0</v>
      </c>
      <c r="G269" s="1">
        <v>11.0</v>
      </c>
      <c r="H269" s="1" t="s">
        <v>27</v>
      </c>
      <c r="I269" s="2">
        <v>45782.0</v>
      </c>
      <c r="J269" s="1">
        <v>3200000.0</v>
      </c>
      <c r="K269" s="2">
        <v>45778.0</v>
      </c>
    </row>
    <row r="270" hidden="1">
      <c r="A270" s="1" t="s">
        <v>34</v>
      </c>
      <c r="B270" s="1" t="s">
        <v>35</v>
      </c>
      <c r="C270" s="1" t="s">
        <v>36</v>
      </c>
      <c r="D270" s="1">
        <v>46.0</v>
      </c>
      <c r="E270" s="1">
        <v>80.0</v>
      </c>
      <c r="F270" s="1">
        <v>13.0</v>
      </c>
      <c r="G270" s="1">
        <v>5.0</v>
      </c>
      <c r="H270" s="1" t="s">
        <v>37</v>
      </c>
      <c r="I270" s="2">
        <v>45924.0</v>
      </c>
      <c r="J270" s="1">
        <v>65000.0</v>
      </c>
      <c r="K270" s="2">
        <v>45901.0</v>
      </c>
    </row>
    <row r="271" hidden="1">
      <c r="A271" s="1" t="s">
        <v>28</v>
      </c>
      <c r="B271" s="1" t="s">
        <v>29</v>
      </c>
      <c r="C271" s="1" t="s">
        <v>23</v>
      </c>
      <c r="D271" s="1">
        <v>27.0</v>
      </c>
      <c r="E271" s="1">
        <v>35.0</v>
      </c>
      <c r="F271" s="1">
        <v>5.0</v>
      </c>
      <c r="G271" s="1">
        <v>3.0</v>
      </c>
      <c r="H271" s="1" t="s">
        <v>30</v>
      </c>
      <c r="I271" s="2">
        <v>45701.0</v>
      </c>
      <c r="J271" s="1">
        <v>1250000.0</v>
      </c>
      <c r="K271" s="2">
        <v>45689.0</v>
      </c>
    </row>
    <row r="272" hidden="1">
      <c r="A272" s="1" t="s">
        <v>19</v>
      </c>
      <c r="B272" s="1" t="s">
        <v>20</v>
      </c>
      <c r="C272" s="1" t="s">
        <v>17</v>
      </c>
      <c r="D272" s="1">
        <v>44.0</v>
      </c>
      <c r="E272" s="1">
        <v>30.0</v>
      </c>
      <c r="F272" s="1">
        <v>4.0</v>
      </c>
      <c r="G272" s="1">
        <v>8.0</v>
      </c>
      <c r="H272" s="1" t="s">
        <v>18</v>
      </c>
      <c r="I272" s="2">
        <v>45885.0</v>
      </c>
      <c r="J272" s="1">
        <v>1200000.0</v>
      </c>
      <c r="K272" s="2">
        <v>45870.0</v>
      </c>
    </row>
    <row r="273" hidden="1">
      <c r="A273" s="1" t="s">
        <v>34</v>
      </c>
      <c r="B273" s="1" t="s">
        <v>35</v>
      </c>
      <c r="C273" s="1" t="s">
        <v>36</v>
      </c>
      <c r="D273" s="1">
        <v>34.0</v>
      </c>
      <c r="E273" s="1">
        <v>80.0</v>
      </c>
      <c r="F273" s="1">
        <v>9.0</v>
      </c>
      <c r="G273" s="1">
        <v>3.0</v>
      </c>
      <c r="H273" s="1" t="s">
        <v>37</v>
      </c>
      <c r="I273" s="2">
        <v>45950.0</v>
      </c>
      <c r="J273" s="1">
        <v>65000.0</v>
      </c>
      <c r="K273" s="2">
        <v>45931.0</v>
      </c>
    </row>
    <row r="274" hidden="1">
      <c r="A274" s="1" t="s">
        <v>55</v>
      </c>
      <c r="B274" s="1" t="s">
        <v>56</v>
      </c>
      <c r="C274" s="1" t="s">
        <v>36</v>
      </c>
      <c r="D274" s="1">
        <v>145.0</v>
      </c>
      <c r="E274" s="1">
        <v>100.0</v>
      </c>
      <c r="F274" s="1">
        <v>17.0</v>
      </c>
      <c r="G274" s="1">
        <v>4.0</v>
      </c>
      <c r="H274" s="1" t="s">
        <v>37</v>
      </c>
      <c r="I274" s="2">
        <v>45711.0</v>
      </c>
      <c r="J274" s="1">
        <v>85000.0</v>
      </c>
      <c r="K274" s="2">
        <v>45689.0</v>
      </c>
    </row>
    <row r="275" hidden="1">
      <c r="A275" s="1" t="s">
        <v>15</v>
      </c>
      <c r="B275" s="1" t="s">
        <v>16</v>
      </c>
      <c r="C275" s="1" t="s">
        <v>17</v>
      </c>
      <c r="D275" s="1">
        <v>15.0</v>
      </c>
      <c r="E275" s="1">
        <v>15.0</v>
      </c>
      <c r="F275" s="1">
        <v>1.0</v>
      </c>
      <c r="G275" s="1">
        <v>5.0</v>
      </c>
      <c r="H275" s="1" t="s">
        <v>18</v>
      </c>
      <c r="I275" s="2">
        <v>46055.0</v>
      </c>
      <c r="J275" s="1">
        <v>8500000.0</v>
      </c>
      <c r="K275" s="2">
        <v>46054.0</v>
      </c>
    </row>
    <row r="276" hidden="1">
      <c r="A276" s="1" t="s">
        <v>38</v>
      </c>
      <c r="B276" s="1" t="s">
        <v>39</v>
      </c>
      <c r="C276" s="1" t="s">
        <v>23</v>
      </c>
      <c r="D276" s="1">
        <v>12.0</v>
      </c>
      <c r="E276" s="1">
        <v>45.0</v>
      </c>
      <c r="F276" s="1">
        <v>8.0</v>
      </c>
      <c r="G276" s="1">
        <v>6.0</v>
      </c>
      <c r="H276" s="1" t="s">
        <v>24</v>
      </c>
      <c r="I276" s="2">
        <v>46054.0</v>
      </c>
      <c r="J276" s="1">
        <v>450000.0</v>
      </c>
      <c r="K276" s="2">
        <v>46054.0</v>
      </c>
    </row>
    <row r="277" hidden="1">
      <c r="A277" s="1" t="s">
        <v>51</v>
      </c>
      <c r="B277" s="1" t="s">
        <v>52</v>
      </c>
      <c r="C277" s="1" t="s">
        <v>36</v>
      </c>
      <c r="D277" s="1">
        <v>19.0</v>
      </c>
      <c r="E277" s="1">
        <v>60.0</v>
      </c>
      <c r="F277" s="1">
        <v>6.0</v>
      </c>
      <c r="G277" s="1">
        <v>6.0</v>
      </c>
      <c r="H277" s="1" t="s">
        <v>50</v>
      </c>
      <c r="I277" s="2">
        <v>45775.0</v>
      </c>
      <c r="J277" s="1">
        <v>175000.0</v>
      </c>
      <c r="K277" s="2">
        <v>45748.0</v>
      </c>
    </row>
    <row r="278" hidden="1">
      <c r="A278" s="1" t="s">
        <v>44</v>
      </c>
      <c r="B278" s="1" t="s">
        <v>45</v>
      </c>
      <c r="C278" s="1" t="s">
        <v>42</v>
      </c>
      <c r="D278" s="1">
        <v>22.0</v>
      </c>
      <c r="E278" s="1">
        <v>30.0</v>
      </c>
      <c r="F278" s="1">
        <v>6.0</v>
      </c>
      <c r="H278" s="1" t="s">
        <v>43</v>
      </c>
      <c r="I278" s="2">
        <v>45702.0</v>
      </c>
      <c r="J278" s="1">
        <v>350000.0</v>
      </c>
      <c r="K278" s="2">
        <v>45689.0</v>
      </c>
    </row>
    <row r="279" hidden="1">
      <c r="A279" s="1" t="s">
        <v>44</v>
      </c>
      <c r="B279" s="1" t="s">
        <v>45</v>
      </c>
      <c r="C279" s="1" t="s">
        <v>42</v>
      </c>
      <c r="D279" s="1">
        <v>59.0</v>
      </c>
      <c r="E279" s="1">
        <v>30.0</v>
      </c>
      <c r="F279" s="1">
        <v>3.0</v>
      </c>
      <c r="G279" s="1">
        <v>6.0</v>
      </c>
      <c r="H279" s="1" t="s">
        <v>43</v>
      </c>
      <c r="I279" s="2">
        <v>45880.0</v>
      </c>
      <c r="J279" s="1">
        <v>350000.0</v>
      </c>
      <c r="K279" s="2">
        <v>45870.0</v>
      </c>
    </row>
    <row r="280" hidden="1">
      <c r="A280" s="1" t="s">
        <v>64</v>
      </c>
      <c r="B280" s="1" t="s">
        <v>65</v>
      </c>
      <c r="C280" s="1" t="s">
        <v>42</v>
      </c>
      <c r="D280" s="1">
        <v>41.0</v>
      </c>
      <c r="E280" s="1">
        <v>20.0</v>
      </c>
      <c r="F280" s="1">
        <v>3.0</v>
      </c>
      <c r="G280" s="1">
        <v>9.0</v>
      </c>
      <c r="H280" s="1" t="s">
        <v>59</v>
      </c>
      <c r="I280" s="2">
        <v>46092.0</v>
      </c>
      <c r="J280" s="1">
        <v>750000.0</v>
      </c>
      <c r="K280" s="2">
        <v>46082.0</v>
      </c>
    </row>
    <row r="281" hidden="1">
      <c r="A281" s="1" t="s">
        <v>48</v>
      </c>
      <c r="B281" s="1" t="s">
        <v>49</v>
      </c>
      <c r="C281" s="1" t="s">
        <v>36</v>
      </c>
      <c r="D281" s="1">
        <v>121.0</v>
      </c>
      <c r="E281" s="1">
        <v>120.0</v>
      </c>
      <c r="F281" s="1">
        <v>27.0</v>
      </c>
      <c r="H281" s="1" t="s">
        <v>50</v>
      </c>
      <c r="I281" s="2">
        <v>46095.0</v>
      </c>
      <c r="J281" s="1">
        <v>55000.0</v>
      </c>
      <c r="K281" s="2">
        <v>46082.0</v>
      </c>
    </row>
    <row r="282" hidden="1">
      <c r="A282" s="1" t="s">
        <v>55</v>
      </c>
      <c r="B282" s="1" t="s">
        <v>56</v>
      </c>
      <c r="C282" s="1" t="s">
        <v>36</v>
      </c>
      <c r="D282" s="1">
        <v>125.0</v>
      </c>
      <c r="E282" s="1">
        <v>100.0</v>
      </c>
      <c r="F282" s="1">
        <v>14.0</v>
      </c>
      <c r="G282" s="1">
        <v>4.0</v>
      </c>
      <c r="H282" s="1" t="s">
        <v>37</v>
      </c>
      <c r="I282" s="2">
        <v>45775.0</v>
      </c>
      <c r="J282" s="1">
        <v>85000.0</v>
      </c>
      <c r="K282" s="2">
        <v>45748.0</v>
      </c>
    </row>
    <row r="283" hidden="1">
      <c r="A283" s="1" t="s">
        <v>19</v>
      </c>
      <c r="B283" s="1" t="s">
        <v>20</v>
      </c>
      <c r="C283" s="1" t="s">
        <v>17</v>
      </c>
      <c r="D283" s="1">
        <v>42.0</v>
      </c>
      <c r="E283" s="1">
        <v>30.0</v>
      </c>
      <c r="F283" s="1">
        <v>4.0</v>
      </c>
      <c r="G283" s="1">
        <v>7.0</v>
      </c>
      <c r="H283" s="1" t="s">
        <v>18</v>
      </c>
      <c r="I283" s="2">
        <v>45960.0</v>
      </c>
      <c r="J283" s="1">
        <v>1200000.0</v>
      </c>
      <c r="K283" s="2">
        <v>45931.0</v>
      </c>
    </row>
    <row r="284" hidden="1">
      <c r="A284" s="1" t="s">
        <v>19</v>
      </c>
      <c r="B284" s="1" t="s">
        <v>20</v>
      </c>
      <c r="C284" s="1" t="s">
        <v>17</v>
      </c>
      <c r="D284" s="1">
        <v>21.0</v>
      </c>
      <c r="E284" s="1">
        <v>30.0</v>
      </c>
      <c r="F284" s="1">
        <v>4.0</v>
      </c>
      <c r="G284" s="1">
        <v>9.0</v>
      </c>
      <c r="H284" s="1" t="s">
        <v>18</v>
      </c>
      <c r="I284" s="2">
        <v>46197.0</v>
      </c>
      <c r="J284" s="1">
        <v>1200000.0</v>
      </c>
      <c r="K284" s="2">
        <v>45809.0</v>
      </c>
    </row>
    <row r="285" hidden="1">
      <c r="A285" s="1" t="s">
        <v>44</v>
      </c>
      <c r="B285" s="1" t="s">
        <v>45</v>
      </c>
      <c r="C285" s="1" t="s">
        <v>42</v>
      </c>
      <c r="D285" s="1">
        <v>41.0</v>
      </c>
      <c r="E285" s="1">
        <v>30.0</v>
      </c>
      <c r="F285" s="1">
        <v>6.0</v>
      </c>
      <c r="G285" s="1">
        <v>10.0</v>
      </c>
      <c r="H285" s="1" t="s">
        <v>43</v>
      </c>
      <c r="I285" s="2">
        <v>45945.0</v>
      </c>
      <c r="J285" s="1">
        <v>350000.0</v>
      </c>
      <c r="K285" s="2">
        <v>45931.0</v>
      </c>
    </row>
    <row r="286" hidden="1">
      <c r="A286" s="1" t="s">
        <v>31</v>
      </c>
      <c r="B286" s="1" t="s">
        <v>32</v>
      </c>
      <c r="C286" s="1" t="s">
        <v>13</v>
      </c>
      <c r="D286" s="1">
        <v>172.0</v>
      </c>
      <c r="E286" s="1">
        <v>40.0</v>
      </c>
      <c r="F286" s="1">
        <v>2.0</v>
      </c>
      <c r="G286" s="1">
        <v>6.0</v>
      </c>
      <c r="H286" s="1" t="s">
        <v>33</v>
      </c>
      <c r="I286" s="2">
        <v>45955.0</v>
      </c>
      <c r="J286" s="1">
        <v>550000.0</v>
      </c>
      <c r="K286" s="2">
        <v>45931.0</v>
      </c>
    </row>
    <row r="287" hidden="1">
      <c r="A287" s="1" t="s">
        <v>46</v>
      </c>
      <c r="B287" s="1" t="s">
        <v>47</v>
      </c>
      <c r="C287" s="1" t="s">
        <v>23</v>
      </c>
      <c r="D287" s="1">
        <v>36.0</v>
      </c>
      <c r="E287" s="1">
        <v>40.0</v>
      </c>
      <c r="F287" s="1">
        <v>6.0</v>
      </c>
      <c r="G287" s="1">
        <v>4.0</v>
      </c>
      <c r="H287" s="1" t="s">
        <v>30</v>
      </c>
      <c r="I287" s="2">
        <v>46044.0</v>
      </c>
      <c r="J287" s="1">
        <v>550000.0</v>
      </c>
      <c r="K287" s="2">
        <v>46023.0</v>
      </c>
    </row>
    <row r="288" hidden="1">
      <c r="A288" s="1" t="s">
        <v>31</v>
      </c>
      <c r="B288" s="1" t="s">
        <v>32</v>
      </c>
      <c r="C288" s="1" t="s">
        <v>13</v>
      </c>
      <c r="D288" s="1">
        <v>160.0</v>
      </c>
      <c r="E288" s="1">
        <v>40.0</v>
      </c>
      <c r="F288" s="1">
        <v>3.0</v>
      </c>
      <c r="G288" s="1">
        <v>6.0</v>
      </c>
      <c r="H288" s="1" t="s">
        <v>33</v>
      </c>
      <c r="I288" s="2">
        <v>45887.0</v>
      </c>
      <c r="J288" s="1">
        <v>550000.0</v>
      </c>
      <c r="K288" s="2">
        <v>45870.0</v>
      </c>
    </row>
    <row r="289" hidden="1">
      <c r="A289" s="1" t="s">
        <v>44</v>
      </c>
      <c r="B289" s="1" t="s">
        <v>45</v>
      </c>
      <c r="C289" s="1" t="s">
        <v>42</v>
      </c>
      <c r="D289" s="1">
        <v>45.0</v>
      </c>
      <c r="E289" s="1">
        <v>30.0</v>
      </c>
      <c r="F289" s="1">
        <v>5.0</v>
      </c>
      <c r="G289" s="1">
        <v>5.0</v>
      </c>
      <c r="H289" s="1" t="s">
        <v>43</v>
      </c>
      <c r="I289" s="2">
        <v>45801.0</v>
      </c>
      <c r="J289" s="1">
        <v>350000.0</v>
      </c>
      <c r="K289" s="2">
        <v>45778.0</v>
      </c>
    </row>
    <row r="290" hidden="1">
      <c r="A290" s="1" t="s">
        <v>19</v>
      </c>
      <c r="B290" s="1" t="s">
        <v>20</v>
      </c>
      <c r="C290" s="1" t="s">
        <v>17</v>
      </c>
      <c r="D290" s="1">
        <v>52.0</v>
      </c>
      <c r="E290" s="1">
        <v>30.0</v>
      </c>
      <c r="F290" s="1">
        <v>5.0</v>
      </c>
      <c r="G290" s="1">
        <v>5.0</v>
      </c>
      <c r="H290" s="1" t="s">
        <v>18</v>
      </c>
      <c r="I290" s="2">
        <v>46321.0</v>
      </c>
      <c r="J290" s="1">
        <v>1200000.0</v>
      </c>
      <c r="K290" s="2">
        <v>46054.0</v>
      </c>
    </row>
    <row r="291" hidden="1">
      <c r="A291" s="1" t="s">
        <v>19</v>
      </c>
      <c r="B291" s="1" t="s">
        <v>20</v>
      </c>
      <c r="C291" s="1" t="s">
        <v>17</v>
      </c>
      <c r="D291" s="1">
        <v>51.0</v>
      </c>
      <c r="E291" s="1">
        <v>30.0</v>
      </c>
      <c r="F291" s="1">
        <v>4.0</v>
      </c>
      <c r="G291" s="1">
        <v>6.0</v>
      </c>
      <c r="H291" s="1" t="s">
        <v>18</v>
      </c>
      <c r="I291" s="2">
        <v>45775.0</v>
      </c>
      <c r="J291" s="1">
        <v>1200000.0</v>
      </c>
      <c r="K291" s="2">
        <v>45748.0</v>
      </c>
    </row>
    <row r="292" hidden="1">
      <c r="A292" s="1" t="s">
        <v>11</v>
      </c>
      <c r="B292" s="1" t="s">
        <v>12</v>
      </c>
      <c r="C292" s="1" t="s">
        <v>13</v>
      </c>
      <c r="D292" s="1">
        <v>290.0</v>
      </c>
      <c r="E292" s="1">
        <v>50.0</v>
      </c>
      <c r="F292" s="1">
        <v>3.0</v>
      </c>
      <c r="G292" s="1">
        <v>6.0</v>
      </c>
      <c r="H292" s="1" t="s">
        <v>14</v>
      </c>
      <c r="I292" s="2">
        <v>45991.0</v>
      </c>
      <c r="J292" s="1">
        <v>125000.0</v>
      </c>
      <c r="K292" s="2">
        <v>45962.0</v>
      </c>
    </row>
    <row r="293" hidden="1">
      <c r="A293" s="1" t="s">
        <v>55</v>
      </c>
      <c r="B293" s="1" t="s">
        <v>56</v>
      </c>
      <c r="C293" s="1" t="s">
        <v>36</v>
      </c>
      <c r="D293" s="1">
        <v>57.0</v>
      </c>
      <c r="E293" s="1">
        <v>100.0</v>
      </c>
      <c r="F293" s="1">
        <v>15.0</v>
      </c>
      <c r="G293" s="1">
        <v>4.0</v>
      </c>
      <c r="H293" s="1" t="s">
        <v>37</v>
      </c>
      <c r="I293" s="2">
        <v>46034.0</v>
      </c>
      <c r="J293" s="1">
        <v>85000.0</v>
      </c>
      <c r="K293" s="2">
        <v>46023.0</v>
      </c>
    </row>
    <row r="294" hidden="1">
      <c r="A294" s="1" t="s">
        <v>25</v>
      </c>
      <c r="B294" s="1" t="s">
        <v>26</v>
      </c>
      <c r="C294" s="1" t="s">
        <v>17</v>
      </c>
      <c r="D294" s="1">
        <v>11.0</v>
      </c>
      <c r="E294" s="1">
        <v>25.0</v>
      </c>
      <c r="F294" s="1">
        <v>7.0</v>
      </c>
      <c r="G294" s="1">
        <v>14.0</v>
      </c>
      <c r="H294" s="1" t="s">
        <v>27</v>
      </c>
      <c r="I294" s="2">
        <v>45862.0</v>
      </c>
      <c r="J294" s="1">
        <v>4500000.0</v>
      </c>
      <c r="K294" s="2">
        <v>45839.0</v>
      </c>
    </row>
    <row r="295" hidden="1">
      <c r="A295" s="1" t="s">
        <v>40</v>
      </c>
      <c r="B295" s="1" t="s">
        <v>41</v>
      </c>
      <c r="C295" s="1" t="s">
        <v>42</v>
      </c>
      <c r="D295" s="1">
        <v>21.0</v>
      </c>
      <c r="E295" s="1">
        <v>15.0</v>
      </c>
      <c r="F295" s="1">
        <v>1.0</v>
      </c>
      <c r="G295" s="1">
        <v>9.0</v>
      </c>
      <c r="H295" s="1" t="s">
        <v>43</v>
      </c>
      <c r="I295" s="2">
        <v>45968.0</v>
      </c>
      <c r="J295" s="1">
        <v>1200000.0</v>
      </c>
      <c r="K295" s="2">
        <v>45962.0</v>
      </c>
    </row>
    <row r="296" hidden="1">
      <c r="A296" s="1" t="s">
        <v>51</v>
      </c>
      <c r="B296" s="1" t="s">
        <v>52</v>
      </c>
      <c r="C296" s="1" t="s">
        <v>36</v>
      </c>
      <c r="D296" s="1">
        <v>44.0</v>
      </c>
      <c r="E296" s="1">
        <v>60.0</v>
      </c>
      <c r="F296" s="1">
        <v>6.0</v>
      </c>
      <c r="G296" s="1">
        <v>6.0</v>
      </c>
      <c r="H296" s="1" t="s">
        <v>50</v>
      </c>
      <c r="I296" s="2">
        <v>45839.0</v>
      </c>
      <c r="J296" s="1">
        <v>175000.0</v>
      </c>
      <c r="K296" s="2">
        <v>45839.0</v>
      </c>
    </row>
    <row r="297" hidden="1">
      <c r="A297" s="1" t="s">
        <v>31</v>
      </c>
      <c r="B297" s="1" t="s">
        <v>32</v>
      </c>
      <c r="C297" s="1" t="s">
        <v>13</v>
      </c>
      <c r="D297" s="1">
        <v>127.0</v>
      </c>
      <c r="E297" s="1">
        <v>40.0</v>
      </c>
      <c r="F297" s="1">
        <v>3.0</v>
      </c>
      <c r="G297" s="1">
        <v>4.0</v>
      </c>
      <c r="H297" s="1" t="s">
        <v>33</v>
      </c>
      <c r="I297" s="2">
        <v>46001.0</v>
      </c>
      <c r="J297" s="1">
        <v>550000.0</v>
      </c>
      <c r="K297" s="2">
        <v>45992.0</v>
      </c>
    </row>
    <row r="298" hidden="1">
      <c r="A298" s="1" t="s">
        <v>48</v>
      </c>
      <c r="B298" s="1" t="s">
        <v>49</v>
      </c>
      <c r="C298" s="1" t="s">
        <v>36</v>
      </c>
      <c r="D298" s="1">
        <v>170.0</v>
      </c>
      <c r="E298" s="1">
        <v>120.0</v>
      </c>
      <c r="F298" s="1">
        <v>17.0</v>
      </c>
      <c r="G298" s="1">
        <v>3.0</v>
      </c>
      <c r="H298" s="1" t="s">
        <v>50</v>
      </c>
      <c r="I298" s="2">
        <v>45905.0</v>
      </c>
      <c r="J298" s="1">
        <v>55000.0</v>
      </c>
      <c r="K298" s="2">
        <v>45901.0</v>
      </c>
    </row>
    <row r="299" hidden="1">
      <c r="A299" s="1" t="s">
        <v>34</v>
      </c>
      <c r="B299" s="1" t="s">
        <v>35</v>
      </c>
      <c r="C299" s="1" t="s">
        <v>36</v>
      </c>
      <c r="D299" s="1">
        <v>0.0</v>
      </c>
      <c r="E299" s="1">
        <v>80.0</v>
      </c>
      <c r="F299" s="1">
        <v>18.0</v>
      </c>
      <c r="G299" s="1">
        <v>4.0</v>
      </c>
      <c r="H299" s="1" t="s">
        <v>37</v>
      </c>
      <c r="I299" s="2">
        <v>45745.0</v>
      </c>
      <c r="J299" s="1">
        <v>65000.0</v>
      </c>
      <c r="K299" s="2">
        <v>45717.0</v>
      </c>
    </row>
    <row r="300" hidden="1">
      <c r="A300" s="1" t="s">
        <v>57</v>
      </c>
      <c r="B300" s="1" t="s">
        <v>58</v>
      </c>
      <c r="C300" s="1" t="s">
        <v>42</v>
      </c>
      <c r="D300" s="1">
        <v>44.0</v>
      </c>
      <c r="E300" s="1">
        <v>25.0</v>
      </c>
      <c r="F300" s="1">
        <v>4.0</v>
      </c>
      <c r="G300" s="1">
        <v>8.0</v>
      </c>
      <c r="H300" s="1" t="s">
        <v>59</v>
      </c>
      <c r="I300" s="2">
        <v>46108.0</v>
      </c>
      <c r="J300" s="1">
        <v>450000.0</v>
      </c>
      <c r="K300" s="2">
        <v>46082.0</v>
      </c>
    </row>
    <row r="301" hidden="1">
      <c r="A301" s="1" t="s">
        <v>64</v>
      </c>
      <c r="B301" s="1" t="s">
        <v>65</v>
      </c>
      <c r="C301" s="1" t="s">
        <v>42</v>
      </c>
      <c r="D301" s="1">
        <v>27.0</v>
      </c>
      <c r="E301" s="1">
        <v>20.0</v>
      </c>
      <c r="F301" s="1">
        <v>3.0</v>
      </c>
      <c r="G301" s="1">
        <v>8.0</v>
      </c>
      <c r="H301" s="1" t="s">
        <v>59</v>
      </c>
      <c r="I301" s="2">
        <v>45976.0</v>
      </c>
      <c r="J301" s="1">
        <v>750000.0</v>
      </c>
      <c r="K301" s="2">
        <v>45962.0</v>
      </c>
    </row>
    <row r="302" hidden="1">
      <c r="A302" s="1" t="s">
        <v>40</v>
      </c>
      <c r="B302" s="1" t="s">
        <v>41</v>
      </c>
      <c r="C302" s="1" t="s">
        <v>42</v>
      </c>
      <c r="D302" s="1">
        <v>22.0</v>
      </c>
      <c r="E302" s="1">
        <v>15.0</v>
      </c>
      <c r="F302" s="1">
        <v>2.0</v>
      </c>
      <c r="G302" s="1">
        <v>5.0</v>
      </c>
      <c r="H302" s="1" t="s">
        <v>43</v>
      </c>
      <c r="I302" s="2">
        <v>45709.0</v>
      </c>
      <c r="J302" s="1">
        <v>1200000.0</v>
      </c>
      <c r="K302" s="2">
        <v>45689.0</v>
      </c>
    </row>
    <row r="303" hidden="1">
      <c r="A303" s="1" t="s">
        <v>28</v>
      </c>
      <c r="B303" s="1" t="s">
        <v>29</v>
      </c>
      <c r="C303" s="1" t="s">
        <v>23</v>
      </c>
      <c r="D303" s="1">
        <v>18.0</v>
      </c>
      <c r="E303" s="1">
        <v>35.0</v>
      </c>
      <c r="F303" s="1">
        <v>5.0</v>
      </c>
      <c r="G303" s="1">
        <v>4.0</v>
      </c>
      <c r="H303" s="1" t="s">
        <v>30</v>
      </c>
      <c r="I303" s="2">
        <v>45949.0</v>
      </c>
      <c r="J303" s="1">
        <v>1250000.0</v>
      </c>
      <c r="K303" s="2">
        <v>45931.0</v>
      </c>
    </row>
    <row r="304" hidden="1">
      <c r="A304" s="1" t="s">
        <v>38</v>
      </c>
      <c r="B304" s="1" t="s">
        <v>39</v>
      </c>
      <c r="C304" s="1" t="s">
        <v>23</v>
      </c>
      <c r="D304" s="1">
        <v>17.0</v>
      </c>
      <c r="E304" s="1">
        <v>45.0</v>
      </c>
      <c r="F304" s="1">
        <v>8.0</v>
      </c>
      <c r="G304" s="1">
        <v>4.0</v>
      </c>
      <c r="H304" s="1" t="s">
        <v>24</v>
      </c>
      <c r="I304" s="2">
        <v>46050.0</v>
      </c>
      <c r="J304" s="1">
        <v>450000.0</v>
      </c>
      <c r="K304" s="2">
        <v>46023.0</v>
      </c>
    </row>
    <row r="305" hidden="1">
      <c r="A305" s="1" t="s">
        <v>53</v>
      </c>
      <c r="B305" s="1" t="s">
        <v>54</v>
      </c>
      <c r="C305" s="1" t="s">
        <v>13</v>
      </c>
      <c r="D305" s="1">
        <v>273.0</v>
      </c>
      <c r="E305" s="1">
        <v>60.0</v>
      </c>
      <c r="F305" s="1">
        <v>1.0</v>
      </c>
      <c r="G305" s="1">
        <v>4.0</v>
      </c>
      <c r="H305" s="1" t="s">
        <v>14</v>
      </c>
      <c r="I305" s="2">
        <v>45806.0</v>
      </c>
      <c r="J305" s="1">
        <v>165000.0</v>
      </c>
      <c r="K305" s="2">
        <v>45778.0</v>
      </c>
    </row>
    <row r="306" hidden="1">
      <c r="A306" s="1" t="s">
        <v>64</v>
      </c>
      <c r="B306" s="1" t="s">
        <v>65</v>
      </c>
      <c r="C306" s="1" t="s">
        <v>42</v>
      </c>
      <c r="D306" s="1">
        <v>40.0</v>
      </c>
      <c r="E306" s="1">
        <v>20.0</v>
      </c>
      <c r="F306" s="1">
        <v>1.0</v>
      </c>
      <c r="G306" s="1">
        <v>7.0</v>
      </c>
      <c r="H306" s="1" t="s">
        <v>59</v>
      </c>
      <c r="I306" s="2">
        <v>45693.0</v>
      </c>
      <c r="J306" s="1">
        <v>750000.0</v>
      </c>
      <c r="K306" s="2">
        <v>45689.0</v>
      </c>
    </row>
    <row r="307" hidden="1">
      <c r="A307" s="1" t="s">
        <v>38</v>
      </c>
      <c r="B307" s="1" t="s">
        <v>39</v>
      </c>
      <c r="C307" s="1" t="s">
        <v>23</v>
      </c>
      <c r="D307" s="1">
        <v>17.0</v>
      </c>
      <c r="E307" s="1">
        <v>45.0</v>
      </c>
      <c r="F307" s="1">
        <v>8.0</v>
      </c>
      <c r="G307" s="1">
        <v>4.0</v>
      </c>
      <c r="H307" s="1" t="s">
        <v>24</v>
      </c>
      <c r="I307" s="2">
        <v>46050.0</v>
      </c>
      <c r="J307" s="1">
        <v>450000.0</v>
      </c>
      <c r="K307" s="2">
        <v>46023.0</v>
      </c>
    </row>
    <row r="308" hidden="1">
      <c r="A308" s="1" t="s">
        <v>25</v>
      </c>
      <c r="B308" s="1" t="s">
        <v>26</v>
      </c>
      <c r="C308" s="1" t="s">
        <v>17</v>
      </c>
      <c r="D308" s="1">
        <v>5.0</v>
      </c>
      <c r="E308" s="1">
        <v>25.0</v>
      </c>
      <c r="F308" s="1">
        <v>7.0</v>
      </c>
      <c r="G308" s="1">
        <v>19.0</v>
      </c>
      <c r="H308" s="1" t="s">
        <v>27</v>
      </c>
      <c r="I308" s="2">
        <v>45837.0</v>
      </c>
      <c r="J308" s="1">
        <v>4500000.0</v>
      </c>
      <c r="K308" s="2">
        <v>45809.0</v>
      </c>
    </row>
    <row r="309" hidden="1">
      <c r="A309" s="1" t="s">
        <v>31</v>
      </c>
      <c r="B309" s="1" t="s">
        <v>32</v>
      </c>
      <c r="C309" s="1" t="s">
        <v>13</v>
      </c>
      <c r="D309" s="1">
        <v>129.0</v>
      </c>
      <c r="E309" s="1">
        <v>40.0</v>
      </c>
      <c r="F309" s="1">
        <v>4.0</v>
      </c>
      <c r="G309" s="1">
        <v>6.0</v>
      </c>
      <c r="H309" s="1" t="s">
        <v>33</v>
      </c>
      <c r="I309" s="2">
        <v>45916.0</v>
      </c>
      <c r="J309" s="1">
        <v>550000.0</v>
      </c>
      <c r="K309" s="2">
        <v>45901.0</v>
      </c>
    </row>
    <row r="310" hidden="1">
      <c r="A310" s="1" t="s">
        <v>21</v>
      </c>
      <c r="B310" s="1" t="s">
        <v>22</v>
      </c>
      <c r="C310" s="1" t="s">
        <v>23</v>
      </c>
      <c r="D310" s="1">
        <v>0.0</v>
      </c>
      <c r="E310" s="1">
        <v>50.0</v>
      </c>
      <c r="F310" s="1">
        <v>14.0</v>
      </c>
      <c r="G310" s="1">
        <v>7.0</v>
      </c>
      <c r="H310" s="1" t="s">
        <v>24</v>
      </c>
      <c r="I310" s="2">
        <v>46014.0</v>
      </c>
      <c r="J310" s="1">
        <v>350000.0</v>
      </c>
      <c r="K310" s="2">
        <v>45992.0</v>
      </c>
    </row>
    <row r="311" hidden="1">
      <c r="A311" s="1" t="s">
        <v>46</v>
      </c>
      <c r="B311" s="1" t="s">
        <v>47</v>
      </c>
      <c r="C311" s="1" t="s">
        <v>23</v>
      </c>
      <c r="D311" s="1">
        <v>9.0</v>
      </c>
      <c r="E311" s="1">
        <v>40.0</v>
      </c>
      <c r="F311" s="1">
        <v>5.0</v>
      </c>
      <c r="G311" s="1">
        <v>8.0</v>
      </c>
      <c r="H311" s="1" t="s">
        <v>30</v>
      </c>
      <c r="I311" s="2">
        <v>45698.0</v>
      </c>
      <c r="J311" s="1">
        <v>550000.0</v>
      </c>
      <c r="K311" s="2">
        <v>45689.0</v>
      </c>
    </row>
    <row r="312" hidden="1">
      <c r="A312" s="1" t="s">
        <v>51</v>
      </c>
      <c r="B312" s="1" t="s">
        <v>52</v>
      </c>
      <c r="C312" s="1" t="s">
        <v>36</v>
      </c>
      <c r="D312" s="1">
        <v>20.0</v>
      </c>
      <c r="E312" s="1">
        <v>60.0</v>
      </c>
      <c r="F312" s="1">
        <v>9.0</v>
      </c>
      <c r="G312" s="1">
        <v>5.0</v>
      </c>
      <c r="H312" s="1" t="s">
        <v>50</v>
      </c>
      <c r="I312" s="2">
        <v>45687.0</v>
      </c>
      <c r="J312" s="1">
        <v>175000.0</v>
      </c>
      <c r="K312" s="2">
        <v>45658.0</v>
      </c>
    </row>
    <row r="313" hidden="1">
      <c r="A313" s="1" t="s">
        <v>28</v>
      </c>
      <c r="B313" s="1" t="s">
        <v>29</v>
      </c>
      <c r="C313" s="1" t="s">
        <v>23</v>
      </c>
      <c r="D313" s="1">
        <v>16.0</v>
      </c>
      <c r="E313" s="1">
        <v>35.0</v>
      </c>
      <c r="F313" s="1">
        <v>7.0</v>
      </c>
      <c r="G313" s="1">
        <v>5.0</v>
      </c>
      <c r="H313" s="1" t="s">
        <v>30</v>
      </c>
      <c r="I313" s="2">
        <v>46024.0</v>
      </c>
      <c r="J313" s="1">
        <v>1250000.0</v>
      </c>
      <c r="K313" s="2">
        <v>46023.0</v>
      </c>
    </row>
  </sheetData>
  <autoFilter ref="$A$1:$K$313">
    <filterColumn colId="3">
      <colorFilter dxfId="3"/>
    </filterColumn>
  </autoFilter>
  <conditionalFormatting sqref="D2:D1000">
    <cfRule type="expression" dxfId="2" priority="1">
      <formula>$D2&lt;0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</row>
    <row r="3" hidden="1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</row>
    <row r="4" hidden="1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</row>
    <row r="5" hidden="1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</row>
    <row r="6" hidden="1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</row>
    <row r="7" hidden="1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</row>
    <row r="8" hidden="1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</row>
    <row r="9" hidden="1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</row>
    <row r="10" hidden="1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</row>
    <row r="11" hidden="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</row>
    <row r="12">
      <c r="A12" s="1" t="s">
        <v>38</v>
      </c>
      <c r="B12" s="1" t="s">
        <v>39</v>
      </c>
      <c r="C12" s="1" t="s">
        <v>23</v>
      </c>
      <c r="D12" s="1">
        <v>-28.0</v>
      </c>
      <c r="E12" s="1">
        <v>45.0</v>
      </c>
      <c r="F12" s="1">
        <v>7.0</v>
      </c>
      <c r="G12" s="1">
        <v>5.0</v>
      </c>
      <c r="H12" s="1" t="s">
        <v>24</v>
      </c>
      <c r="I12" s="2">
        <v>45664.0</v>
      </c>
      <c r="J12" s="1">
        <v>450000.0</v>
      </c>
      <c r="K12" s="2">
        <v>45658.0</v>
      </c>
    </row>
    <row r="13">
      <c r="A13" s="1" t="s">
        <v>40</v>
      </c>
      <c r="B13" s="1" t="s">
        <v>41</v>
      </c>
      <c r="C13" s="1" t="s">
        <v>42</v>
      </c>
      <c r="D13" s="1">
        <v>-18.0</v>
      </c>
      <c r="E13" s="1">
        <v>15.0</v>
      </c>
      <c r="F13" s="1">
        <v>4.0</v>
      </c>
      <c r="G13" s="1">
        <v>6.0</v>
      </c>
      <c r="H13" s="1" t="s">
        <v>43</v>
      </c>
      <c r="I13" s="2">
        <v>46099.0</v>
      </c>
      <c r="J13" s="1">
        <v>1200000.0</v>
      </c>
      <c r="K13" s="2">
        <v>46082.0</v>
      </c>
    </row>
    <row r="14" hidden="1">
      <c r="A14" s="1" t="s">
        <v>44</v>
      </c>
      <c r="B14" s="1" t="s">
        <v>45</v>
      </c>
      <c r="C14" s="1" t="s">
        <v>42</v>
      </c>
      <c r="D14" s="1">
        <v>54.0</v>
      </c>
      <c r="E14" s="1">
        <v>30.0</v>
      </c>
      <c r="F14" s="1">
        <v>6.0</v>
      </c>
      <c r="G14" s="1">
        <v>8.0</v>
      </c>
      <c r="H14" s="1" t="s">
        <v>43</v>
      </c>
      <c r="I14" s="2">
        <v>45983.0</v>
      </c>
      <c r="J14" s="1">
        <v>350000.0</v>
      </c>
      <c r="K14" s="2">
        <v>45962.0</v>
      </c>
    </row>
    <row r="15" hidden="1">
      <c r="A15" s="1" t="s">
        <v>46</v>
      </c>
      <c r="B15" s="1" t="s">
        <v>47</v>
      </c>
      <c r="C15" s="1" t="s">
        <v>23</v>
      </c>
      <c r="D15" s="1">
        <v>0.0</v>
      </c>
      <c r="E15" s="1">
        <v>40.0</v>
      </c>
      <c r="F15" s="1">
        <v>7.0</v>
      </c>
      <c r="G15" s="1">
        <v>4.0</v>
      </c>
      <c r="H15" s="1" t="s">
        <v>30</v>
      </c>
      <c r="I15" s="2">
        <v>45761.0</v>
      </c>
      <c r="J15" s="1">
        <v>550000.0</v>
      </c>
      <c r="K15" s="2">
        <v>45748.0</v>
      </c>
    </row>
    <row r="16" hidden="1">
      <c r="A16" s="1" t="s">
        <v>44</v>
      </c>
      <c r="B16" s="1" t="s">
        <v>45</v>
      </c>
      <c r="C16" s="1" t="s">
        <v>42</v>
      </c>
      <c r="D16" s="1">
        <v>41.0</v>
      </c>
      <c r="E16" s="1">
        <v>30.0</v>
      </c>
      <c r="F16" s="1">
        <v>4.0</v>
      </c>
      <c r="G16" s="1">
        <v>10.0</v>
      </c>
      <c r="H16" s="1" t="s">
        <v>43</v>
      </c>
      <c r="I16" s="2">
        <v>45930.0</v>
      </c>
      <c r="J16" s="1">
        <v>350000.0</v>
      </c>
      <c r="K16" s="2">
        <v>45901.0</v>
      </c>
    </row>
    <row r="17" hidden="1">
      <c r="A17" s="1" t="s">
        <v>48</v>
      </c>
      <c r="B17" s="1" t="s">
        <v>49</v>
      </c>
      <c r="C17" s="1" t="s">
        <v>36</v>
      </c>
      <c r="D17" s="1">
        <v>33.0</v>
      </c>
      <c r="E17" s="1">
        <v>120.0</v>
      </c>
      <c r="F17" s="1">
        <v>18.0</v>
      </c>
      <c r="G17" s="1">
        <v>7.0</v>
      </c>
      <c r="H17" s="1" t="s">
        <v>50</v>
      </c>
      <c r="I17" s="2">
        <v>45878.0</v>
      </c>
      <c r="J17" s="1">
        <v>55000.0</v>
      </c>
      <c r="K17" s="2">
        <v>45870.0</v>
      </c>
    </row>
    <row r="18" hidden="1">
      <c r="A18" s="1" t="s">
        <v>15</v>
      </c>
      <c r="B18" s="1" t="s">
        <v>16</v>
      </c>
      <c r="C18" s="1" t="s">
        <v>17</v>
      </c>
      <c r="D18" s="1">
        <v>26.0</v>
      </c>
      <c r="E18" s="1">
        <v>15.0</v>
      </c>
      <c r="F18" s="1">
        <v>3.0</v>
      </c>
      <c r="G18" s="1">
        <v>8.0</v>
      </c>
      <c r="H18" s="1" t="s">
        <v>18</v>
      </c>
      <c r="I18" s="2">
        <v>45816.0</v>
      </c>
      <c r="J18" s="1">
        <v>8500000.0</v>
      </c>
      <c r="K18" s="2">
        <v>45809.0</v>
      </c>
    </row>
    <row r="19" hidden="1">
      <c r="A19" s="1" t="s">
        <v>11</v>
      </c>
      <c r="B19" s="1" t="s">
        <v>12</v>
      </c>
      <c r="C19" s="1" t="s">
        <v>13</v>
      </c>
      <c r="D19" s="1">
        <v>139.0</v>
      </c>
      <c r="E19" s="1">
        <v>50.0</v>
      </c>
      <c r="F19" s="1">
        <v>1.0</v>
      </c>
      <c r="G19" s="1">
        <v>7.0</v>
      </c>
      <c r="H19" s="1" t="s">
        <v>14</v>
      </c>
      <c r="I19" s="2">
        <v>46317.0</v>
      </c>
      <c r="J19" s="1">
        <v>125000.0</v>
      </c>
      <c r="K19" s="2">
        <v>45839.0</v>
      </c>
    </row>
    <row r="20" hidden="1">
      <c r="A20" s="1" t="s">
        <v>44</v>
      </c>
      <c r="B20" s="1" t="s">
        <v>45</v>
      </c>
      <c r="C20" s="1" t="s">
        <v>42</v>
      </c>
      <c r="D20" s="1">
        <v>49.0</v>
      </c>
      <c r="E20" s="1">
        <v>30.0</v>
      </c>
      <c r="F20" s="1">
        <v>6.0</v>
      </c>
      <c r="G20" s="1">
        <v>9.0</v>
      </c>
      <c r="H20" s="1" t="s">
        <v>43</v>
      </c>
      <c r="I20" s="2">
        <v>45669.0</v>
      </c>
      <c r="J20" s="1">
        <v>350000.0</v>
      </c>
      <c r="K20" s="2">
        <v>45658.0</v>
      </c>
    </row>
    <row r="21" hidden="1">
      <c r="A21" s="1" t="s">
        <v>48</v>
      </c>
      <c r="B21" s="1" t="s">
        <v>49</v>
      </c>
      <c r="C21" s="1" t="s">
        <v>36</v>
      </c>
      <c r="D21" s="1">
        <v>0.0</v>
      </c>
      <c r="E21" s="1">
        <v>120.0</v>
      </c>
      <c r="F21" s="1">
        <v>27.0</v>
      </c>
      <c r="G21" s="1">
        <v>7.0</v>
      </c>
      <c r="H21" s="1" t="s">
        <v>50</v>
      </c>
      <c r="I21" s="2">
        <v>46010.0</v>
      </c>
      <c r="J21" s="1">
        <v>55000.0</v>
      </c>
      <c r="K21" s="2">
        <v>45992.0</v>
      </c>
    </row>
    <row r="22" hidden="1">
      <c r="A22" s="1" t="s">
        <v>21</v>
      </c>
      <c r="B22" s="1" t="s">
        <v>22</v>
      </c>
      <c r="C22" s="1" t="s">
        <v>23</v>
      </c>
      <c r="D22" s="1">
        <v>14.0</v>
      </c>
      <c r="E22" s="1">
        <v>50.0</v>
      </c>
      <c r="F22" s="1">
        <v>11.0</v>
      </c>
      <c r="G22" s="1">
        <v>4.0</v>
      </c>
      <c r="H22" s="1" t="s">
        <v>24</v>
      </c>
      <c r="I22" s="2">
        <v>46062.0</v>
      </c>
      <c r="J22" s="1">
        <v>350000.0</v>
      </c>
      <c r="K22" s="2">
        <v>46054.0</v>
      </c>
    </row>
    <row r="23" hidden="1">
      <c r="A23" s="1" t="s">
        <v>51</v>
      </c>
      <c r="B23" s="1" t="s">
        <v>52</v>
      </c>
      <c r="C23" s="1" t="s">
        <v>36</v>
      </c>
      <c r="D23" s="1">
        <v>0.0</v>
      </c>
      <c r="E23" s="1">
        <v>60.0</v>
      </c>
      <c r="F23" s="1">
        <v>13.0</v>
      </c>
      <c r="G23" s="1">
        <v>4.0</v>
      </c>
      <c r="H23" s="1" t="s">
        <v>50</v>
      </c>
      <c r="I23" s="2">
        <v>46004.0</v>
      </c>
      <c r="J23" s="1">
        <v>175000.0</v>
      </c>
      <c r="K23" s="2">
        <v>45992.0</v>
      </c>
    </row>
    <row r="24" hidden="1">
      <c r="A24" s="1" t="s">
        <v>53</v>
      </c>
      <c r="B24" s="1" t="s">
        <v>54</v>
      </c>
      <c r="C24" s="1" t="s">
        <v>13</v>
      </c>
      <c r="D24" s="1">
        <v>191.0</v>
      </c>
      <c r="E24" s="1">
        <v>60.0</v>
      </c>
      <c r="F24" s="1">
        <v>3.0</v>
      </c>
      <c r="G24" s="1">
        <v>8.0</v>
      </c>
      <c r="H24" s="1" t="s">
        <v>14</v>
      </c>
      <c r="I24" s="2">
        <v>45944.0</v>
      </c>
      <c r="J24" s="1">
        <v>165000.0</v>
      </c>
      <c r="K24" s="2">
        <v>45931.0</v>
      </c>
    </row>
    <row r="25" hidden="1">
      <c r="A25" s="1" t="s">
        <v>55</v>
      </c>
      <c r="B25" s="1" t="s">
        <v>56</v>
      </c>
      <c r="C25" s="1" t="s">
        <v>36</v>
      </c>
      <c r="D25" s="1">
        <v>0.0</v>
      </c>
      <c r="E25" s="1">
        <v>100.0</v>
      </c>
      <c r="F25" s="1">
        <v>24.0</v>
      </c>
      <c r="G25" s="1">
        <v>4.0</v>
      </c>
      <c r="H25" s="1" t="s">
        <v>37</v>
      </c>
      <c r="I25" s="2">
        <v>45747.0</v>
      </c>
      <c r="J25" s="1">
        <v>85000.0</v>
      </c>
      <c r="K25" s="2">
        <v>45717.0</v>
      </c>
    </row>
    <row r="26" hidden="1">
      <c r="A26" s="1" t="s">
        <v>38</v>
      </c>
      <c r="B26" s="1" t="s">
        <v>39</v>
      </c>
      <c r="C26" s="1" t="s">
        <v>23</v>
      </c>
      <c r="D26" s="1">
        <v>23.0</v>
      </c>
      <c r="E26" s="1">
        <v>45.0</v>
      </c>
      <c r="F26" s="1">
        <v>6.0</v>
      </c>
      <c r="G26" s="1">
        <v>6.0</v>
      </c>
      <c r="H26" s="1" t="s">
        <v>24</v>
      </c>
      <c r="I26" s="2">
        <v>45697.0</v>
      </c>
      <c r="J26" s="1">
        <v>450000.0</v>
      </c>
      <c r="K26" s="2">
        <v>45689.0</v>
      </c>
    </row>
    <row r="27" hidden="1">
      <c r="A27" s="1" t="s">
        <v>57</v>
      </c>
      <c r="B27" s="1" t="s">
        <v>58</v>
      </c>
      <c r="C27" s="1" t="s">
        <v>42</v>
      </c>
      <c r="D27" s="1">
        <v>50.0</v>
      </c>
      <c r="E27" s="1">
        <v>25.0</v>
      </c>
      <c r="F27" s="1">
        <v>3.0</v>
      </c>
      <c r="G27" s="1">
        <v>7.0</v>
      </c>
      <c r="H27" s="1" t="s">
        <v>59</v>
      </c>
      <c r="I27" s="2">
        <v>45920.0</v>
      </c>
      <c r="J27" s="1">
        <v>450000.0</v>
      </c>
      <c r="K27" s="2">
        <v>45901.0</v>
      </c>
    </row>
    <row r="28" hidden="1">
      <c r="A28" s="1" t="s">
        <v>57</v>
      </c>
      <c r="B28" s="1" t="s">
        <v>58</v>
      </c>
      <c r="C28" s="1" t="s">
        <v>42</v>
      </c>
      <c r="D28" s="1">
        <v>42.0</v>
      </c>
      <c r="E28" s="1">
        <v>25.0</v>
      </c>
      <c r="F28" s="1">
        <v>3.0</v>
      </c>
      <c r="G28" s="1">
        <v>8.0</v>
      </c>
      <c r="H28" s="1" t="s">
        <v>59</v>
      </c>
      <c r="I28" s="2">
        <v>46078.0</v>
      </c>
      <c r="J28" s="1">
        <v>450000.0</v>
      </c>
      <c r="K28" s="2">
        <v>46054.0</v>
      </c>
    </row>
    <row r="29">
      <c r="A29" s="1" t="s">
        <v>60</v>
      </c>
      <c r="B29" s="1" t="s">
        <v>61</v>
      </c>
      <c r="C29" s="1" t="s">
        <v>17</v>
      </c>
      <c r="D29" s="1">
        <v>-8.0</v>
      </c>
      <c r="E29" s="1">
        <v>20.0</v>
      </c>
      <c r="F29" s="1">
        <v>2.0</v>
      </c>
      <c r="G29" s="1">
        <v>9.0</v>
      </c>
      <c r="H29" s="1" t="s">
        <v>27</v>
      </c>
      <c r="I29" s="2">
        <v>45750.0</v>
      </c>
      <c r="J29" s="1">
        <v>3200000.0</v>
      </c>
      <c r="K29" s="2">
        <v>45748.0</v>
      </c>
    </row>
    <row r="30" hidden="1">
      <c r="A30" s="1" t="s">
        <v>51</v>
      </c>
      <c r="B30" s="1" t="s">
        <v>52</v>
      </c>
      <c r="C30" s="1" t="s">
        <v>36</v>
      </c>
      <c r="D30" s="1">
        <v>31.0</v>
      </c>
      <c r="E30" s="1">
        <v>60.0</v>
      </c>
      <c r="F30" s="1">
        <v>8.0</v>
      </c>
      <c r="G30" s="1">
        <v>7.0</v>
      </c>
      <c r="H30" s="1" t="s">
        <v>50</v>
      </c>
      <c r="I30" s="2">
        <v>45880.0</v>
      </c>
      <c r="J30" s="1">
        <v>175000.0</v>
      </c>
      <c r="K30" s="2">
        <v>45870.0</v>
      </c>
    </row>
    <row r="31" hidden="1">
      <c r="A31" s="1" t="s">
        <v>48</v>
      </c>
      <c r="B31" s="1" t="s">
        <v>49</v>
      </c>
      <c r="C31" s="1" t="s">
        <v>36</v>
      </c>
      <c r="D31" s="1">
        <v>38.0</v>
      </c>
      <c r="E31" s="1">
        <v>120.0</v>
      </c>
      <c r="F31" s="1">
        <v>17.0</v>
      </c>
      <c r="G31" s="1">
        <v>4.0</v>
      </c>
      <c r="H31" s="1" t="s">
        <v>50</v>
      </c>
      <c r="I31" s="2">
        <v>45864.0</v>
      </c>
      <c r="J31" s="1">
        <v>55000.0</v>
      </c>
      <c r="K31" s="2">
        <v>45839.0</v>
      </c>
    </row>
    <row r="32" hidden="1">
      <c r="A32" s="1" t="s">
        <v>11</v>
      </c>
      <c r="B32" s="1" t="s">
        <v>12</v>
      </c>
      <c r="C32" s="1" t="s">
        <v>13</v>
      </c>
      <c r="D32" s="1">
        <v>217.0</v>
      </c>
      <c r="E32" s="1">
        <v>50.0</v>
      </c>
      <c r="F32" s="1">
        <v>3.0</v>
      </c>
      <c r="G32" s="1">
        <v>7.0</v>
      </c>
      <c r="H32" s="1" t="s">
        <v>14</v>
      </c>
      <c r="I32" s="2">
        <v>46111.0</v>
      </c>
      <c r="J32" s="1">
        <v>125000.0</v>
      </c>
      <c r="K32" s="2">
        <v>46082.0</v>
      </c>
    </row>
    <row r="33" hidden="1">
      <c r="A33" s="1" t="s">
        <v>15</v>
      </c>
      <c r="B33" s="1" t="s">
        <v>16</v>
      </c>
      <c r="C33" s="1" t="s">
        <v>17</v>
      </c>
      <c r="D33" s="1">
        <v>11.0</v>
      </c>
      <c r="E33" s="1">
        <v>15.0</v>
      </c>
      <c r="F33" s="1">
        <v>1.0</v>
      </c>
      <c r="G33" s="1">
        <v>5.0</v>
      </c>
      <c r="H33" s="1" t="s">
        <v>18</v>
      </c>
      <c r="I33" s="2">
        <v>45754.0</v>
      </c>
      <c r="J33" s="1">
        <v>8500000.0</v>
      </c>
      <c r="K33" s="2">
        <v>45748.0</v>
      </c>
    </row>
    <row r="34" hidden="1">
      <c r="A34" s="1" t="s">
        <v>38</v>
      </c>
      <c r="B34" s="1" t="s">
        <v>39</v>
      </c>
      <c r="C34" s="1" t="s">
        <v>23</v>
      </c>
      <c r="D34" s="1">
        <v>36.0</v>
      </c>
      <c r="E34" s="1">
        <v>45.0</v>
      </c>
      <c r="F34" s="1">
        <v>7.0</v>
      </c>
      <c r="G34" s="1">
        <v>4.0</v>
      </c>
      <c r="H34" s="1" t="s">
        <v>24</v>
      </c>
      <c r="I34" s="2">
        <v>45883.0</v>
      </c>
      <c r="J34" s="1">
        <v>450000.0</v>
      </c>
      <c r="K34" s="2">
        <v>45870.0</v>
      </c>
    </row>
    <row r="35" hidden="1">
      <c r="A35" s="1" t="s">
        <v>48</v>
      </c>
      <c r="B35" s="1" t="s">
        <v>49</v>
      </c>
      <c r="C35" s="1" t="s">
        <v>36</v>
      </c>
      <c r="D35" s="1">
        <v>0.0</v>
      </c>
      <c r="E35" s="1">
        <v>120.0</v>
      </c>
      <c r="F35" s="1">
        <v>28.0</v>
      </c>
      <c r="G35" s="1">
        <v>6.0</v>
      </c>
      <c r="H35" s="1" t="s">
        <v>50</v>
      </c>
      <c r="I35" s="2">
        <v>45725.0</v>
      </c>
      <c r="J35" s="1">
        <v>55000.0</v>
      </c>
      <c r="K35" s="2">
        <v>45717.0</v>
      </c>
    </row>
    <row r="36">
      <c r="A36" s="1" t="s">
        <v>55</v>
      </c>
      <c r="B36" s="1" t="s">
        <v>56</v>
      </c>
      <c r="C36" s="1" t="s">
        <v>36</v>
      </c>
      <c r="D36" s="1">
        <v>-18.0</v>
      </c>
      <c r="E36" s="1">
        <v>100.0</v>
      </c>
      <c r="F36" s="1">
        <v>21.0</v>
      </c>
      <c r="G36" s="1">
        <v>3.0</v>
      </c>
      <c r="H36" s="1" t="s">
        <v>37</v>
      </c>
      <c r="I36" s="2">
        <v>46006.0</v>
      </c>
      <c r="J36" s="1">
        <v>85000.0</v>
      </c>
      <c r="K36" s="2">
        <v>45992.0</v>
      </c>
    </row>
    <row r="37" hidden="1">
      <c r="A37" s="1" t="s">
        <v>62</v>
      </c>
      <c r="B37" s="1" t="s">
        <v>63</v>
      </c>
      <c r="C37" s="1" t="s">
        <v>13</v>
      </c>
      <c r="D37" s="1">
        <v>375.0</v>
      </c>
      <c r="E37" s="1">
        <v>80.0</v>
      </c>
      <c r="F37" s="1">
        <v>5.0</v>
      </c>
      <c r="G37" s="1">
        <v>6.0</v>
      </c>
      <c r="H37" s="1" t="s">
        <v>33</v>
      </c>
      <c r="I37" s="2">
        <v>45737.0</v>
      </c>
      <c r="J37" s="1">
        <v>85000.0</v>
      </c>
      <c r="K37" s="2">
        <v>45717.0</v>
      </c>
    </row>
    <row r="38" hidden="1">
      <c r="A38" s="1" t="s">
        <v>19</v>
      </c>
      <c r="B38" s="1" t="s">
        <v>20</v>
      </c>
      <c r="C38" s="1" t="s">
        <v>17</v>
      </c>
      <c r="D38" s="1">
        <v>24.0</v>
      </c>
      <c r="E38" s="1">
        <v>30.0</v>
      </c>
      <c r="F38" s="1">
        <v>4.0</v>
      </c>
      <c r="G38" s="1">
        <v>5.0</v>
      </c>
      <c r="H38" s="1" t="s">
        <v>18</v>
      </c>
      <c r="I38" s="2">
        <v>45670.0</v>
      </c>
      <c r="J38" s="1">
        <v>1200000.0</v>
      </c>
      <c r="K38" s="2">
        <v>45658.0</v>
      </c>
    </row>
    <row r="39" hidden="1">
      <c r="A39" s="1" t="s">
        <v>25</v>
      </c>
      <c r="B39" s="1" t="s">
        <v>26</v>
      </c>
      <c r="C39" s="1" t="s">
        <v>17</v>
      </c>
      <c r="D39" s="1">
        <v>22.0</v>
      </c>
      <c r="E39" s="1">
        <v>25.0</v>
      </c>
      <c r="F39" s="1">
        <v>5.0</v>
      </c>
      <c r="G39" s="1">
        <v>14.0</v>
      </c>
      <c r="H39" s="1" t="s">
        <v>27</v>
      </c>
      <c r="I39" s="2">
        <v>45722.0</v>
      </c>
      <c r="J39" s="1">
        <v>4500000.0</v>
      </c>
      <c r="K39" s="2">
        <v>45717.0</v>
      </c>
    </row>
    <row r="40" hidden="1">
      <c r="A40" s="1" t="s">
        <v>44</v>
      </c>
      <c r="B40" s="1" t="s">
        <v>45</v>
      </c>
      <c r="C40" s="1" t="s">
        <v>42</v>
      </c>
      <c r="D40" s="1">
        <v>59.0</v>
      </c>
      <c r="E40" s="1">
        <v>30.0</v>
      </c>
      <c r="F40" s="1">
        <v>3.0</v>
      </c>
      <c r="G40" s="1">
        <v>6.0</v>
      </c>
      <c r="H40" s="1" t="s">
        <v>43</v>
      </c>
      <c r="I40" s="2">
        <v>45880.0</v>
      </c>
      <c r="J40" s="1">
        <v>350000.0</v>
      </c>
      <c r="K40" s="2">
        <v>45870.0</v>
      </c>
    </row>
    <row r="41" hidden="1">
      <c r="A41" s="1" t="s">
        <v>57</v>
      </c>
      <c r="B41" s="1" t="s">
        <v>58</v>
      </c>
      <c r="C41" s="1" t="s">
        <v>42</v>
      </c>
      <c r="D41" s="1">
        <v>22.0</v>
      </c>
      <c r="E41" s="1">
        <v>25.0</v>
      </c>
      <c r="F41" s="1">
        <v>2.0</v>
      </c>
      <c r="G41" s="1">
        <v>6.0</v>
      </c>
      <c r="H41" s="1" t="s">
        <v>59</v>
      </c>
      <c r="I41" s="2">
        <v>46000.0</v>
      </c>
      <c r="J41" s="1">
        <v>450000.0</v>
      </c>
      <c r="K41" s="2">
        <v>45992.0</v>
      </c>
    </row>
    <row r="42" hidden="1">
      <c r="A42" s="1" t="s">
        <v>60</v>
      </c>
      <c r="B42" s="1" t="s">
        <v>61</v>
      </c>
      <c r="C42" s="1" t="s">
        <v>17</v>
      </c>
      <c r="D42" s="1">
        <v>30.0</v>
      </c>
      <c r="E42" s="1">
        <v>20.0</v>
      </c>
      <c r="F42" s="1">
        <v>1.0</v>
      </c>
      <c r="G42" s="1">
        <v>14.0</v>
      </c>
      <c r="H42" s="1" t="s">
        <v>27</v>
      </c>
      <c r="I42" s="2">
        <v>46048.0</v>
      </c>
      <c r="J42" s="1">
        <v>3200000.0</v>
      </c>
      <c r="K42" s="2">
        <v>46023.0</v>
      </c>
    </row>
    <row r="43" hidden="1">
      <c r="A43" s="1" t="s">
        <v>25</v>
      </c>
      <c r="B43" s="1" t="s">
        <v>26</v>
      </c>
      <c r="C43" s="1" t="s">
        <v>17</v>
      </c>
      <c r="D43" s="1">
        <v>2.0</v>
      </c>
      <c r="E43" s="1">
        <v>25.0</v>
      </c>
      <c r="F43" s="1">
        <v>3.0</v>
      </c>
      <c r="G43" s="1">
        <v>20.0</v>
      </c>
      <c r="H43" s="1" t="s">
        <v>27</v>
      </c>
      <c r="I43" s="2">
        <v>45950.0</v>
      </c>
      <c r="J43" s="1">
        <v>4500000.0</v>
      </c>
      <c r="K43" s="2">
        <v>45931.0</v>
      </c>
    </row>
    <row r="44" hidden="1">
      <c r="A44" s="1" t="s">
        <v>31</v>
      </c>
      <c r="B44" s="1" t="s">
        <v>32</v>
      </c>
      <c r="C44" s="1" t="s">
        <v>13</v>
      </c>
      <c r="D44" s="1">
        <v>184.0</v>
      </c>
      <c r="E44" s="1">
        <v>40.0</v>
      </c>
      <c r="F44" s="1">
        <v>3.0</v>
      </c>
      <c r="G44" s="1">
        <v>6.0</v>
      </c>
      <c r="H44" s="1" t="s">
        <v>33</v>
      </c>
      <c r="I44" s="2">
        <v>45682.0</v>
      </c>
      <c r="J44" s="1">
        <v>550000.0</v>
      </c>
      <c r="K44" s="2">
        <v>45658.0</v>
      </c>
    </row>
    <row r="45" hidden="1">
      <c r="A45" s="1" t="s">
        <v>64</v>
      </c>
      <c r="B45" s="1" t="s">
        <v>65</v>
      </c>
      <c r="C45" s="1" t="s">
        <v>42</v>
      </c>
      <c r="D45" s="1">
        <v>19.0</v>
      </c>
      <c r="E45" s="1">
        <v>20.0</v>
      </c>
      <c r="F45" s="1">
        <v>4.0</v>
      </c>
      <c r="G45" s="1">
        <v>9.0</v>
      </c>
      <c r="H45" s="1" t="s">
        <v>59</v>
      </c>
      <c r="I45" s="2">
        <v>45782.0</v>
      </c>
      <c r="J45" s="1">
        <v>750000.0</v>
      </c>
      <c r="K45" s="2">
        <v>45778.0</v>
      </c>
    </row>
    <row r="46" hidden="1">
      <c r="A46" s="1" t="s">
        <v>62</v>
      </c>
      <c r="B46" s="1" t="s">
        <v>63</v>
      </c>
      <c r="C46" s="1" t="s">
        <v>13</v>
      </c>
      <c r="D46" s="1">
        <v>268.0</v>
      </c>
      <c r="E46" s="1">
        <v>80.0</v>
      </c>
      <c r="F46" s="1">
        <v>4.0</v>
      </c>
      <c r="G46" s="1">
        <v>4.0</v>
      </c>
      <c r="H46" s="1" t="s">
        <v>33</v>
      </c>
      <c r="I46" s="2">
        <v>46099.0</v>
      </c>
      <c r="J46" s="1">
        <v>85000.0</v>
      </c>
      <c r="K46" s="2">
        <v>46082.0</v>
      </c>
    </row>
    <row r="47" hidden="1">
      <c r="A47" s="1" t="s">
        <v>34</v>
      </c>
      <c r="B47" s="1" t="s">
        <v>35</v>
      </c>
      <c r="C47" s="1" t="s">
        <v>36</v>
      </c>
      <c r="D47" s="1">
        <v>31.0</v>
      </c>
      <c r="E47" s="1">
        <v>80.0</v>
      </c>
      <c r="F47" s="1">
        <v>13.0</v>
      </c>
      <c r="G47" s="1">
        <v>4.0</v>
      </c>
      <c r="H47" s="1" t="s">
        <v>37</v>
      </c>
      <c r="I47" s="2">
        <v>45857.0</v>
      </c>
      <c r="J47" s="1">
        <v>65000.0</v>
      </c>
      <c r="K47" s="2">
        <v>45839.0</v>
      </c>
    </row>
    <row r="48" hidden="1">
      <c r="A48" s="1" t="s">
        <v>55</v>
      </c>
      <c r="B48" s="1" t="s">
        <v>56</v>
      </c>
      <c r="C48" s="1" t="s">
        <v>36</v>
      </c>
      <c r="D48" s="1">
        <v>28.0</v>
      </c>
      <c r="E48" s="1">
        <v>100.0</v>
      </c>
      <c r="F48" s="1">
        <v>17.0</v>
      </c>
      <c r="G48" s="1">
        <v>3.0</v>
      </c>
      <c r="H48" s="1" t="s">
        <v>37</v>
      </c>
      <c r="I48" s="2">
        <v>46070.0</v>
      </c>
      <c r="J48" s="1">
        <v>85000.0</v>
      </c>
      <c r="K48" s="2">
        <v>46054.0</v>
      </c>
    </row>
    <row r="49" hidden="1">
      <c r="A49" s="1" t="s">
        <v>15</v>
      </c>
      <c r="B49" s="1" t="s">
        <v>16</v>
      </c>
      <c r="C49" s="1" t="s">
        <v>17</v>
      </c>
      <c r="D49" s="1">
        <v>22.0</v>
      </c>
      <c r="E49" s="1">
        <v>15.0</v>
      </c>
      <c r="F49" s="1">
        <v>2.0</v>
      </c>
      <c r="G49" s="1">
        <v>7.0</v>
      </c>
      <c r="H49" s="1" t="s">
        <v>18</v>
      </c>
      <c r="I49" s="2">
        <v>45878.0</v>
      </c>
      <c r="J49" s="1">
        <v>8500000.0</v>
      </c>
      <c r="K49" s="2">
        <v>45870.0</v>
      </c>
    </row>
    <row r="50" hidden="1">
      <c r="A50" s="1" t="s">
        <v>48</v>
      </c>
      <c r="B50" s="1" t="s">
        <v>49</v>
      </c>
      <c r="C50" s="1" t="s">
        <v>36</v>
      </c>
      <c r="D50" s="1">
        <v>27.0</v>
      </c>
      <c r="E50" s="1">
        <v>120.0</v>
      </c>
      <c r="F50" s="1">
        <v>18.0</v>
      </c>
      <c r="G50" s="1">
        <v>4.0</v>
      </c>
      <c r="H50" s="1" t="s">
        <v>50</v>
      </c>
      <c r="I50" s="2">
        <v>45782.0</v>
      </c>
      <c r="J50" s="1">
        <v>55000.0</v>
      </c>
      <c r="K50" s="2">
        <v>45778.0</v>
      </c>
    </row>
    <row r="51" hidden="1">
      <c r="A51" s="1" t="s">
        <v>38</v>
      </c>
      <c r="B51" s="1" t="s">
        <v>39</v>
      </c>
      <c r="C51" s="1" t="s">
        <v>23</v>
      </c>
      <c r="D51" s="1">
        <v>0.0</v>
      </c>
      <c r="E51" s="1">
        <v>45.0</v>
      </c>
      <c r="F51" s="1">
        <v>10.0</v>
      </c>
      <c r="G51" s="1">
        <v>3.0</v>
      </c>
      <c r="H51" s="1" t="s">
        <v>24</v>
      </c>
      <c r="I51" s="2">
        <v>45737.0</v>
      </c>
      <c r="J51" s="1">
        <v>450000.0</v>
      </c>
      <c r="K51" s="2">
        <v>45717.0</v>
      </c>
    </row>
    <row r="52" hidden="1">
      <c r="A52" s="1" t="s">
        <v>46</v>
      </c>
      <c r="B52" s="1" t="s">
        <v>47</v>
      </c>
      <c r="C52" s="1" t="s">
        <v>23</v>
      </c>
      <c r="D52" s="1">
        <v>0.0</v>
      </c>
      <c r="E52" s="1">
        <v>40.0</v>
      </c>
      <c r="F52" s="1">
        <v>8.0</v>
      </c>
      <c r="G52" s="1">
        <v>3.0</v>
      </c>
      <c r="H52" s="1" t="s">
        <v>30</v>
      </c>
      <c r="I52" s="2">
        <v>46018.0</v>
      </c>
      <c r="J52" s="1">
        <v>550000.0</v>
      </c>
      <c r="K52" s="2">
        <v>45992.0</v>
      </c>
    </row>
    <row r="53" hidden="1">
      <c r="A53" s="1" t="s">
        <v>55</v>
      </c>
      <c r="B53" s="1" t="s">
        <v>56</v>
      </c>
      <c r="C53" s="1" t="s">
        <v>36</v>
      </c>
      <c r="D53" s="1">
        <v>35.0</v>
      </c>
      <c r="E53" s="1">
        <v>100.0</v>
      </c>
      <c r="F53" s="1">
        <v>14.0</v>
      </c>
      <c r="G53" s="1">
        <v>3.0</v>
      </c>
      <c r="H53" s="1" t="s">
        <v>37</v>
      </c>
      <c r="I53" s="2">
        <v>45685.0</v>
      </c>
      <c r="J53" s="1">
        <v>85000.0</v>
      </c>
      <c r="K53" s="2">
        <v>45658.0</v>
      </c>
    </row>
    <row r="54" hidden="1">
      <c r="A54" s="1" t="s">
        <v>28</v>
      </c>
      <c r="B54" s="1" t="s">
        <v>29</v>
      </c>
      <c r="C54" s="1" t="s">
        <v>23</v>
      </c>
      <c r="D54" s="1">
        <v>0.0</v>
      </c>
      <c r="E54" s="1">
        <v>35.0</v>
      </c>
      <c r="F54" s="1">
        <v>9.0</v>
      </c>
      <c r="G54" s="1">
        <v>5.0</v>
      </c>
      <c r="H54" s="1" t="s">
        <v>30</v>
      </c>
      <c r="I54" s="2">
        <v>46095.0</v>
      </c>
      <c r="J54" s="1">
        <v>1250000.0</v>
      </c>
      <c r="K54" s="2">
        <v>46082.0</v>
      </c>
    </row>
    <row r="55" hidden="1">
      <c r="A55" s="1" t="s">
        <v>38</v>
      </c>
      <c r="B55" s="1" t="s">
        <v>39</v>
      </c>
      <c r="C55" s="1" t="s">
        <v>23</v>
      </c>
      <c r="D55" s="1">
        <v>40.0</v>
      </c>
      <c r="E55" s="1">
        <v>45.0</v>
      </c>
      <c r="F55" s="1">
        <v>5.0</v>
      </c>
      <c r="G55" s="1">
        <v>3.0</v>
      </c>
      <c r="H55" s="1" t="s">
        <v>24</v>
      </c>
      <c r="I55" s="2">
        <v>45959.0</v>
      </c>
      <c r="J55" s="1">
        <v>450000.0</v>
      </c>
      <c r="K55" s="2">
        <v>45931.0</v>
      </c>
    </row>
    <row r="56" hidden="1">
      <c r="A56" s="1" t="s">
        <v>64</v>
      </c>
      <c r="B56" s="1" t="s">
        <v>65</v>
      </c>
      <c r="C56" s="1" t="s">
        <v>42</v>
      </c>
      <c r="D56" s="1">
        <v>29.0</v>
      </c>
      <c r="E56" s="1">
        <v>20.0</v>
      </c>
      <c r="F56" s="1">
        <v>4.0</v>
      </c>
      <c r="G56" s="1">
        <v>10.0</v>
      </c>
      <c r="H56" s="1" t="s">
        <v>59</v>
      </c>
      <c r="I56" s="2">
        <v>45826.0</v>
      </c>
      <c r="J56" s="1">
        <v>750000.0</v>
      </c>
      <c r="K56" s="2">
        <v>45809.0</v>
      </c>
    </row>
    <row r="57" hidden="1">
      <c r="A57" s="1" t="s">
        <v>40</v>
      </c>
      <c r="B57" s="1" t="s">
        <v>41</v>
      </c>
      <c r="C57" s="1" t="s">
        <v>42</v>
      </c>
      <c r="D57" s="1">
        <v>30.0</v>
      </c>
      <c r="E57" s="1">
        <v>15.0</v>
      </c>
      <c r="F57" s="1">
        <v>2.0</v>
      </c>
      <c r="G57" s="1">
        <v>9.0</v>
      </c>
      <c r="H57" s="1" t="s">
        <v>43</v>
      </c>
      <c r="I57" s="2">
        <v>45892.0</v>
      </c>
      <c r="J57" s="1">
        <v>1200000.0</v>
      </c>
      <c r="K57" s="2">
        <v>45870.0</v>
      </c>
    </row>
    <row r="58" hidden="1">
      <c r="A58" s="1" t="s">
        <v>31</v>
      </c>
      <c r="B58" s="1" t="s">
        <v>32</v>
      </c>
      <c r="C58" s="1" t="s">
        <v>13</v>
      </c>
      <c r="D58" s="1">
        <v>91.0</v>
      </c>
      <c r="E58" s="1">
        <v>40.0</v>
      </c>
      <c r="F58" s="1">
        <v>3.0</v>
      </c>
      <c r="G58" s="1">
        <v>5.0</v>
      </c>
      <c r="H58" s="1" t="s">
        <v>33</v>
      </c>
      <c r="I58" s="2">
        <v>45724.0</v>
      </c>
      <c r="J58" s="1">
        <v>550000.0</v>
      </c>
      <c r="K58" s="2">
        <v>45717.0</v>
      </c>
    </row>
    <row r="59" hidden="1">
      <c r="A59" s="1" t="s">
        <v>53</v>
      </c>
      <c r="B59" s="1" t="s">
        <v>54</v>
      </c>
      <c r="C59" s="1" t="s">
        <v>13</v>
      </c>
      <c r="D59" s="1">
        <v>299.0</v>
      </c>
      <c r="E59" s="1">
        <v>60.0</v>
      </c>
      <c r="F59" s="1">
        <v>1.0</v>
      </c>
      <c r="G59" s="1">
        <v>7.0</v>
      </c>
      <c r="H59" s="1" t="s">
        <v>14</v>
      </c>
      <c r="I59" s="2">
        <v>45756.0</v>
      </c>
      <c r="J59" s="1">
        <v>165000.0</v>
      </c>
      <c r="K59" s="2">
        <v>45748.0</v>
      </c>
    </row>
    <row r="60" hidden="1">
      <c r="A60" s="1" t="s">
        <v>62</v>
      </c>
      <c r="B60" s="1" t="s">
        <v>63</v>
      </c>
      <c r="C60" s="1" t="s">
        <v>13</v>
      </c>
      <c r="D60" s="1">
        <v>392.0</v>
      </c>
      <c r="E60" s="1">
        <v>80.0</v>
      </c>
      <c r="F60" s="1">
        <v>5.0</v>
      </c>
      <c r="G60" s="1">
        <v>4.0</v>
      </c>
      <c r="H60" s="1" t="s">
        <v>33</v>
      </c>
      <c r="I60" s="2">
        <v>45701.0</v>
      </c>
      <c r="J60" s="1">
        <v>85000.0</v>
      </c>
      <c r="K60" s="2">
        <v>45689.0</v>
      </c>
    </row>
    <row r="61" hidden="1">
      <c r="A61" s="1" t="s">
        <v>53</v>
      </c>
      <c r="B61" s="1" t="s">
        <v>54</v>
      </c>
      <c r="C61" s="1" t="s">
        <v>13</v>
      </c>
      <c r="D61" s="1">
        <v>198.0</v>
      </c>
      <c r="E61" s="1">
        <v>60.0</v>
      </c>
      <c r="F61" s="1">
        <v>3.0</v>
      </c>
      <c r="G61" s="1">
        <v>8.0</v>
      </c>
      <c r="H61" s="1" t="s">
        <v>14</v>
      </c>
      <c r="I61" s="2">
        <v>45712.0</v>
      </c>
      <c r="J61" s="1">
        <v>165000.0</v>
      </c>
      <c r="K61" s="2">
        <v>45689.0</v>
      </c>
    </row>
    <row r="62" hidden="1">
      <c r="A62" s="1" t="s">
        <v>11</v>
      </c>
      <c r="B62" s="1" t="s">
        <v>12</v>
      </c>
      <c r="C62" s="1" t="s">
        <v>13</v>
      </c>
      <c r="D62" s="1">
        <v>238.0</v>
      </c>
      <c r="E62" s="1">
        <v>50.0</v>
      </c>
      <c r="F62" s="1">
        <v>2.0</v>
      </c>
      <c r="G62" s="1">
        <v>7.0</v>
      </c>
      <c r="H62" s="1" t="s">
        <v>14</v>
      </c>
      <c r="I62" s="2">
        <v>45671.0</v>
      </c>
      <c r="J62" s="1">
        <v>125000.0</v>
      </c>
      <c r="K62" s="2">
        <v>45658.0</v>
      </c>
    </row>
    <row r="63" hidden="1">
      <c r="A63" s="1" t="s">
        <v>46</v>
      </c>
      <c r="B63" s="1" t="s">
        <v>47</v>
      </c>
      <c r="C63" s="1" t="s">
        <v>23</v>
      </c>
      <c r="D63" s="1">
        <v>44.0</v>
      </c>
      <c r="E63" s="1">
        <v>40.0</v>
      </c>
      <c r="F63" s="1">
        <v>5.0</v>
      </c>
      <c r="G63" s="1">
        <v>6.0</v>
      </c>
      <c r="H63" s="1" t="s">
        <v>30</v>
      </c>
      <c r="I63" s="2">
        <v>45799.0</v>
      </c>
      <c r="J63" s="1">
        <v>550000.0</v>
      </c>
      <c r="K63" s="2">
        <v>45778.0</v>
      </c>
    </row>
    <row r="64" hidden="1">
      <c r="A64" s="1" t="s">
        <v>46</v>
      </c>
      <c r="B64" s="1" t="s">
        <v>47</v>
      </c>
      <c r="C64" s="1" t="s">
        <v>23</v>
      </c>
      <c r="D64" s="1">
        <v>28.0</v>
      </c>
      <c r="E64" s="1">
        <v>40.0</v>
      </c>
      <c r="F64" s="1">
        <v>3.0</v>
      </c>
      <c r="G64" s="1">
        <v>6.0</v>
      </c>
      <c r="H64" s="1" t="s">
        <v>30</v>
      </c>
      <c r="I64" s="2">
        <v>45956.0</v>
      </c>
      <c r="J64" s="1">
        <v>550000.0</v>
      </c>
      <c r="K64" s="2">
        <v>45931.0</v>
      </c>
    </row>
    <row r="65" hidden="1">
      <c r="A65" s="1" t="s">
        <v>46</v>
      </c>
      <c r="B65" s="1" t="s">
        <v>47</v>
      </c>
      <c r="C65" s="1" t="s">
        <v>23</v>
      </c>
      <c r="D65" s="1">
        <v>29.0</v>
      </c>
      <c r="E65" s="1">
        <v>40.0</v>
      </c>
      <c r="F65" s="1">
        <v>4.0</v>
      </c>
      <c r="G65" s="1">
        <v>9.0</v>
      </c>
      <c r="H65" s="1" t="s">
        <v>30</v>
      </c>
      <c r="I65" s="2">
        <v>45839.0</v>
      </c>
      <c r="J65" s="1">
        <v>550000.0</v>
      </c>
      <c r="K65" s="2">
        <v>45839.0</v>
      </c>
    </row>
    <row r="66" hidden="1">
      <c r="A66" s="1" t="s">
        <v>62</v>
      </c>
      <c r="B66" s="1" t="s">
        <v>63</v>
      </c>
      <c r="C66" s="1" t="s">
        <v>13</v>
      </c>
      <c r="D66" s="1">
        <v>468.0</v>
      </c>
      <c r="E66" s="1">
        <v>80.0</v>
      </c>
      <c r="F66" s="1">
        <v>5.0</v>
      </c>
      <c r="G66" s="1">
        <v>6.0</v>
      </c>
      <c r="H66" s="1" t="s">
        <v>33</v>
      </c>
      <c r="I66" s="2">
        <v>46079.0</v>
      </c>
      <c r="J66" s="1">
        <v>85000.0</v>
      </c>
      <c r="K66" s="2">
        <v>46054.0</v>
      </c>
    </row>
    <row r="67" hidden="1">
      <c r="A67" s="1" t="s">
        <v>57</v>
      </c>
      <c r="B67" s="1" t="s">
        <v>58</v>
      </c>
      <c r="C67" s="1" t="s">
        <v>42</v>
      </c>
      <c r="D67" s="1">
        <v>16.0</v>
      </c>
      <c r="E67" s="1">
        <v>25.0</v>
      </c>
      <c r="F67" s="1">
        <v>3.0</v>
      </c>
      <c r="G67" s="1">
        <v>6.0</v>
      </c>
      <c r="H67" s="1" t="s">
        <v>59</v>
      </c>
      <c r="I67" s="2">
        <v>45982.0</v>
      </c>
      <c r="J67" s="1">
        <v>450000.0</v>
      </c>
      <c r="K67" s="2">
        <v>45962.0</v>
      </c>
    </row>
    <row r="68" hidden="1">
      <c r="A68" s="1" t="s">
        <v>62</v>
      </c>
      <c r="B68" s="1" t="s">
        <v>63</v>
      </c>
      <c r="C68" s="1" t="s">
        <v>13</v>
      </c>
      <c r="D68" s="1">
        <v>320.0</v>
      </c>
      <c r="E68" s="1">
        <v>80.0</v>
      </c>
      <c r="F68" s="1">
        <v>5.0</v>
      </c>
      <c r="G68" s="1">
        <v>4.0</v>
      </c>
      <c r="H68" s="1" t="s">
        <v>33</v>
      </c>
      <c r="I68" s="2">
        <v>45909.0</v>
      </c>
      <c r="J68" s="1">
        <v>85000.0</v>
      </c>
      <c r="K68" s="2">
        <v>45901.0</v>
      </c>
    </row>
    <row r="69" hidden="1">
      <c r="A69" s="1" t="s">
        <v>38</v>
      </c>
      <c r="B69" s="1" t="s">
        <v>39</v>
      </c>
      <c r="C69" s="1" t="s">
        <v>23</v>
      </c>
      <c r="D69" s="1">
        <v>0.0</v>
      </c>
      <c r="E69" s="1">
        <v>45.0</v>
      </c>
      <c r="F69" s="1">
        <v>10.0</v>
      </c>
      <c r="G69" s="1">
        <v>4.0</v>
      </c>
      <c r="H69" s="1" t="s">
        <v>24</v>
      </c>
      <c r="I69" s="2">
        <v>45768.0</v>
      </c>
      <c r="J69" s="1">
        <v>450000.0</v>
      </c>
      <c r="K69" s="2">
        <v>45748.0</v>
      </c>
    </row>
    <row r="70" hidden="1">
      <c r="A70" s="1" t="s">
        <v>55</v>
      </c>
      <c r="B70" s="1" t="s">
        <v>56</v>
      </c>
      <c r="C70" s="1" t="s">
        <v>36</v>
      </c>
      <c r="D70" s="1">
        <v>29.0</v>
      </c>
      <c r="E70" s="1">
        <v>100.0</v>
      </c>
      <c r="F70" s="1">
        <v>16.0</v>
      </c>
      <c r="G70" s="1">
        <v>5.0</v>
      </c>
      <c r="H70" s="1" t="s">
        <v>37</v>
      </c>
      <c r="I70" s="2">
        <v>45813.0</v>
      </c>
      <c r="J70" s="1">
        <v>85000.0</v>
      </c>
      <c r="K70" s="2">
        <v>45809.0</v>
      </c>
    </row>
    <row r="71" hidden="1">
      <c r="A71" s="1" t="s">
        <v>19</v>
      </c>
      <c r="B71" s="1" t="s">
        <v>20</v>
      </c>
      <c r="C71" s="1" t="s">
        <v>17</v>
      </c>
      <c r="D71" s="1">
        <v>34.0</v>
      </c>
      <c r="E71" s="1">
        <v>30.0</v>
      </c>
      <c r="F71" s="1">
        <v>4.0</v>
      </c>
      <c r="G71" s="1">
        <v>5.0</v>
      </c>
      <c r="H71" s="1" t="s">
        <v>18</v>
      </c>
      <c r="I71" s="2">
        <v>46083.0</v>
      </c>
      <c r="J71" s="1">
        <v>1200000.0</v>
      </c>
      <c r="K71" s="2">
        <v>46082.0</v>
      </c>
    </row>
    <row r="72" hidden="1">
      <c r="A72" s="1" t="s">
        <v>55</v>
      </c>
      <c r="B72" s="1" t="s">
        <v>56</v>
      </c>
      <c r="C72" s="1" t="s">
        <v>36</v>
      </c>
      <c r="D72" s="1">
        <v>60.0</v>
      </c>
      <c r="E72" s="1">
        <v>100.0</v>
      </c>
      <c r="F72" s="1">
        <v>12.0</v>
      </c>
      <c r="G72" s="1">
        <v>4.0</v>
      </c>
      <c r="H72" s="1" t="s">
        <v>37</v>
      </c>
      <c r="I72" s="2">
        <v>45928.0</v>
      </c>
      <c r="J72" s="1">
        <v>85000.0</v>
      </c>
      <c r="K72" s="2">
        <v>45901.0</v>
      </c>
    </row>
    <row r="73" hidden="1">
      <c r="A73" s="1" t="s">
        <v>15</v>
      </c>
      <c r="B73" s="1" t="s">
        <v>16</v>
      </c>
      <c r="C73" s="1" t="s">
        <v>17</v>
      </c>
      <c r="D73" s="1">
        <v>1.0</v>
      </c>
      <c r="E73" s="1">
        <v>15.0</v>
      </c>
      <c r="F73" s="1">
        <v>2.0</v>
      </c>
      <c r="G73" s="1">
        <v>6.0</v>
      </c>
      <c r="H73" s="1" t="s">
        <v>18</v>
      </c>
      <c r="I73" s="2">
        <v>45861.0</v>
      </c>
      <c r="J73" s="1">
        <v>8500000.0</v>
      </c>
      <c r="K73" s="2">
        <v>45839.0</v>
      </c>
    </row>
    <row r="74" hidden="1">
      <c r="A74" s="1" t="s">
        <v>31</v>
      </c>
      <c r="B74" s="1" t="s">
        <v>32</v>
      </c>
      <c r="C74" s="1" t="s">
        <v>13</v>
      </c>
      <c r="D74" s="1">
        <v>177.0</v>
      </c>
      <c r="E74" s="1">
        <v>40.0</v>
      </c>
      <c r="F74" s="1">
        <v>2.0</v>
      </c>
      <c r="G74" s="1">
        <v>4.0</v>
      </c>
      <c r="H74" s="1" t="s">
        <v>33</v>
      </c>
      <c r="I74" s="2">
        <v>45757.0</v>
      </c>
      <c r="J74" s="1">
        <v>550000.0</v>
      </c>
      <c r="K74" s="2">
        <v>45748.0</v>
      </c>
    </row>
    <row r="75" hidden="1">
      <c r="A75" s="1" t="s">
        <v>60</v>
      </c>
      <c r="B75" s="1" t="s">
        <v>61</v>
      </c>
      <c r="C75" s="1" t="s">
        <v>17</v>
      </c>
      <c r="D75" s="1">
        <v>28.0</v>
      </c>
      <c r="E75" s="1">
        <v>20.0</v>
      </c>
      <c r="F75" s="1">
        <v>1.0</v>
      </c>
      <c r="G75" s="1">
        <v>11.0</v>
      </c>
      <c r="H75" s="1" t="s">
        <v>27</v>
      </c>
      <c r="I75" s="2">
        <v>45669.0</v>
      </c>
      <c r="J75" s="1">
        <v>3200000.0</v>
      </c>
      <c r="K75" s="2">
        <v>45658.0</v>
      </c>
    </row>
    <row r="76" hidden="1">
      <c r="A76" s="1" t="s">
        <v>25</v>
      </c>
      <c r="B76" s="1" t="s">
        <v>26</v>
      </c>
      <c r="C76" s="1" t="s">
        <v>17</v>
      </c>
      <c r="D76" s="1">
        <v>42.0</v>
      </c>
      <c r="E76" s="1">
        <v>25.0</v>
      </c>
      <c r="F76" s="1">
        <v>4.0</v>
      </c>
      <c r="G76" s="1">
        <v>19.0</v>
      </c>
      <c r="H76" s="1" t="s">
        <v>27</v>
      </c>
      <c r="I76" s="2">
        <v>45881.0</v>
      </c>
      <c r="J76" s="1">
        <v>4500000.0</v>
      </c>
      <c r="K76" s="2">
        <v>45870.0</v>
      </c>
    </row>
    <row r="77" hidden="1">
      <c r="A77" s="1" t="s">
        <v>51</v>
      </c>
      <c r="B77" s="1" t="s">
        <v>52</v>
      </c>
      <c r="C77" s="1" t="s">
        <v>36</v>
      </c>
      <c r="D77" s="1">
        <v>18.0</v>
      </c>
      <c r="E77" s="1">
        <v>60.0</v>
      </c>
      <c r="F77" s="1">
        <v>8.0</v>
      </c>
      <c r="G77" s="1">
        <v>5.0</v>
      </c>
      <c r="H77" s="1" t="s">
        <v>50</v>
      </c>
      <c r="I77" s="2">
        <v>45712.0</v>
      </c>
      <c r="K77" s="2">
        <v>45689.0</v>
      </c>
    </row>
    <row r="78" hidden="1">
      <c r="A78" s="1" t="s">
        <v>19</v>
      </c>
      <c r="B78" s="1" t="s">
        <v>20</v>
      </c>
      <c r="C78" s="1" t="s">
        <v>17</v>
      </c>
      <c r="D78" s="1">
        <v>17.0</v>
      </c>
      <c r="E78" s="1">
        <v>30.0</v>
      </c>
      <c r="F78" s="1">
        <v>6.0</v>
      </c>
      <c r="G78" s="1">
        <v>8.0</v>
      </c>
      <c r="H78" s="1" t="s">
        <v>18</v>
      </c>
      <c r="I78" s="2">
        <v>45996.0</v>
      </c>
      <c r="J78" s="1">
        <v>1200000.0</v>
      </c>
      <c r="K78" s="2">
        <v>45992.0</v>
      </c>
    </row>
    <row r="79" hidden="1">
      <c r="A79" s="1" t="s">
        <v>11</v>
      </c>
      <c r="B79" s="1" t="s">
        <v>12</v>
      </c>
      <c r="C79" s="1" t="s">
        <v>13</v>
      </c>
      <c r="D79" s="1">
        <v>238.0</v>
      </c>
      <c r="E79" s="1">
        <v>50.0</v>
      </c>
      <c r="F79" s="1">
        <v>2.0</v>
      </c>
      <c r="G79" s="1">
        <v>7.0</v>
      </c>
      <c r="H79" s="1" t="s">
        <v>14</v>
      </c>
      <c r="I79" s="2">
        <v>45671.0</v>
      </c>
      <c r="J79" s="1">
        <v>125000.0</v>
      </c>
      <c r="K79" s="2">
        <v>45658.0</v>
      </c>
    </row>
    <row r="80" hidden="1">
      <c r="A80" s="1" t="s">
        <v>46</v>
      </c>
      <c r="B80" s="1" t="s">
        <v>47</v>
      </c>
      <c r="C80" s="1" t="s">
        <v>23</v>
      </c>
      <c r="D80" s="1">
        <v>0.0</v>
      </c>
      <c r="E80" s="1">
        <v>40.0</v>
      </c>
      <c r="F80" s="1">
        <v>10.0</v>
      </c>
      <c r="G80" s="1">
        <v>7.0</v>
      </c>
      <c r="H80" s="1" t="s">
        <v>30</v>
      </c>
      <c r="I80" s="2">
        <v>46109.0</v>
      </c>
      <c r="J80" s="1">
        <v>550000.0</v>
      </c>
      <c r="K80" s="2">
        <v>46082.0</v>
      </c>
    </row>
    <row r="81" hidden="1">
      <c r="A81" s="1" t="s">
        <v>34</v>
      </c>
      <c r="B81" s="1" t="s">
        <v>35</v>
      </c>
      <c r="C81" s="1" t="s">
        <v>36</v>
      </c>
      <c r="E81" s="1">
        <v>80.0</v>
      </c>
      <c r="F81" s="1">
        <v>11.0</v>
      </c>
      <c r="G81" s="1">
        <v>4.0</v>
      </c>
      <c r="H81" s="1" t="s">
        <v>37</v>
      </c>
      <c r="I81" s="2">
        <v>45766.0</v>
      </c>
      <c r="J81" s="1">
        <v>65000.0</v>
      </c>
      <c r="K81" s="2">
        <v>45748.0</v>
      </c>
    </row>
    <row r="82" hidden="1">
      <c r="A82" s="1" t="s">
        <v>55</v>
      </c>
      <c r="B82" s="1" t="s">
        <v>56</v>
      </c>
      <c r="C82" s="1" t="s">
        <v>36</v>
      </c>
      <c r="D82" s="1">
        <v>26.0</v>
      </c>
      <c r="E82" s="1">
        <v>100.0</v>
      </c>
      <c r="F82" s="1">
        <v>16.0</v>
      </c>
      <c r="G82" s="1">
        <v>4.0</v>
      </c>
      <c r="H82" s="1" t="s">
        <v>37</v>
      </c>
      <c r="I82" s="2">
        <v>45778.0</v>
      </c>
      <c r="J82" s="1">
        <v>85000.0</v>
      </c>
      <c r="K82" s="2">
        <v>45778.0</v>
      </c>
    </row>
    <row r="83" hidden="1">
      <c r="A83" s="1" t="s">
        <v>62</v>
      </c>
      <c r="B83" s="1" t="s">
        <v>63</v>
      </c>
      <c r="C83" s="1" t="s">
        <v>13</v>
      </c>
      <c r="D83" s="1">
        <v>301.0</v>
      </c>
      <c r="E83" s="1">
        <v>80.0</v>
      </c>
      <c r="F83" s="1">
        <v>3.0</v>
      </c>
      <c r="G83" s="1">
        <v>4.0</v>
      </c>
      <c r="H83" s="1" t="s">
        <v>33</v>
      </c>
      <c r="I83" s="2">
        <v>45936.0</v>
      </c>
      <c r="J83" s="1">
        <v>85000.0</v>
      </c>
      <c r="K83" s="2">
        <v>45931.0</v>
      </c>
    </row>
    <row r="84" hidden="1">
      <c r="A84" s="1" t="s">
        <v>57</v>
      </c>
      <c r="B84" s="1" t="s">
        <v>58</v>
      </c>
      <c r="C84" s="1" t="s">
        <v>42</v>
      </c>
      <c r="D84" s="1">
        <v>19.0</v>
      </c>
      <c r="E84" s="1">
        <v>25.0</v>
      </c>
      <c r="F84" s="1">
        <v>4.0</v>
      </c>
      <c r="G84" s="1">
        <v>10.0</v>
      </c>
      <c r="H84" s="1" t="s">
        <v>59</v>
      </c>
      <c r="I84" s="2">
        <v>45729.0</v>
      </c>
      <c r="J84" s="1">
        <v>450000.0</v>
      </c>
      <c r="K84" s="2">
        <v>45717.0</v>
      </c>
    </row>
    <row r="85" hidden="1">
      <c r="A85" s="1" t="s">
        <v>44</v>
      </c>
      <c r="B85" s="1" t="s">
        <v>45</v>
      </c>
      <c r="C85" s="1" t="s">
        <v>42</v>
      </c>
      <c r="D85" s="1">
        <v>51.0</v>
      </c>
      <c r="E85" s="1">
        <v>30.0</v>
      </c>
      <c r="F85" s="1">
        <v>6.0</v>
      </c>
      <c r="G85" s="1">
        <v>9.0</v>
      </c>
      <c r="H85" s="1" t="s">
        <v>43</v>
      </c>
      <c r="I85" s="2">
        <v>45752.0</v>
      </c>
      <c r="J85" s="1">
        <v>350000.0</v>
      </c>
      <c r="K85" s="2">
        <v>45748.0</v>
      </c>
    </row>
    <row r="86" hidden="1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</row>
    <row r="87" hidden="1">
      <c r="A87" s="1" t="s">
        <v>53</v>
      </c>
      <c r="B87" s="1" t="s">
        <v>54</v>
      </c>
      <c r="C87" s="1" t="s">
        <v>13</v>
      </c>
      <c r="D87" s="1">
        <v>223.0</v>
      </c>
      <c r="E87" s="1">
        <v>60.0</v>
      </c>
      <c r="F87" s="1">
        <v>4.0</v>
      </c>
      <c r="G87" s="1">
        <v>8.0</v>
      </c>
      <c r="H87" s="1" t="s">
        <v>14</v>
      </c>
      <c r="I87" s="2">
        <v>46108.0</v>
      </c>
      <c r="J87" s="1">
        <v>165000.0</v>
      </c>
      <c r="K87" s="2">
        <v>46082.0</v>
      </c>
    </row>
    <row r="88" hidden="1">
      <c r="A88" s="1" t="s">
        <v>21</v>
      </c>
      <c r="B88" s="1" t="s">
        <v>22</v>
      </c>
      <c r="C88" s="1" t="s">
        <v>23</v>
      </c>
      <c r="D88" s="1">
        <v>34.0</v>
      </c>
      <c r="E88" s="1">
        <v>50.0</v>
      </c>
      <c r="F88" s="1">
        <v>6.0</v>
      </c>
      <c r="G88" s="1">
        <v>6.0</v>
      </c>
      <c r="H88" s="1" t="s">
        <v>24</v>
      </c>
      <c r="I88" s="2">
        <v>45849.0</v>
      </c>
      <c r="J88" s="1">
        <v>350000.0</v>
      </c>
      <c r="K88" s="2">
        <v>45839.0</v>
      </c>
    </row>
    <row r="89" hidden="1">
      <c r="A89" s="1" t="s">
        <v>46</v>
      </c>
      <c r="B89" s="1" t="s">
        <v>47</v>
      </c>
      <c r="C89" s="1" t="s">
        <v>23</v>
      </c>
      <c r="D89" s="1">
        <v>10.0</v>
      </c>
      <c r="E89" s="1">
        <v>40.0</v>
      </c>
      <c r="F89" s="1">
        <v>4.0</v>
      </c>
      <c r="G89" s="1">
        <v>3.0</v>
      </c>
      <c r="H89" s="1" t="s">
        <v>30</v>
      </c>
      <c r="I89" s="2">
        <v>46055.0</v>
      </c>
      <c r="J89" s="1">
        <v>550000.0</v>
      </c>
      <c r="K89" s="2">
        <v>46054.0</v>
      </c>
    </row>
    <row r="90" hidden="1">
      <c r="A90" s="1" t="s">
        <v>62</v>
      </c>
      <c r="B90" s="1" t="s">
        <v>63</v>
      </c>
      <c r="C90" s="1" t="s">
        <v>13</v>
      </c>
      <c r="D90" s="1">
        <v>436.0</v>
      </c>
      <c r="E90" s="1">
        <v>80.0</v>
      </c>
      <c r="F90" s="1">
        <v>4.0</v>
      </c>
      <c r="G90" s="1">
        <v>4.0</v>
      </c>
      <c r="H90" s="1" t="s">
        <v>33</v>
      </c>
      <c r="I90" s="2">
        <v>45755.0</v>
      </c>
      <c r="J90" s="1">
        <v>85000.0</v>
      </c>
      <c r="K90" s="2">
        <v>45748.0</v>
      </c>
    </row>
    <row r="91" hidden="1">
      <c r="A91" s="1" t="s">
        <v>25</v>
      </c>
      <c r="B91" s="1" t="s">
        <v>26</v>
      </c>
      <c r="C91" s="1" t="s">
        <v>17</v>
      </c>
      <c r="D91" s="1">
        <v>0.0</v>
      </c>
      <c r="E91" s="1">
        <v>25.0</v>
      </c>
      <c r="F91" s="1">
        <v>8.0</v>
      </c>
      <c r="G91" s="1">
        <v>10.0</v>
      </c>
      <c r="H91" s="1" t="s">
        <v>27</v>
      </c>
      <c r="I91" s="2">
        <v>46013.0</v>
      </c>
      <c r="J91" s="1">
        <v>4500000.0</v>
      </c>
      <c r="K91" s="2">
        <v>45992.0</v>
      </c>
    </row>
    <row r="92" hidden="1">
      <c r="A92" s="1" t="s">
        <v>25</v>
      </c>
      <c r="B92" s="1" t="s">
        <v>26</v>
      </c>
      <c r="C92" s="1" t="s">
        <v>17</v>
      </c>
      <c r="D92" s="1">
        <v>20.0</v>
      </c>
      <c r="E92" s="1">
        <v>25.0</v>
      </c>
      <c r="F92" s="1">
        <v>4.0</v>
      </c>
      <c r="G92" s="1">
        <v>19.0</v>
      </c>
      <c r="H92" s="1" t="s">
        <v>27</v>
      </c>
      <c r="I92" s="2">
        <v>45786.0</v>
      </c>
      <c r="J92" s="1">
        <v>4500000.0</v>
      </c>
      <c r="K92" s="2">
        <v>45778.0</v>
      </c>
    </row>
    <row r="93" hidden="1">
      <c r="A93" s="1" t="s">
        <v>57</v>
      </c>
      <c r="B93" s="1" t="s">
        <v>58</v>
      </c>
      <c r="C93" s="1" t="s">
        <v>42</v>
      </c>
      <c r="D93" s="1">
        <v>42.0</v>
      </c>
      <c r="E93" s="1">
        <v>25.0</v>
      </c>
      <c r="F93" s="1">
        <v>4.0</v>
      </c>
      <c r="G93" s="1">
        <v>8.0</v>
      </c>
      <c r="H93" s="1" t="s">
        <v>59</v>
      </c>
      <c r="I93" s="2">
        <v>46029.0</v>
      </c>
      <c r="J93" s="1">
        <v>450000.0</v>
      </c>
      <c r="K93" s="2">
        <v>46023.0</v>
      </c>
    </row>
    <row r="94" hidden="1">
      <c r="A94" s="1" t="s">
        <v>28</v>
      </c>
      <c r="B94" s="1" t="s">
        <v>29</v>
      </c>
      <c r="C94" s="1" t="s">
        <v>23</v>
      </c>
      <c r="D94" s="1">
        <v>0.0</v>
      </c>
      <c r="E94" s="1">
        <v>35.0</v>
      </c>
      <c r="F94" s="1">
        <v>12.0</v>
      </c>
      <c r="G94" s="1">
        <v>9.0</v>
      </c>
      <c r="H94" s="1" t="s">
        <v>30</v>
      </c>
      <c r="I94" s="2">
        <v>45746.0</v>
      </c>
      <c r="J94" s="1">
        <v>1250000.0</v>
      </c>
      <c r="K94" s="2">
        <v>45717.0</v>
      </c>
    </row>
    <row r="95" hidden="1">
      <c r="A95" s="1" t="s">
        <v>38</v>
      </c>
      <c r="B95" s="1" t="s">
        <v>39</v>
      </c>
      <c r="C95" s="1" t="s">
        <v>23</v>
      </c>
      <c r="D95" s="1">
        <v>34.0</v>
      </c>
      <c r="E95" s="1">
        <v>45.0</v>
      </c>
      <c r="F95" s="1">
        <v>5.0</v>
      </c>
      <c r="G95" s="1">
        <v>4.0</v>
      </c>
      <c r="H95" s="1" t="s">
        <v>24</v>
      </c>
      <c r="I95" s="2">
        <v>45801.0</v>
      </c>
      <c r="J95" s="1">
        <v>450000.0</v>
      </c>
      <c r="K95" s="2">
        <v>45778.0</v>
      </c>
    </row>
    <row r="96" hidden="1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10.0</v>
      </c>
      <c r="G96" s="1">
        <v>7.0</v>
      </c>
      <c r="H96" s="1" t="s">
        <v>30</v>
      </c>
      <c r="I96" s="2">
        <v>46008.0</v>
      </c>
      <c r="J96" s="1">
        <v>1250000.0</v>
      </c>
      <c r="K96" s="2">
        <v>45992.0</v>
      </c>
    </row>
    <row r="97" hidden="1">
      <c r="A97" s="1" t="s">
        <v>31</v>
      </c>
      <c r="B97" s="1" t="s">
        <v>32</v>
      </c>
      <c r="C97" s="1" t="s">
        <v>13</v>
      </c>
      <c r="D97" s="1">
        <v>169.0</v>
      </c>
      <c r="E97" s="1">
        <v>40.0</v>
      </c>
      <c r="F97" s="1">
        <v>3.0</v>
      </c>
      <c r="G97" s="1">
        <v>4.0</v>
      </c>
      <c r="H97" s="1" t="s">
        <v>33</v>
      </c>
      <c r="I97" s="2">
        <v>46074.0</v>
      </c>
      <c r="J97" s="1">
        <v>550000.0</v>
      </c>
      <c r="K97" s="2">
        <v>46054.0</v>
      </c>
    </row>
    <row r="98" hidden="1">
      <c r="A98" s="1" t="s">
        <v>21</v>
      </c>
      <c r="B98" s="1" t="s">
        <v>22</v>
      </c>
      <c r="C98" s="1" t="s">
        <v>23</v>
      </c>
      <c r="D98" s="1">
        <v>15.0</v>
      </c>
      <c r="E98" s="1">
        <v>50.0</v>
      </c>
      <c r="F98" s="1">
        <v>7.0</v>
      </c>
      <c r="G98" s="1">
        <v>7.0</v>
      </c>
      <c r="H98" s="1" t="s">
        <v>24</v>
      </c>
      <c r="I98" s="2">
        <v>46032.0</v>
      </c>
      <c r="J98" s="1">
        <v>350000.0</v>
      </c>
      <c r="K98" s="2">
        <v>46023.0</v>
      </c>
    </row>
    <row r="99" hidden="1">
      <c r="A99" s="1" t="s">
        <v>48</v>
      </c>
      <c r="B99" s="1" t="s">
        <v>49</v>
      </c>
      <c r="C99" s="1" t="s">
        <v>36</v>
      </c>
      <c r="D99" s="1">
        <v>48.0</v>
      </c>
      <c r="E99" s="1">
        <v>120.0</v>
      </c>
      <c r="F99" s="1">
        <v>18.0</v>
      </c>
      <c r="G99" s="1">
        <v>6.0</v>
      </c>
      <c r="H99" s="1" t="s">
        <v>50</v>
      </c>
      <c r="I99" s="2">
        <v>46074.0</v>
      </c>
      <c r="J99" s="1">
        <v>55000.0</v>
      </c>
      <c r="K99" s="2">
        <v>46054.0</v>
      </c>
    </row>
    <row r="100" hidden="1">
      <c r="A100" s="1" t="s">
        <v>25</v>
      </c>
      <c r="B100" s="1" t="s">
        <v>26</v>
      </c>
      <c r="C100" s="1" t="s">
        <v>17</v>
      </c>
      <c r="D100" s="1">
        <v>0.0</v>
      </c>
      <c r="E100" s="1">
        <v>25.0</v>
      </c>
      <c r="F100" s="1">
        <v>3.0</v>
      </c>
      <c r="G100" s="1">
        <v>18.0</v>
      </c>
      <c r="H100" s="1" t="s">
        <v>27</v>
      </c>
      <c r="I100" s="2">
        <v>45663.0</v>
      </c>
      <c r="J100" s="1">
        <v>4500000.0</v>
      </c>
      <c r="K100" s="2">
        <v>45658.0</v>
      </c>
    </row>
    <row r="101" hidden="1">
      <c r="A101" s="1" t="s">
        <v>15</v>
      </c>
      <c r="B101" s="1" t="s">
        <v>16</v>
      </c>
      <c r="C101" s="1" t="s">
        <v>17</v>
      </c>
      <c r="D101" s="1">
        <v>0.0</v>
      </c>
      <c r="E101" s="1">
        <v>15.0</v>
      </c>
      <c r="F101" s="1">
        <v>3.0</v>
      </c>
      <c r="G101" s="1">
        <v>8.0</v>
      </c>
      <c r="H101" s="1" t="s">
        <v>18</v>
      </c>
      <c r="I101" s="2">
        <v>45979.0</v>
      </c>
      <c r="J101" s="1">
        <v>8500000.0</v>
      </c>
      <c r="K101" s="2">
        <v>45962.0</v>
      </c>
    </row>
    <row r="102" hidden="1">
      <c r="A102" s="1" t="s">
        <v>44</v>
      </c>
      <c r="B102" s="1" t="s">
        <v>45</v>
      </c>
      <c r="C102" s="1" t="s">
        <v>42</v>
      </c>
      <c r="D102" s="1">
        <v>53.0</v>
      </c>
      <c r="E102" s="1">
        <v>30.0</v>
      </c>
      <c r="F102" s="1">
        <v>5.0</v>
      </c>
      <c r="G102" s="1">
        <v>4.0</v>
      </c>
      <c r="H102" s="1" t="s">
        <v>43</v>
      </c>
      <c r="I102" s="2">
        <v>45730.0</v>
      </c>
      <c r="J102" s="1">
        <v>350000.0</v>
      </c>
      <c r="K102" s="2">
        <v>45717.0</v>
      </c>
    </row>
    <row r="103" hidden="1">
      <c r="A103" s="1" t="s">
        <v>40</v>
      </c>
      <c r="B103" s="1" t="s">
        <v>41</v>
      </c>
      <c r="C103" s="1" t="s">
        <v>42</v>
      </c>
      <c r="D103" s="1">
        <v>12.0</v>
      </c>
      <c r="E103" s="1">
        <v>15.0</v>
      </c>
      <c r="F103" s="1">
        <v>4.0</v>
      </c>
      <c r="G103" s="1">
        <v>10.0</v>
      </c>
      <c r="H103" s="1" t="s">
        <v>43</v>
      </c>
      <c r="I103" s="2">
        <v>45717.0</v>
      </c>
      <c r="J103" s="1">
        <v>1200000.0</v>
      </c>
      <c r="K103" s="2">
        <v>45717.0</v>
      </c>
    </row>
    <row r="104" hidden="1">
      <c r="A104" s="1" t="s">
        <v>28</v>
      </c>
      <c r="B104" s="1" t="s">
        <v>29</v>
      </c>
      <c r="C104" s="1" t="s">
        <v>23</v>
      </c>
      <c r="D104" s="1">
        <v>31.0</v>
      </c>
      <c r="E104" s="1">
        <v>35.0</v>
      </c>
      <c r="F104" s="1">
        <v>3.0</v>
      </c>
      <c r="G104" s="1">
        <v>6.0</v>
      </c>
      <c r="H104" s="1" t="s">
        <v>30</v>
      </c>
      <c r="I104" s="2">
        <v>45891.0</v>
      </c>
      <c r="J104" s="1">
        <v>1250000.0</v>
      </c>
      <c r="K104" s="2">
        <v>45870.0</v>
      </c>
    </row>
    <row r="105" hidden="1">
      <c r="A105" s="1" t="s">
        <v>21</v>
      </c>
      <c r="B105" s="1" t="s">
        <v>22</v>
      </c>
      <c r="C105" s="1" t="s">
        <v>23</v>
      </c>
      <c r="D105" s="1">
        <v>21.0</v>
      </c>
      <c r="E105" s="1">
        <v>50.0</v>
      </c>
      <c r="F105" s="1">
        <v>7.0</v>
      </c>
      <c r="G105" s="1">
        <v>3.0</v>
      </c>
      <c r="H105" s="1" t="s">
        <v>24</v>
      </c>
      <c r="I105" s="2">
        <v>45918.0</v>
      </c>
      <c r="J105" s="1">
        <v>350000.0</v>
      </c>
      <c r="K105" s="2">
        <v>45901.0</v>
      </c>
    </row>
    <row r="106" hidden="1">
      <c r="A106" s="1" t="s">
        <v>11</v>
      </c>
      <c r="B106" s="1" t="s">
        <v>12</v>
      </c>
      <c r="C106" s="1" t="s">
        <v>13</v>
      </c>
      <c r="D106" s="1">
        <v>250.0</v>
      </c>
      <c r="E106" s="1">
        <v>50.0</v>
      </c>
      <c r="F106" s="1">
        <v>1.0</v>
      </c>
      <c r="G106" s="1">
        <v>7.0</v>
      </c>
      <c r="H106" s="1" t="s">
        <v>14</v>
      </c>
      <c r="I106" s="2">
        <v>46050.0</v>
      </c>
      <c r="J106" s="1">
        <v>125000.0</v>
      </c>
      <c r="K106" s="2">
        <v>46023.0</v>
      </c>
    </row>
    <row r="107">
      <c r="A107" s="1" t="s">
        <v>60</v>
      </c>
      <c r="B107" s="1" t="s">
        <v>61</v>
      </c>
      <c r="C107" s="1" t="s">
        <v>17</v>
      </c>
      <c r="D107" s="1">
        <v>-19.0</v>
      </c>
      <c r="E107" s="1">
        <v>20.0</v>
      </c>
      <c r="F107" s="1">
        <v>2.0</v>
      </c>
      <c r="G107" s="1">
        <v>18.0</v>
      </c>
      <c r="H107" s="1" t="s">
        <v>27</v>
      </c>
      <c r="I107" s="2">
        <v>45884.0</v>
      </c>
      <c r="J107" s="1">
        <v>3200000.0</v>
      </c>
      <c r="K107" s="2">
        <v>45870.0</v>
      </c>
    </row>
    <row r="108" hidden="1">
      <c r="A108" s="1" t="s">
        <v>25</v>
      </c>
      <c r="B108" s="1" t="s">
        <v>26</v>
      </c>
      <c r="C108" s="1" t="s">
        <v>17</v>
      </c>
      <c r="D108" s="1">
        <v>32.0</v>
      </c>
      <c r="E108" s="1">
        <v>25.0</v>
      </c>
      <c r="F108" s="1">
        <v>4.0</v>
      </c>
      <c r="G108" s="1">
        <v>9.0</v>
      </c>
      <c r="H108" s="1" t="s">
        <v>27</v>
      </c>
      <c r="I108" s="2">
        <v>45708.0</v>
      </c>
      <c r="J108" s="1">
        <v>4500000.0</v>
      </c>
      <c r="K108" s="2">
        <v>45689.0</v>
      </c>
    </row>
    <row r="109">
      <c r="A109" s="1" t="s">
        <v>19</v>
      </c>
      <c r="B109" s="1" t="s">
        <v>20</v>
      </c>
      <c r="C109" s="1" t="s">
        <v>17</v>
      </c>
      <c r="D109" s="1">
        <v>-12.0</v>
      </c>
      <c r="E109" s="1">
        <v>30.0</v>
      </c>
      <c r="F109" s="1">
        <v>6.0</v>
      </c>
      <c r="G109" s="1">
        <v>7.0</v>
      </c>
      <c r="H109" s="1" t="s">
        <v>18</v>
      </c>
      <c r="I109" s="2">
        <v>45975.0</v>
      </c>
      <c r="J109" s="1">
        <v>1200000.0</v>
      </c>
      <c r="K109" s="2">
        <v>45962.0</v>
      </c>
    </row>
    <row r="110" hidden="1">
      <c r="A110" s="1" t="s">
        <v>40</v>
      </c>
      <c r="B110" s="1" t="s">
        <v>41</v>
      </c>
      <c r="C110" s="1" t="s">
        <v>42</v>
      </c>
      <c r="D110" s="1">
        <v>3.0</v>
      </c>
      <c r="E110" s="1">
        <v>15.0</v>
      </c>
      <c r="F110" s="1">
        <v>3.0</v>
      </c>
      <c r="G110" s="1">
        <v>8.0</v>
      </c>
      <c r="H110" s="1" t="s">
        <v>43</v>
      </c>
      <c r="I110" s="2">
        <v>45815.0</v>
      </c>
      <c r="J110" s="1">
        <v>1200000.0</v>
      </c>
      <c r="K110" s="2">
        <v>45809.0</v>
      </c>
    </row>
    <row r="111" hidden="1">
      <c r="A111" s="1" t="s">
        <v>51</v>
      </c>
      <c r="B111" s="1" t="s">
        <v>52</v>
      </c>
      <c r="C111" s="1" t="s">
        <v>36</v>
      </c>
      <c r="D111" s="1">
        <v>0.0</v>
      </c>
      <c r="E111" s="1">
        <v>60.0</v>
      </c>
      <c r="F111" s="1">
        <v>13.0</v>
      </c>
      <c r="G111" s="1">
        <v>4.0</v>
      </c>
      <c r="H111" s="1" t="s">
        <v>50</v>
      </c>
      <c r="I111" s="2">
        <v>46004.0</v>
      </c>
      <c r="J111" s="1">
        <v>175000.0</v>
      </c>
      <c r="K111" s="2">
        <v>45992.0</v>
      </c>
    </row>
    <row r="112" hidden="1">
      <c r="A112" s="1" t="s">
        <v>21</v>
      </c>
      <c r="B112" s="1" t="s">
        <v>22</v>
      </c>
      <c r="C112" s="1" t="s">
        <v>23</v>
      </c>
      <c r="D112" s="1">
        <v>26.0</v>
      </c>
      <c r="E112" s="1">
        <v>50.0</v>
      </c>
      <c r="F112" s="1">
        <v>8.0</v>
      </c>
      <c r="G112" s="1">
        <v>3.0</v>
      </c>
      <c r="H112" s="1" t="s">
        <v>24</v>
      </c>
      <c r="I112" s="2">
        <v>45884.0</v>
      </c>
      <c r="J112" s="1">
        <v>350000.0</v>
      </c>
      <c r="K112" s="2">
        <v>45870.0</v>
      </c>
    </row>
    <row r="113" hidden="1">
      <c r="A113" s="1" t="s">
        <v>46</v>
      </c>
      <c r="B113" s="1" t="s">
        <v>47</v>
      </c>
      <c r="C113" s="1" t="s">
        <v>23</v>
      </c>
      <c r="D113" s="1">
        <v>32.0</v>
      </c>
      <c r="E113" s="1">
        <v>40.0</v>
      </c>
      <c r="F113" s="1">
        <v>5.0</v>
      </c>
      <c r="G113" s="1">
        <v>5.0</v>
      </c>
      <c r="H113" s="1" t="s">
        <v>30</v>
      </c>
      <c r="I113" s="2">
        <v>45915.0</v>
      </c>
      <c r="J113" s="1">
        <v>550000.0</v>
      </c>
      <c r="K113" s="2">
        <v>45901.0</v>
      </c>
    </row>
    <row r="114" hidden="1">
      <c r="A114" s="1" t="s">
        <v>21</v>
      </c>
      <c r="B114" s="1" t="s">
        <v>22</v>
      </c>
      <c r="C114" s="1" t="s">
        <v>23</v>
      </c>
      <c r="D114" s="1">
        <v>28.0</v>
      </c>
      <c r="E114" s="1">
        <v>50.0</v>
      </c>
      <c r="F114" s="1">
        <v>7.0</v>
      </c>
      <c r="G114" s="1">
        <v>7.0</v>
      </c>
      <c r="H114" s="1" t="s">
        <v>24</v>
      </c>
      <c r="I114" s="2">
        <v>45939.0</v>
      </c>
      <c r="J114" s="1">
        <v>350000.0</v>
      </c>
      <c r="K114" s="2">
        <v>45931.0</v>
      </c>
    </row>
    <row r="115" hidden="1">
      <c r="A115" s="1" t="s">
        <v>60</v>
      </c>
      <c r="B115" s="1" t="s">
        <v>61</v>
      </c>
      <c r="C115" s="1" t="s">
        <v>17</v>
      </c>
      <c r="D115" s="1">
        <v>0.0</v>
      </c>
      <c r="E115" s="1">
        <v>20.0</v>
      </c>
      <c r="F115" s="1">
        <v>1.0</v>
      </c>
      <c r="G115" s="1">
        <v>23.0</v>
      </c>
      <c r="H115" s="1" t="s">
        <v>27</v>
      </c>
      <c r="I115" s="2">
        <v>45689.0</v>
      </c>
      <c r="J115" s="1">
        <v>3200000.0</v>
      </c>
      <c r="K115" s="2">
        <v>45689.0</v>
      </c>
    </row>
    <row r="116" hidden="1">
      <c r="A116" s="1" t="s">
        <v>31</v>
      </c>
      <c r="B116" s="1" t="s">
        <v>32</v>
      </c>
      <c r="C116" s="1" t="s">
        <v>13</v>
      </c>
      <c r="D116" s="1">
        <v>221.0</v>
      </c>
      <c r="E116" s="1">
        <v>40.0</v>
      </c>
      <c r="F116" s="1">
        <v>2.0</v>
      </c>
      <c r="G116" s="1">
        <v>5.0</v>
      </c>
      <c r="H116" s="1" t="s">
        <v>33</v>
      </c>
      <c r="I116" s="2">
        <v>45791.0</v>
      </c>
      <c r="J116" s="1">
        <v>550000.0</v>
      </c>
      <c r="K116" s="2">
        <v>45778.0</v>
      </c>
    </row>
    <row r="117" hidden="1">
      <c r="A117" s="1" t="s">
        <v>40</v>
      </c>
      <c r="B117" s="1" t="s">
        <v>41</v>
      </c>
      <c r="C117" s="1" t="s">
        <v>42</v>
      </c>
      <c r="D117" s="1">
        <v>22.0</v>
      </c>
      <c r="E117" s="1">
        <v>15.0</v>
      </c>
      <c r="F117" s="1">
        <v>3.0</v>
      </c>
      <c r="G117" s="1">
        <v>4.0</v>
      </c>
      <c r="H117" s="1" t="s">
        <v>43</v>
      </c>
      <c r="I117" s="2">
        <v>45919.0</v>
      </c>
      <c r="J117" s="1">
        <v>1200000.0</v>
      </c>
      <c r="K117" s="2">
        <v>45901.0</v>
      </c>
    </row>
    <row r="118" hidden="1">
      <c r="A118" s="1" t="s">
        <v>11</v>
      </c>
      <c r="B118" s="1" t="s">
        <v>12</v>
      </c>
      <c r="C118" s="1" t="s">
        <v>13</v>
      </c>
      <c r="D118" s="1">
        <v>185.0</v>
      </c>
      <c r="E118" s="1">
        <v>50.0</v>
      </c>
      <c r="F118" s="1">
        <v>2.0</v>
      </c>
      <c r="G118" s="1">
        <v>8.0</v>
      </c>
      <c r="H118" s="1" t="s">
        <v>14</v>
      </c>
      <c r="I118" s="2">
        <v>46078.0</v>
      </c>
      <c r="J118" s="1">
        <v>125000.0</v>
      </c>
      <c r="K118" s="2">
        <v>46054.0</v>
      </c>
    </row>
    <row r="119" hidden="1">
      <c r="A119" s="1" t="s">
        <v>64</v>
      </c>
      <c r="B119" s="1" t="s">
        <v>65</v>
      </c>
      <c r="C119" s="1" t="s">
        <v>42</v>
      </c>
      <c r="D119" s="1">
        <v>32.0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45865.0</v>
      </c>
      <c r="J119" s="1">
        <v>750000.0</v>
      </c>
      <c r="K119" s="2">
        <v>45839.0</v>
      </c>
    </row>
    <row r="120" hidden="1">
      <c r="A120" s="1" t="s">
        <v>25</v>
      </c>
      <c r="B120" s="1" t="s">
        <v>26</v>
      </c>
      <c r="C120" s="1" t="s">
        <v>17</v>
      </c>
      <c r="D120" s="1">
        <v>32.0</v>
      </c>
      <c r="E120" s="1">
        <v>25.0</v>
      </c>
      <c r="F120" s="1">
        <v>3.0</v>
      </c>
      <c r="G120" s="1">
        <v>8.0</v>
      </c>
      <c r="H120" s="1" t="s">
        <v>27</v>
      </c>
      <c r="I120" s="2">
        <v>45755.0</v>
      </c>
      <c r="J120" s="1">
        <v>4500000.0</v>
      </c>
      <c r="K120" s="2">
        <v>45748.0</v>
      </c>
    </row>
    <row r="121" hidden="1">
      <c r="A121" s="1" t="s">
        <v>48</v>
      </c>
      <c r="B121" s="1" t="s">
        <v>49</v>
      </c>
      <c r="C121" s="1" t="s">
        <v>36</v>
      </c>
      <c r="D121" s="1">
        <v>154.0</v>
      </c>
      <c r="E121" s="1">
        <v>120.0</v>
      </c>
      <c r="F121" s="1">
        <v>19.0</v>
      </c>
      <c r="G121" s="1">
        <v>6.0</v>
      </c>
      <c r="H121" s="1" t="s">
        <v>50</v>
      </c>
      <c r="I121" s="2">
        <v>45978.0</v>
      </c>
      <c r="J121" s="1">
        <v>55000.0</v>
      </c>
      <c r="K121" s="2">
        <v>45962.0</v>
      </c>
    </row>
    <row r="122" hidden="1">
      <c r="A122" s="1" t="s">
        <v>28</v>
      </c>
      <c r="B122" s="1" t="s">
        <v>29</v>
      </c>
      <c r="C122" s="1" t="s">
        <v>23</v>
      </c>
      <c r="D122" s="1">
        <v>18.0</v>
      </c>
      <c r="E122" s="1">
        <v>35.0</v>
      </c>
      <c r="F122" s="1">
        <v>7.0</v>
      </c>
      <c r="G122" s="1">
        <v>5.0</v>
      </c>
      <c r="H122" s="1" t="s">
        <v>30</v>
      </c>
      <c r="I122" s="2">
        <v>45859.0</v>
      </c>
      <c r="J122" s="1">
        <v>1250000.0</v>
      </c>
      <c r="K122" s="2">
        <v>45839.0</v>
      </c>
    </row>
    <row r="123" hidden="1">
      <c r="A123" s="1" t="s">
        <v>57</v>
      </c>
      <c r="B123" s="1" t="s">
        <v>58</v>
      </c>
      <c r="C123" s="1" t="s">
        <v>42</v>
      </c>
      <c r="D123" s="1">
        <v>14.0</v>
      </c>
      <c r="E123" s="1">
        <v>25.0</v>
      </c>
      <c r="F123" s="1">
        <v>5.0</v>
      </c>
      <c r="G123" s="1">
        <v>9.0</v>
      </c>
      <c r="H123" s="1" t="s">
        <v>59</v>
      </c>
      <c r="I123" s="2">
        <v>45816.0</v>
      </c>
      <c r="K123" s="2">
        <v>45809.0</v>
      </c>
    </row>
    <row r="124" hidden="1">
      <c r="A124" s="1" t="s">
        <v>44</v>
      </c>
      <c r="B124" s="1" t="s">
        <v>45</v>
      </c>
      <c r="C124" s="1" t="s">
        <v>42</v>
      </c>
      <c r="D124" s="1">
        <v>34.0</v>
      </c>
      <c r="E124" s="1">
        <v>30.0</v>
      </c>
      <c r="F124" s="1">
        <v>5.0</v>
      </c>
      <c r="G124" s="1">
        <v>5.0</v>
      </c>
      <c r="H124" s="1" t="s">
        <v>43</v>
      </c>
      <c r="I124" s="2">
        <v>46007.0</v>
      </c>
      <c r="J124" s="1">
        <v>350000.0</v>
      </c>
      <c r="K124" s="2">
        <v>45992.0</v>
      </c>
    </row>
    <row r="125" hidden="1">
      <c r="A125" s="1" t="s">
        <v>38</v>
      </c>
      <c r="B125" s="1" t="s">
        <v>39</v>
      </c>
      <c r="C125" s="1" t="s">
        <v>23</v>
      </c>
      <c r="D125" s="1">
        <v>0.0</v>
      </c>
      <c r="E125" s="1">
        <v>45.0</v>
      </c>
      <c r="F125" s="1">
        <v>13.0</v>
      </c>
      <c r="G125" s="1">
        <v>7.0</v>
      </c>
      <c r="H125" s="1" t="s">
        <v>24</v>
      </c>
      <c r="I125" s="2">
        <v>46015.0</v>
      </c>
      <c r="J125" s="1">
        <v>450000.0</v>
      </c>
      <c r="K125" s="2">
        <v>45992.0</v>
      </c>
    </row>
    <row r="126" hidden="1">
      <c r="A126" s="1" t="s">
        <v>34</v>
      </c>
      <c r="B126" s="1" t="s">
        <v>35</v>
      </c>
      <c r="C126" s="1" t="s">
        <v>36</v>
      </c>
      <c r="D126" s="1">
        <v>17.0</v>
      </c>
      <c r="E126" s="1">
        <v>80.0</v>
      </c>
      <c r="F126" s="1">
        <v>11.0</v>
      </c>
      <c r="G126" s="1">
        <v>5.0</v>
      </c>
      <c r="H126" s="1" t="s">
        <v>37</v>
      </c>
      <c r="I126" s="2">
        <v>45882.0</v>
      </c>
      <c r="J126" s="1">
        <v>65000.0</v>
      </c>
      <c r="K126" s="2">
        <v>45870.0</v>
      </c>
    </row>
    <row r="127" hidden="1">
      <c r="A127" s="1" t="s">
        <v>51</v>
      </c>
      <c r="B127" s="1" t="s">
        <v>52</v>
      </c>
      <c r="C127" s="1" t="s">
        <v>36</v>
      </c>
      <c r="D127" s="1">
        <v>0.0</v>
      </c>
      <c r="E127" s="1">
        <v>60.0</v>
      </c>
      <c r="F127" s="1">
        <v>14.0</v>
      </c>
      <c r="G127" s="1">
        <v>4.0</v>
      </c>
      <c r="H127" s="1" t="s">
        <v>50</v>
      </c>
      <c r="I127" s="2">
        <v>45741.0</v>
      </c>
      <c r="J127" s="1">
        <v>175000.0</v>
      </c>
      <c r="K127" s="2">
        <v>45717.0</v>
      </c>
    </row>
    <row r="128" hidden="1">
      <c r="A128" s="1" t="s">
        <v>40</v>
      </c>
      <c r="B128" s="1" t="s">
        <v>41</v>
      </c>
      <c r="C128" s="1" t="s">
        <v>42</v>
      </c>
      <c r="D128" s="1">
        <v>13.0</v>
      </c>
      <c r="E128" s="1">
        <v>15.0</v>
      </c>
      <c r="F128" s="1">
        <v>2.0</v>
      </c>
      <c r="G128" s="1">
        <v>7.0</v>
      </c>
      <c r="H128" s="1" t="s">
        <v>43</v>
      </c>
      <c r="I128" s="2">
        <v>45799.0</v>
      </c>
      <c r="J128" s="1">
        <v>1200000.0</v>
      </c>
      <c r="K128" s="2">
        <v>45778.0</v>
      </c>
    </row>
    <row r="129" hidden="1">
      <c r="A129" s="1" t="s">
        <v>34</v>
      </c>
      <c r="B129" s="1" t="s">
        <v>35</v>
      </c>
      <c r="C129" s="1" t="s">
        <v>36</v>
      </c>
      <c r="D129" s="1">
        <v>9.0</v>
      </c>
      <c r="E129" s="1">
        <v>80.0</v>
      </c>
      <c r="F129" s="1">
        <v>11.0</v>
      </c>
      <c r="G129" s="1">
        <v>4.0</v>
      </c>
      <c r="H129" s="1" t="s">
        <v>37</v>
      </c>
      <c r="I129" s="2">
        <v>46077.0</v>
      </c>
      <c r="J129" s="1">
        <v>65000.0</v>
      </c>
      <c r="K129" s="2">
        <v>46054.0</v>
      </c>
    </row>
    <row r="130" hidden="1">
      <c r="A130" s="1" t="s">
        <v>53</v>
      </c>
      <c r="B130" s="1" t="s">
        <v>54</v>
      </c>
      <c r="C130" s="1" t="s">
        <v>13</v>
      </c>
      <c r="D130" s="1">
        <v>202.0</v>
      </c>
      <c r="E130" s="1">
        <v>60.0</v>
      </c>
      <c r="F130" s="1">
        <v>2.0</v>
      </c>
      <c r="G130" s="1">
        <v>4.0</v>
      </c>
      <c r="H130" s="1" t="s">
        <v>14</v>
      </c>
      <c r="I130" s="2">
        <v>46019.0</v>
      </c>
      <c r="J130" s="1">
        <v>165000.0</v>
      </c>
      <c r="K130" s="2">
        <v>45992.0</v>
      </c>
    </row>
    <row r="131" hidden="1">
      <c r="A131" s="1" t="s">
        <v>53</v>
      </c>
      <c r="B131" s="1" t="s">
        <v>54</v>
      </c>
      <c r="C131" s="1" t="s">
        <v>13</v>
      </c>
      <c r="D131" s="1">
        <v>252.0</v>
      </c>
      <c r="E131" s="1">
        <v>60.0</v>
      </c>
      <c r="F131" s="1">
        <v>4.0</v>
      </c>
      <c r="G131" s="1">
        <v>7.0</v>
      </c>
      <c r="H131" s="1" t="s">
        <v>14</v>
      </c>
      <c r="I131" s="2">
        <v>45930.0</v>
      </c>
      <c r="J131" s="1">
        <v>165000.0</v>
      </c>
      <c r="K131" s="2">
        <v>45901.0</v>
      </c>
    </row>
    <row r="132" hidden="1">
      <c r="A132" s="1" t="s">
        <v>64</v>
      </c>
      <c r="B132" s="1" t="s">
        <v>65</v>
      </c>
      <c r="C132" s="1" t="s">
        <v>42</v>
      </c>
      <c r="D132" s="1">
        <v>20.0</v>
      </c>
      <c r="E132" s="1">
        <v>20.0</v>
      </c>
      <c r="F132" s="1">
        <v>2.0</v>
      </c>
      <c r="G132" s="1">
        <v>7.0</v>
      </c>
      <c r="H132" s="1" t="s">
        <v>59</v>
      </c>
      <c r="I132" s="2">
        <v>46027.0</v>
      </c>
      <c r="J132" s="1">
        <v>750000.0</v>
      </c>
      <c r="K132" s="2">
        <v>46023.0</v>
      </c>
    </row>
    <row r="133" hidden="1">
      <c r="A133" s="1" t="s">
        <v>31</v>
      </c>
      <c r="B133" s="1" t="s">
        <v>32</v>
      </c>
      <c r="C133" s="1" t="s">
        <v>13</v>
      </c>
      <c r="D133" s="1">
        <v>153.0</v>
      </c>
      <c r="E133" s="1">
        <v>40.0</v>
      </c>
      <c r="F133" s="1">
        <v>4.0</v>
      </c>
      <c r="G133" s="1">
        <v>5.0</v>
      </c>
      <c r="H133" s="1" t="s">
        <v>33</v>
      </c>
      <c r="I133" s="2">
        <v>46097.0</v>
      </c>
      <c r="J133" s="1">
        <v>550000.0</v>
      </c>
      <c r="K133" s="2">
        <v>46082.0</v>
      </c>
    </row>
    <row r="134" hidden="1">
      <c r="A134" s="1" t="s">
        <v>57</v>
      </c>
      <c r="B134" s="1" t="s">
        <v>58</v>
      </c>
      <c r="C134" s="1" t="s">
        <v>42</v>
      </c>
      <c r="D134" s="1">
        <v>41.0</v>
      </c>
      <c r="E134" s="1">
        <v>25.0</v>
      </c>
      <c r="F134" s="1">
        <v>4.0</v>
      </c>
      <c r="G134" s="1">
        <v>10.0</v>
      </c>
      <c r="H134" s="1" t="s">
        <v>59</v>
      </c>
      <c r="I134" s="2">
        <v>45801.0</v>
      </c>
      <c r="J134" s="1">
        <v>450000.0</v>
      </c>
      <c r="K134" s="2">
        <v>45778.0</v>
      </c>
    </row>
    <row r="135" hidden="1">
      <c r="A135" s="1" t="s">
        <v>62</v>
      </c>
      <c r="B135" s="1" t="s">
        <v>63</v>
      </c>
      <c r="C135" s="1" t="s">
        <v>13</v>
      </c>
      <c r="D135" s="1">
        <v>405.0</v>
      </c>
      <c r="E135" s="1">
        <v>80.0</v>
      </c>
      <c r="G135" s="1">
        <v>5.0</v>
      </c>
      <c r="H135" s="1" t="s">
        <v>33</v>
      </c>
      <c r="I135" s="2">
        <v>45663.0</v>
      </c>
      <c r="J135" s="1">
        <v>85000.0</v>
      </c>
      <c r="K135" s="2">
        <v>45658.0</v>
      </c>
    </row>
    <row r="136" hidden="1">
      <c r="A136" s="1" t="s">
        <v>64</v>
      </c>
      <c r="B136" s="1" t="s">
        <v>65</v>
      </c>
      <c r="C136" s="1" t="s">
        <v>42</v>
      </c>
      <c r="D136" s="1">
        <v>32.0</v>
      </c>
      <c r="E136" s="1">
        <v>20.0</v>
      </c>
      <c r="F136" s="1">
        <v>1.0</v>
      </c>
      <c r="G136" s="1">
        <v>8.0</v>
      </c>
      <c r="H136" s="1" t="s">
        <v>59</v>
      </c>
      <c r="I136" s="2">
        <v>45955.0</v>
      </c>
      <c r="J136" s="1">
        <v>750000.0</v>
      </c>
      <c r="K136" s="2">
        <v>45931.0</v>
      </c>
    </row>
    <row r="137" hidden="1">
      <c r="A137" s="1" t="s">
        <v>60</v>
      </c>
      <c r="B137" s="1" t="s">
        <v>61</v>
      </c>
      <c r="C137" s="1" t="s">
        <v>17</v>
      </c>
      <c r="D137" s="1">
        <v>0.0</v>
      </c>
      <c r="E137" s="1">
        <v>20.0</v>
      </c>
      <c r="F137" s="1">
        <v>3.0</v>
      </c>
      <c r="G137" s="1">
        <v>7.0</v>
      </c>
      <c r="H137" s="1" t="s">
        <v>27</v>
      </c>
      <c r="I137" s="2">
        <v>45919.0</v>
      </c>
      <c r="J137" s="1">
        <v>3200000.0</v>
      </c>
      <c r="K137" s="2">
        <v>45901.0</v>
      </c>
    </row>
    <row r="138" hidden="1">
      <c r="A138" s="1" t="s">
        <v>62</v>
      </c>
      <c r="B138" s="1" t="s">
        <v>63</v>
      </c>
      <c r="C138" s="1" t="s">
        <v>13</v>
      </c>
      <c r="D138" s="1">
        <v>255.0</v>
      </c>
      <c r="E138" s="1">
        <v>80.0</v>
      </c>
      <c r="F138" s="1">
        <v>4.0</v>
      </c>
      <c r="G138" s="1">
        <v>6.0</v>
      </c>
      <c r="H138" s="1" t="s">
        <v>33</v>
      </c>
      <c r="I138" s="2">
        <v>46001.0</v>
      </c>
      <c r="J138" s="1">
        <v>85000.0</v>
      </c>
      <c r="K138" s="2">
        <v>45992.0</v>
      </c>
    </row>
    <row r="139" hidden="1">
      <c r="A139" s="1" t="s">
        <v>31</v>
      </c>
      <c r="B139" s="1" t="s">
        <v>32</v>
      </c>
      <c r="C139" s="1" t="s">
        <v>13</v>
      </c>
      <c r="D139" s="1">
        <v>168.0</v>
      </c>
      <c r="E139" s="1">
        <v>40.0</v>
      </c>
      <c r="F139" s="1">
        <v>3.0</v>
      </c>
      <c r="G139" s="1">
        <v>5.0</v>
      </c>
      <c r="H139" s="1" t="s">
        <v>33</v>
      </c>
      <c r="I139" s="2">
        <v>45709.0</v>
      </c>
      <c r="J139" s="1">
        <v>550000.0</v>
      </c>
      <c r="K139" s="2">
        <v>45689.0</v>
      </c>
    </row>
    <row r="140" hidden="1">
      <c r="A140" s="1" t="s">
        <v>57</v>
      </c>
      <c r="B140" s="1" t="s">
        <v>58</v>
      </c>
      <c r="C140" s="1" t="s">
        <v>42</v>
      </c>
      <c r="D140" s="1">
        <v>58.0</v>
      </c>
      <c r="E140" s="1">
        <v>25.0</v>
      </c>
      <c r="F140" s="1">
        <v>1.0</v>
      </c>
      <c r="G140" s="1">
        <v>10.0</v>
      </c>
      <c r="H140" s="1" t="s">
        <v>59</v>
      </c>
      <c r="I140" s="2">
        <v>45952.0</v>
      </c>
      <c r="J140" s="1">
        <v>450000.0</v>
      </c>
      <c r="K140" s="2">
        <v>45931.0</v>
      </c>
    </row>
    <row r="141" hidden="1">
      <c r="A141" s="1" t="s">
        <v>46</v>
      </c>
      <c r="B141" s="1" t="s">
        <v>47</v>
      </c>
      <c r="C141" s="1" t="s">
        <v>23</v>
      </c>
      <c r="D141" s="1">
        <v>42.0</v>
      </c>
      <c r="E141" s="1">
        <v>40.0</v>
      </c>
      <c r="F141" s="1">
        <v>4.0</v>
      </c>
      <c r="G141" s="1">
        <v>7.0</v>
      </c>
      <c r="H141" s="1" t="s">
        <v>30</v>
      </c>
      <c r="I141" s="2">
        <v>45889.0</v>
      </c>
      <c r="J141" s="1">
        <v>550000.0</v>
      </c>
      <c r="K141" s="2">
        <v>45870.0</v>
      </c>
    </row>
    <row r="142" hidden="1">
      <c r="A142" s="1" t="s">
        <v>44</v>
      </c>
      <c r="B142" s="1" t="s">
        <v>45</v>
      </c>
      <c r="C142" s="1" t="s">
        <v>42</v>
      </c>
      <c r="D142" s="1">
        <v>35.0</v>
      </c>
      <c r="E142" s="1">
        <v>30.0</v>
      </c>
      <c r="F142" s="1">
        <v>5.0</v>
      </c>
      <c r="G142" s="1">
        <v>6.0</v>
      </c>
      <c r="H142" s="1" t="s">
        <v>43</v>
      </c>
      <c r="I142" s="2">
        <v>46048.0</v>
      </c>
      <c r="J142" s="1">
        <v>350000.0</v>
      </c>
      <c r="K142" s="2">
        <v>46023.0</v>
      </c>
    </row>
    <row r="143" hidden="1">
      <c r="A143" s="1" t="s">
        <v>46</v>
      </c>
      <c r="B143" s="1" t="s">
        <v>47</v>
      </c>
      <c r="C143" s="1" t="s">
        <v>23</v>
      </c>
      <c r="D143" s="1">
        <v>36.0</v>
      </c>
      <c r="E143" s="1">
        <v>40.0</v>
      </c>
      <c r="F143" s="1">
        <v>6.0</v>
      </c>
      <c r="G143" s="1">
        <v>4.0</v>
      </c>
      <c r="H143" s="1" t="s">
        <v>30</v>
      </c>
      <c r="I143" s="2">
        <v>46044.0</v>
      </c>
      <c r="J143" s="1">
        <v>550000.0</v>
      </c>
      <c r="K143" s="2">
        <v>46023.0</v>
      </c>
    </row>
    <row r="144" hidden="1">
      <c r="A144" s="1" t="s">
        <v>48</v>
      </c>
      <c r="B144" s="1" t="s">
        <v>49</v>
      </c>
      <c r="C144" s="1" t="s">
        <v>36</v>
      </c>
      <c r="D144" s="1">
        <v>87.0</v>
      </c>
      <c r="E144" s="1">
        <v>120.0</v>
      </c>
      <c r="F144" s="1">
        <v>18.0</v>
      </c>
      <c r="G144" s="1">
        <v>7.0</v>
      </c>
      <c r="H144" s="1" t="s">
        <v>50</v>
      </c>
      <c r="I144" s="2">
        <v>45748.0</v>
      </c>
      <c r="J144" s="1">
        <v>55000.0</v>
      </c>
      <c r="K144" s="2">
        <v>45748.0</v>
      </c>
    </row>
    <row r="145" hidden="1">
      <c r="A145" s="1" t="s">
        <v>51</v>
      </c>
      <c r="B145" s="1" t="s">
        <v>52</v>
      </c>
      <c r="C145" s="1" t="s">
        <v>36</v>
      </c>
      <c r="D145" s="1">
        <v>35.0</v>
      </c>
      <c r="E145" s="1">
        <v>60.0</v>
      </c>
      <c r="F145" s="1">
        <v>6.0</v>
      </c>
      <c r="G145" s="1">
        <v>7.0</v>
      </c>
      <c r="H145" s="1" t="s">
        <v>50</v>
      </c>
      <c r="I145" s="2">
        <v>46221.0</v>
      </c>
      <c r="J145" s="1">
        <v>175000.0</v>
      </c>
      <c r="K145" s="2">
        <v>46023.0</v>
      </c>
    </row>
    <row r="146" hidden="1">
      <c r="A146" s="1" t="s">
        <v>40</v>
      </c>
      <c r="B146" s="1" t="s">
        <v>41</v>
      </c>
      <c r="C146" s="1" t="s">
        <v>42</v>
      </c>
      <c r="D146" s="1">
        <v>32.0</v>
      </c>
      <c r="E146" s="1">
        <v>15.0</v>
      </c>
      <c r="F146" s="1">
        <v>1.0</v>
      </c>
      <c r="G146" s="1">
        <v>8.0</v>
      </c>
      <c r="H146" s="1" t="s">
        <v>43</v>
      </c>
      <c r="I146" s="2">
        <v>46079.0</v>
      </c>
      <c r="J146" s="1">
        <v>1200000.0</v>
      </c>
      <c r="K146" s="2">
        <v>46054.0</v>
      </c>
    </row>
    <row r="147" hidden="1">
      <c r="A147" s="1" t="s">
        <v>31</v>
      </c>
      <c r="B147" s="1" t="s">
        <v>32</v>
      </c>
      <c r="C147" s="1" t="s">
        <v>13</v>
      </c>
      <c r="D147" s="1">
        <v>139.0</v>
      </c>
      <c r="E147" s="1">
        <v>40.0</v>
      </c>
      <c r="F147" s="1">
        <v>2.0</v>
      </c>
      <c r="G147" s="1">
        <v>6.0</v>
      </c>
      <c r="H147" s="1" t="s">
        <v>33</v>
      </c>
      <c r="I147" s="2">
        <v>45845.0</v>
      </c>
      <c r="J147" s="1">
        <v>550000.0</v>
      </c>
      <c r="K147" s="2">
        <v>45839.0</v>
      </c>
    </row>
    <row r="148" hidden="1">
      <c r="A148" s="1" t="s">
        <v>31</v>
      </c>
      <c r="B148" s="1" t="s">
        <v>32</v>
      </c>
      <c r="C148" s="1" t="s">
        <v>13</v>
      </c>
      <c r="D148" s="1">
        <v>169.0</v>
      </c>
      <c r="E148" s="1">
        <v>40.0</v>
      </c>
      <c r="F148" s="1">
        <v>3.0</v>
      </c>
      <c r="G148" s="1">
        <v>4.0</v>
      </c>
      <c r="H148" s="1" t="s">
        <v>33</v>
      </c>
      <c r="I148" s="2">
        <v>46074.0</v>
      </c>
      <c r="J148" s="1">
        <v>550000.0</v>
      </c>
      <c r="K148" s="2">
        <v>46054.0</v>
      </c>
    </row>
    <row r="149" hidden="1">
      <c r="A149" s="1" t="s">
        <v>15</v>
      </c>
      <c r="B149" s="1" t="s">
        <v>16</v>
      </c>
      <c r="C149" s="1" t="s">
        <v>17</v>
      </c>
      <c r="D149" s="1">
        <v>25.0</v>
      </c>
      <c r="E149" s="1">
        <v>15.0</v>
      </c>
      <c r="F149" s="1">
        <v>2.0</v>
      </c>
      <c r="G149" s="1">
        <v>8.0</v>
      </c>
      <c r="H149" s="1" t="s">
        <v>18</v>
      </c>
      <c r="I149" s="2">
        <v>45718.0</v>
      </c>
      <c r="J149" s="1">
        <v>8500000.0</v>
      </c>
      <c r="K149" s="2">
        <v>45717.0</v>
      </c>
    </row>
    <row r="150" hidden="1">
      <c r="A150" s="1" t="s">
        <v>46</v>
      </c>
      <c r="B150" s="1" t="s">
        <v>47</v>
      </c>
      <c r="C150" s="1" t="s">
        <v>23</v>
      </c>
      <c r="D150" s="1">
        <v>0.0</v>
      </c>
      <c r="E150" s="1">
        <v>40.0</v>
      </c>
      <c r="F150" s="1">
        <v>8.0</v>
      </c>
      <c r="G150" s="1">
        <v>8.0</v>
      </c>
      <c r="H150" s="1" t="s">
        <v>30</v>
      </c>
      <c r="I150" s="2">
        <v>45964.0</v>
      </c>
      <c r="J150" s="1">
        <v>550000.0</v>
      </c>
      <c r="K150" s="2">
        <v>45962.0</v>
      </c>
    </row>
    <row r="151" hidden="1">
      <c r="A151" s="1" t="s">
        <v>21</v>
      </c>
      <c r="B151" s="1" t="s">
        <v>22</v>
      </c>
      <c r="C151" s="1" t="s">
        <v>23</v>
      </c>
      <c r="D151" s="1">
        <v>28.0</v>
      </c>
      <c r="E151" s="1">
        <v>50.0</v>
      </c>
      <c r="F151" s="1">
        <v>7.0</v>
      </c>
      <c r="G151" s="1">
        <v>7.0</v>
      </c>
      <c r="H151" s="1" t="s">
        <v>24</v>
      </c>
      <c r="I151" s="2">
        <v>45939.0</v>
      </c>
      <c r="J151" s="1">
        <v>350000.0</v>
      </c>
      <c r="K151" s="2">
        <v>45931.0</v>
      </c>
    </row>
    <row r="152" hidden="1">
      <c r="A152" s="1" t="s">
        <v>11</v>
      </c>
      <c r="B152" s="1" t="s">
        <v>12</v>
      </c>
      <c r="C152" s="1" t="s">
        <v>13</v>
      </c>
      <c r="D152" s="1">
        <v>230.0</v>
      </c>
      <c r="E152" s="1">
        <v>50.0</v>
      </c>
      <c r="F152" s="1">
        <v>1.0</v>
      </c>
      <c r="G152" s="1">
        <v>4.0</v>
      </c>
      <c r="H152" s="1" t="s">
        <v>14</v>
      </c>
      <c r="I152" s="2">
        <v>45939.0</v>
      </c>
      <c r="J152" s="1">
        <v>125000.0</v>
      </c>
      <c r="K152" s="2">
        <v>45931.0</v>
      </c>
    </row>
    <row r="153" hidden="1">
      <c r="A153" s="1" t="s">
        <v>64</v>
      </c>
      <c r="B153" s="1" t="s">
        <v>65</v>
      </c>
      <c r="C153" s="1" t="s">
        <v>42</v>
      </c>
      <c r="D153" s="1">
        <v>27.0</v>
      </c>
      <c r="E153" s="1">
        <v>20.0</v>
      </c>
      <c r="F153" s="1">
        <v>3.0</v>
      </c>
      <c r="G153" s="1">
        <v>9.0</v>
      </c>
      <c r="H153" s="1" t="s">
        <v>59</v>
      </c>
      <c r="I153" s="2">
        <v>45673.0</v>
      </c>
      <c r="J153" s="1">
        <v>750000.0</v>
      </c>
      <c r="K153" s="2">
        <v>45658.0</v>
      </c>
    </row>
    <row r="154" hidden="1">
      <c r="A154" s="1" t="s">
        <v>53</v>
      </c>
      <c r="B154" s="1" t="s">
        <v>54</v>
      </c>
      <c r="C154" s="1" t="s">
        <v>13</v>
      </c>
      <c r="D154" s="1">
        <v>305.0</v>
      </c>
      <c r="E154" s="1">
        <v>60.0</v>
      </c>
      <c r="F154" s="1">
        <v>4.0</v>
      </c>
      <c r="G154" s="1">
        <v>4.0</v>
      </c>
      <c r="H154" s="1" t="s">
        <v>14</v>
      </c>
      <c r="I154" s="2">
        <v>46068.0</v>
      </c>
      <c r="J154" s="1">
        <v>165000.0</v>
      </c>
      <c r="K154" s="2">
        <v>46054.0</v>
      </c>
    </row>
    <row r="155" hidden="1">
      <c r="A155" s="1" t="s">
        <v>34</v>
      </c>
      <c r="B155" s="1" t="s">
        <v>35</v>
      </c>
      <c r="C155" s="1" t="s">
        <v>36</v>
      </c>
      <c r="D155" s="1">
        <v>56.0</v>
      </c>
      <c r="E155" s="1">
        <v>80.0</v>
      </c>
      <c r="F155" s="1">
        <v>18.0</v>
      </c>
      <c r="G155" s="1">
        <v>5.0</v>
      </c>
      <c r="H155" s="1" t="s">
        <v>37</v>
      </c>
      <c r="I155" s="2">
        <v>46110.0</v>
      </c>
      <c r="J155" s="1">
        <v>65000.0</v>
      </c>
      <c r="K155" s="2">
        <v>46082.0</v>
      </c>
    </row>
    <row r="156" hidden="1">
      <c r="A156" s="1" t="s">
        <v>64</v>
      </c>
      <c r="B156" s="1" t="s">
        <v>65</v>
      </c>
      <c r="C156" s="1" t="s">
        <v>42</v>
      </c>
      <c r="D156" s="1">
        <v>42.0</v>
      </c>
      <c r="E156" s="1">
        <v>20.0</v>
      </c>
      <c r="F156" s="1">
        <v>1.0</v>
      </c>
      <c r="G156" s="1">
        <v>10.0</v>
      </c>
      <c r="H156" s="1" t="s">
        <v>59</v>
      </c>
      <c r="I156" s="2">
        <v>45884.0</v>
      </c>
      <c r="J156" s="1">
        <v>750000.0</v>
      </c>
      <c r="K156" s="2">
        <v>45870.0</v>
      </c>
    </row>
    <row r="157" hidden="1">
      <c r="A157" s="1" t="s">
        <v>21</v>
      </c>
      <c r="B157" s="1" t="s">
        <v>22</v>
      </c>
      <c r="C157" s="1" t="s">
        <v>23</v>
      </c>
      <c r="D157" s="1">
        <v>0.0</v>
      </c>
      <c r="E157" s="1">
        <v>50.0</v>
      </c>
      <c r="F157" s="1">
        <v>14.0</v>
      </c>
      <c r="G157" s="1">
        <v>5.0</v>
      </c>
      <c r="H157" s="1" t="s">
        <v>24</v>
      </c>
      <c r="I157" s="2">
        <v>46101.0</v>
      </c>
      <c r="J157" s="1">
        <v>350000.0</v>
      </c>
      <c r="K157" s="2">
        <v>46082.0</v>
      </c>
    </row>
    <row r="158" hidden="1">
      <c r="A158" s="1" t="s">
        <v>25</v>
      </c>
      <c r="B158" s="1" t="s">
        <v>26</v>
      </c>
      <c r="C158" s="1" t="s">
        <v>17</v>
      </c>
      <c r="D158" s="1">
        <v>23.0</v>
      </c>
      <c r="E158" s="1">
        <v>25.0</v>
      </c>
      <c r="F158" s="1">
        <v>6.0</v>
      </c>
      <c r="G158" s="1">
        <v>10.0</v>
      </c>
      <c r="H158" s="1" t="s">
        <v>27</v>
      </c>
      <c r="I158" s="2">
        <v>46109.0</v>
      </c>
      <c r="J158" s="1">
        <v>4500000.0</v>
      </c>
      <c r="K158" s="2">
        <v>46082.0</v>
      </c>
    </row>
    <row r="159" hidden="1">
      <c r="A159" s="1" t="s">
        <v>38</v>
      </c>
      <c r="B159" s="1" t="s">
        <v>39</v>
      </c>
      <c r="C159" s="1" t="s">
        <v>23</v>
      </c>
      <c r="D159" s="1">
        <v>17.0</v>
      </c>
      <c r="E159" s="1">
        <v>45.0</v>
      </c>
      <c r="F159" s="1">
        <v>7.0</v>
      </c>
      <c r="G159" s="1">
        <v>3.0</v>
      </c>
      <c r="H159" s="1" t="s">
        <v>24</v>
      </c>
      <c r="I159" s="2">
        <v>45910.0</v>
      </c>
      <c r="J159" s="1">
        <v>450000.0</v>
      </c>
      <c r="K159" s="2">
        <v>45901.0</v>
      </c>
    </row>
    <row r="160" hidden="1">
      <c r="A160" s="1" t="s">
        <v>48</v>
      </c>
      <c r="B160" s="1" t="s">
        <v>49</v>
      </c>
      <c r="C160" s="1" t="s">
        <v>36</v>
      </c>
      <c r="D160" s="1">
        <v>30.0</v>
      </c>
      <c r="E160" s="1">
        <v>120.0</v>
      </c>
      <c r="F160" s="1">
        <v>18.0</v>
      </c>
      <c r="G160" s="1">
        <v>4.0</v>
      </c>
      <c r="H160" s="1" t="s">
        <v>50</v>
      </c>
      <c r="I160" s="2">
        <v>46053.0</v>
      </c>
      <c r="J160" s="1">
        <v>55000.0</v>
      </c>
      <c r="K160" s="2">
        <v>46023.0</v>
      </c>
    </row>
    <row r="161" hidden="1">
      <c r="A161" s="1" t="s">
        <v>46</v>
      </c>
      <c r="B161" s="1" t="s">
        <v>47</v>
      </c>
      <c r="C161" s="1" t="s">
        <v>23</v>
      </c>
      <c r="D161" s="1">
        <v>0.0</v>
      </c>
      <c r="E161" s="1">
        <v>40.0</v>
      </c>
      <c r="F161" s="1">
        <v>9.0</v>
      </c>
      <c r="G161" s="1">
        <v>8.0</v>
      </c>
      <c r="H161" s="1" t="s">
        <v>30</v>
      </c>
      <c r="I161" s="2">
        <v>45730.0</v>
      </c>
      <c r="J161" s="1">
        <v>550000.0</v>
      </c>
      <c r="K161" s="2">
        <v>45717.0</v>
      </c>
    </row>
    <row r="162" hidden="1">
      <c r="A162" s="1" t="s">
        <v>55</v>
      </c>
      <c r="B162" s="1" t="s">
        <v>56</v>
      </c>
      <c r="C162" s="1" t="s">
        <v>36</v>
      </c>
      <c r="D162" s="1">
        <v>92.0</v>
      </c>
      <c r="E162" s="1">
        <v>100.0</v>
      </c>
      <c r="F162" s="1">
        <v>15.0</v>
      </c>
      <c r="G162" s="1">
        <v>5.0</v>
      </c>
      <c r="H162" s="1" t="s">
        <v>37</v>
      </c>
      <c r="I162" s="2">
        <v>45897.0</v>
      </c>
      <c r="J162" s="1">
        <v>85000.0</v>
      </c>
      <c r="K162" s="2">
        <v>45870.0</v>
      </c>
    </row>
    <row r="163" hidden="1">
      <c r="A163" s="1" t="s">
        <v>48</v>
      </c>
      <c r="B163" s="1" t="s">
        <v>49</v>
      </c>
      <c r="C163" s="1" t="s">
        <v>36</v>
      </c>
      <c r="D163" s="1">
        <v>39.0</v>
      </c>
      <c r="E163" s="1">
        <v>120.0</v>
      </c>
      <c r="F163" s="1">
        <v>19.0</v>
      </c>
      <c r="G163" s="1">
        <v>3.0</v>
      </c>
      <c r="H163" s="1" t="s">
        <v>50</v>
      </c>
      <c r="I163" s="2">
        <v>45936.0</v>
      </c>
      <c r="J163" s="1">
        <v>55000.0</v>
      </c>
      <c r="K163" s="2">
        <v>45931.0</v>
      </c>
    </row>
    <row r="164" hidden="1">
      <c r="A164" s="1" t="s">
        <v>64</v>
      </c>
      <c r="B164" s="1" t="s">
        <v>65</v>
      </c>
      <c r="C164" s="1" t="s">
        <v>42</v>
      </c>
      <c r="D164" s="1">
        <v>29.0</v>
      </c>
      <c r="E164" s="1">
        <v>20.0</v>
      </c>
      <c r="F164" s="1">
        <v>3.0</v>
      </c>
      <c r="G164" s="1">
        <v>9.0</v>
      </c>
      <c r="H164" s="1" t="s">
        <v>59</v>
      </c>
      <c r="I164" s="2">
        <v>46076.0</v>
      </c>
      <c r="J164" s="1">
        <v>750000.0</v>
      </c>
      <c r="K164" s="2">
        <v>46054.0</v>
      </c>
    </row>
    <row r="165" hidden="1">
      <c r="A165" s="1" t="s">
        <v>34</v>
      </c>
      <c r="B165" s="1" t="s">
        <v>35</v>
      </c>
      <c r="C165" s="1" t="s">
        <v>36</v>
      </c>
      <c r="D165" s="1">
        <v>40.0</v>
      </c>
      <c r="E165" s="1">
        <v>80.0</v>
      </c>
      <c r="F165" s="1">
        <v>12.0</v>
      </c>
      <c r="G165" s="1">
        <v>3.0</v>
      </c>
      <c r="H165" s="1" t="s">
        <v>37</v>
      </c>
      <c r="I165" s="2">
        <v>45673.0</v>
      </c>
      <c r="J165" s="1">
        <v>65000.0</v>
      </c>
      <c r="K165" s="2">
        <v>45658.0</v>
      </c>
    </row>
    <row r="166" hidden="1">
      <c r="A166" s="1" t="s">
        <v>11</v>
      </c>
      <c r="B166" s="1" t="s">
        <v>12</v>
      </c>
      <c r="C166" s="1" t="s">
        <v>13</v>
      </c>
      <c r="D166" s="1">
        <v>261.0</v>
      </c>
      <c r="E166" s="1">
        <v>50.0</v>
      </c>
      <c r="F166" s="1">
        <v>2.0</v>
      </c>
      <c r="G166" s="1">
        <v>5.0</v>
      </c>
      <c r="H166" s="1" t="s">
        <v>14</v>
      </c>
      <c r="I166" s="2">
        <v>45787.0</v>
      </c>
      <c r="J166" s="1">
        <v>125000.0</v>
      </c>
      <c r="K166" s="2">
        <v>45778.0</v>
      </c>
    </row>
    <row r="167" hidden="1">
      <c r="A167" s="1" t="s">
        <v>21</v>
      </c>
      <c r="B167" s="1" t="s">
        <v>22</v>
      </c>
      <c r="C167" s="1" t="s">
        <v>23</v>
      </c>
      <c r="D167" s="1">
        <v>42.0</v>
      </c>
      <c r="E167" s="1">
        <v>50.0</v>
      </c>
      <c r="F167" s="1">
        <v>6.0</v>
      </c>
      <c r="G167" s="1">
        <v>4.0</v>
      </c>
      <c r="H167" s="1" t="s">
        <v>24</v>
      </c>
      <c r="I167" s="2">
        <v>45817.0</v>
      </c>
      <c r="J167" s="1">
        <v>350000.0</v>
      </c>
      <c r="K167" s="2">
        <v>45809.0</v>
      </c>
    </row>
    <row r="168" hidden="1">
      <c r="A168" s="1" t="s">
        <v>53</v>
      </c>
      <c r="B168" s="1" t="s">
        <v>54</v>
      </c>
      <c r="C168" s="1" t="s">
        <v>13</v>
      </c>
      <c r="D168" s="1">
        <v>188.0</v>
      </c>
      <c r="E168" s="1">
        <v>60.0</v>
      </c>
      <c r="F168" s="1">
        <v>3.0</v>
      </c>
      <c r="G168" s="1">
        <v>4.0</v>
      </c>
      <c r="H168" s="1" t="s">
        <v>14</v>
      </c>
      <c r="I168" s="2">
        <v>45659.0</v>
      </c>
      <c r="J168" s="1">
        <v>165000.0</v>
      </c>
      <c r="K168" s="2">
        <v>45658.0</v>
      </c>
    </row>
    <row r="169" hidden="1">
      <c r="A169" s="1" t="s">
        <v>38</v>
      </c>
      <c r="B169" s="1" t="s">
        <v>39</v>
      </c>
      <c r="C169" s="1" t="s">
        <v>23</v>
      </c>
      <c r="D169" s="1">
        <v>0.0</v>
      </c>
      <c r="E169" s="1">
        <v>45.0</v>
      </c>
      <c r="F169" s="1">
        <v>12.0</v>
      </c>
      <c r="G169" s="1">
        <v>4.0</v>
      </c>
      <c r="H169" s="1" t="s">
        <v>24</v>
      </c>
      <c r="I169" s="2">
        <v>45983.0</v>
      </c>
      <c r="J169" s="1">
        <v>450000.0</v>
      </c>
      <c r="K169" s="2">
        <v>45962.0</v>
      </c>
    </row>
    <row r="170" hidden="1">
      <c r="A170" s="1" t="s">
        <v>11</v>
      </c>
      <c r="B170" s="1" t="s">
        <v>12</v>
      </c>
      <c r="C170" s="1" t="s">
        <v>13</v>
      </c>
      <c r="D170" s="1">
        <v>252.0</v>
      </c>
      <c r="E170" s="1">
        <v>50.0</v>
      </c>
      <c r="F170" s="1">
        <v>3.0</v>
      </c>
      <c r="G170" s="1">
        <v>7.0</v>
      </c>
      <c r="H170" s="1" t="s">
        <v>14</v>
      </c>
      <c r="I170" s="2">
        <v>45713.0</v>
      </c>
      <c r="J170" s="1">
        <v>125000.0</v>
      </c>
      <c r="K170" s="2">
        <v>45689.0</v>
      </c>
    </row>
    <row r="171" hidden="1">
      <c r="A171" s="1" t="s">
        <v>40</v>
      </c>
      <c r="B171" s="1" t="s">
        <v>41</v>
      </c>
      <c r="C171" s="1" t="s">
        <v>42</v>
      </c>
      <c r="D171" s="1">
        <v>13.0</v>
      </c>
      <c r="E171" s="1">
        <v>15.0</v>
      </c>
      <c r="F171" s="1">
        <v>3.0</v>
      </c>
      <c r="G171" s="1">
        <v>6.0</v>
      </c>
      <c r="H171" s="1" t="s">
        <v>43</v>
      </c>
      <c r="I171" s="2">
        <v>45949.0</v>
      </c>
      <c r="J171" s="1">
        <v>1200000.0</v>
      </c>
      <c r="K171" s="2">
        <v>45931.0</v>
      </c>
    </row>
    <row r="172" hidden="1">
      <c r="A172" s="1" t="s">
        <v>15</v>
      </c>
      <c r="B172" s="1" t="s">
        <v>16</v>
      </c>
      <c r="C172" s="1" t="s">
        <v>17</v>
      </c>
      <c r="D172" s="1">
        <v>28.0</v>
      </c>
      <c r="E172" s="1">
        <v>15.0</v>
      </c>
      <c r="F172" s="1">
        <v>1.0</v>
      </c>
      <c r="G172" s="1">
        <v>7.0</v>
      </c>
      <c r="H172" s="1" t="s">
        <v>18</v>
      </c>
      <c r="I172" s="2">
        <v>46041.0</v>
      </c>
      <c r="J172" s="1">
        <v>8500000.0</v>
      </c>
      <c r="K172" s="2">
        <v>46023.0</v>
      </c>
    </row>
    <row r="173" hidden="1">
      <c r="A173" s="1" t="s">
        <v>60</v>
      </c>
      <c r="B173" s="1" t="s">
        <v>61</v>
      </c>
      <c r="C173" s="1" t="s">
        <v>17</v>
      </c>
      <c r="D173" s="1">
        <v>33.0</v>
      </c>
      <c r="E173" s="1">
        <v>20.0</v>
      </c>
      <c r="F173" s="1">
        <v>1.0</v>
      </c>
      <c r="G173" s="1">
        <v>12.0</v>
      </c>
      <c r="H173" s="1" t="s">
        <v>27</v>
      </c>
      <c r="I173" s="2">
        <v>45817.0</v>
      </c>
      <c r="J173" s="1">
        <v>3200000.0</v>
      </c>
      <c r="K173" s="2">
        <v>45809.0</v>
      </c>
    </row>
    <row r="174" hidden="1">
      <c r="A174" s="1" t="s">
        <v>25</v>
      </c>
      <c r="B174" s="1" t="s">
        <v>26</v>
      </c>
      <c r="C174" s="1" t="s">
        <v>17</v>
      </c>
      <c r="D174" s="1">
        <v>15.0</v>
      </c>
      <c r="E174" s="1">
        <v>25.0</v>
      </c>
      <c r="F174" s="1">
        <v>4.0</v>
      </c>
      <c r="G174" s="1">
        <v>15.0</v>
      </c>
      <c r="H174" s="1" t="s">
        <v>27</v>
      </c>
      <c r="I174" s="2">
        <v>46070.0</v>
      </c>
      <c r="J174" s="1">
        <v>4500000.0</v>
      </c>
      <c r="K174" s="2">
        <v>46054.0</v>
      </c>
    </row>
    <row r="175" hidden="1">
      <c r="A175" s="1" t="s">
        <v>44</v>
      </c>
      <c r="B175" s="1" t="s">
        <v>45</v>
      </c>
      <c r="C175" s="1" t="s">
        <v>42</v>
      </c>
      <c r="D175" s="1">
        <v>39.0</v>
      </c>
      <c r="E175" s="1">
        <v>30.0</v>
      </c>
      <c r="F175" s="1">
        <v>6.0</v>
      </c>
      <c r="G175" s="1">
        <v>10.0</v>
      </c>
      <c r="H175" s="1" t="s">
        <v>43</v>
      </c>
      <c r="I175" s="2">
        <v>45838.0</v>
      </c>
      <c r="J175" s="1">
        <v>350000.0</v>
      </c>
      <c r="K175" s="2">
        <v>45809.0</v>
      </c>
    </row>
    <row r="176" hidden="1">
      <c r="A176" s="1" t="s">
        <v>57</v>
      </c>
      <c r="B176" s="1" t="s">
        <v>58</v>
      </c>
      <c r="C176" s="1" t="s">
        <v>42</v>
      </c>
      <c r="D176" s="1">
        <v>43.0</v>
      </c>
      <c r="E176" s="1">
        <v>25.0</v>
      </c>
      <c r="F176" s="1">
        <v>4.0</v>
      </c>
      <c r="G176" s="1">
        <v>7.0</v>
      </c>
      <c r="H176" s="1" t="s">
        <v>59</v>
      </c>
      <c r="I176" s="2">
        <v>45896.0</v>
      </c>
      <c r="J176" s="1">
        <v>450000.0</v>
      </c>
      <c r="K176" s="2">
        <v>45870.0</v>
      </c>
    </row>
    <row r="177" hidden="1">
      <c r="A177" s="1" t="s">
        <v>62</v>
      </c>
      <c r="B177" s="1" t="s">
        <v>63</v>
      </c>
      <c r="C177" s="1" t="s">
        <v>13</v>
      </c>
      <c r="D177" s="1">
        <v>472.0</v>
      </c>
      <c r="E177" s="1">
        <v>80.0</v>
      </c>
      <c r="F177" s="1">
        <v>3.0</v>
      </c>
      <c r="G177" s="1">
        <v>4.0</v>
      </c>
      <c r="H177" s="1" t="s">
        <v>33</v>
      </c>
      <c r="I177" s="2">
        <v>45900.0</v>
      </c>
      <c r="J177" s="1">
        <v>85000.0</v>
      </c>
      <c r="K177" s="2">
        <v>45870.0</v>
      </c>
    </row>
    <row r="178" hidden="1">
      <c r="A178" s="1" t="s">
        <v>64</v>
      </c>
      <c r="B178" s="1" t="s">
        <v>65</v>
      </c>
      <c r="C178" s="1" t="s">
        <v>42</v>
      </c>
      <c r="D178" s="1">
        <v>14.0</v>
      </c>
      <c r="E178" s="1">
        <v>20.0</v>
      </c>
      <c r="F178" s="1">
        <v>2.0</v>
      </c>
      <c r="G178" s="1">
        <v>8.0</v>
      </c>
      <c r="H178" s="1" t="s">
        <v>59</v>
      </c>
      <c r="I178" s="2">
        <v>45999.0</v>
      </c>
      <c r="J178" s="1">
        <v>750000.0</v>
      </c>
      <c r="K178" s="2">
        <v>45992.0</v>
      </c>
    </row>
    <row r="179" hidden="1">
      <c r="A179" s="1" t="s">
        <v>44</v>
      </c>
      <c r="B179" s="1" t="s">
        <v>45</v>
      </c>
      <c r="C179" s="1" t="s">
        <v>42</v>
      </c>
      <c r="D179" s="1">
        <v>57.0</v>
      </c>
      <c r="E179" s="1">
        <v>30.0</v>
      </c>
      <c r="F179" s="1">
        <v>5.0</v>
      </c>
      <c r="G179" s="1">
        <v>4.0</v>
      </c>
      <c r="H179" s="1" t="s">
        <v>43</v>
      </c>
      <c r="I179" s="2">
        <v>46098.0</v>
      </c>
      <c r="J179" s="1">
        <v>350000.0</v>
      </c>
      <c r="K179" s="2">
        <v>46082.0</v>
      </c>
    </row>
    <row r="180" hidden="1">
      <c r="A180" s="1" t="s">
        <v>19</v>
      </c>
      <c r="B180" s="1" t="s">
        <v>20</v>
      </c>
      <c r="C180" s="1" t="s">
        <v>17</v>
      </c>
      <c r="D180" s="1">
        <v>1.0</v>
      </c>
      <c r="E180" s="1">
        <v>30.0</v>
      </c>
      <c r="F180" s="1">
        <v>4.0</v>
      </c>
      <c r="G180" s="1">
        <v>5.0</v>
      </c>
      <c r="H180" s="1" t="s">
        <v>18</v>
      </c>
      <c r="I180" s="2">
        <v>45868.0</v>
      </c>
      <c r="J180" s="1">
        <v>1200000.0</v>
      </c>
      <c r="K180" s="2">
        <v>45839.0</v>
      </c>
    </row>
    <row r="181" hidden="1">
      <c r="A181" s="1" t="s">
        <v>28</v>
      </c>
      <c r="B181" s="1" t="s">
        <v>29</v>
      </c>
      <c r="C181" s="1" t="s">
        <v>23</v>
      </c>
      <c r="D181" s="1">
        <v>27.0</v>
      </c>
      <c r="E181" s="1">
        <v>35.0</v>
      </c>
      <c r="F181" s="1">
        <v>4.0</v>
      </c>
      <c r="G181" s="1">
        <v>5.0</v>
      </c>
      <c r="H181" s="1" t="s">
        <v>30</v>
      </c>
      <c r="I181" s="2">
        <v>45817.0</v>
      </c>
      <c r="J181" s="1">
        <v>1250000.0</v>
      </c>
      <c r="K181" s="2">
        <v>45809.0</v>
      </c>
    </row>
    <row r="182" hidden="1">
      <c r="A182" s="1" t="s">
        <v>53</v>
      </c>
      <c r="B182" s="1" t="s">
        <v>54</v>
      </c>
      <c r="C182" s="1" t="s">
        <v>13</v>
      </c>
      <c r="D182" s="1">
        <v>240.0</v>
      </c>
      <c r="E182" s="1">
        <v>60.0</v>
      </c>
      <c r="F182" s="1">
        <v>2.0</v>
      </c>
      <c r="G182" s="1">
        <v>6.0</v>
      </c>
      <c r="H182" s="1" t="s">
        <v>14</v>
      </c>
      <c r="I182" s="2">
        <v>46187.0</v>
      </c>
      <c r="J182" s="1">
        <v>165000.0</v>
      </c>
      <c r="K182" s="2">
        <v>45962.0</v>
      </c>
    </row>
    <row r="183" hidden="1">
      <c r="A183" s="1" t="s">
        <v>44</v>
      </c>
      <c r="B183" s="1" t="s">
        <v>45</v>
      </c>
      <c r="C183" s="1" t="s">
        <v>42</v>
      </c>
      <c r="D183" s="1">
        <v>60.0</v>
      </c>
      <c r="E183" s="1">
        <v>30.0</v>
      </c>
      <c r="F183" s="1">
        <v>4.0</v>
      </c>
      <c r="G183" s="1">
        <v>9.0</v>
      </c>
      <c r="H183" s="1" t="s">
        <v>43</v>
      </c>
      <c r="I183" s="2">
        <v>46062.0</v>
      </c>
      <c r="J183" s="1">
        <v>350000.0</v>
      </c>
      <c r="K183" s="2">
        <v>46054.0</v>
      </c>
    </row>
    <row r="184" hidden="1">
      <c r="A184" s="1" t="s">
        <v>11</v>
      </c>
      <c r="B184" s="1" t="s">
        <v>12</v>
      </c>
      <c r="C184" s="1" t="s">
        <v>13</v>
      </c>
      <c r="D184" s="1">
        <v>216.0</v>
      </c>
      <c r="E184" s="1">
        <v>50.0</v>
      </c>
      <c r="F184" s="1">
        <v>1.0</v>
      </c>
      <c r="G184" s="1">
        <v>8.0</v>
      </c>
      <c r="H184" s="1" t="s">
        <v>14</v>
      </c>
      <c r="I184" s="2">
        <v>45905.0</v>
      </c>
      <c r="J184" s="1">
        <v>125000.0</v>
      </c>
      <c r="K184" s="2">
        <v>45901.0</v>
      </c>
    </row>
    <row r="185">
      <c r="A185" s="1" t="s">
        <v>60</v>
      </c>
      <c r="B185" s="1" t="s">
        <v>61</v>
      </c>
      <c r="C185" s="1" t="s">
        <v>17</v>
      </c>
      <c r="D185" s="1">
        <v>-17.0</v>
      </c>
      <c r="E185" s="1">
        <v>20.0</v>
      </c>
      <c r="F185" s="1">
        <v>5.0</v>
      </c>
      <c r="G185" s="1">
        <v>22.0</v>
      </c>
      <c r="H185" s="1" t="s">
        <v>27</v>
      </c>
      <c r="I185" s="2">
        <v>45998.0</v>
      </c>
      <c r="J185" s="1">
        <v>3200000.0</v>
      </c>
      <c r="K185" s="2">
        <v>45992.0</v>
      </c>
    </row>
    <row r="186" hidden="1">
      <c r="A186" s="1" t="s">
        <v>38</v>
      </c>
      <c r="B186" s="1" t="s">
        <v>39</v>
      </c>
      <c r="C186" s="1" t="s">
        <v>23</v>
      </c>
      <c r="D186" s="1">
        <v>0.0</v>
      </c>
      <c r="E186" s="1">
        <v>45.0</v>
      </c>
      <c r="F186" s="1">
        <v>14.0</v>
      </c>
      <c r="G186" s="1">
        <v>6.0</v>
      </c>
      <c r="H186" s="1" t="s">
        <v>24</v>
      </c>
      <c r="I186" s="2">
        <v>46107.0</v>
      </c>
      <c r="J186" s="1">
        <v>450000.0</v>
      </c>
      <c r="K186" s="2">
        <v>46082.0</v>
      </c>
    </row>
    <row r="187" hidden="1">
      <c r="A187" s="1" t="s">
        <v>11</v>
      </c>
      <c r="B187" s="1" t="s">
        <v>12</v>
      </c>
      <c r="C187" s="1" t="s">
        <v>13</v>
      </c>
      <c r="D187" s="1">
        <v>157.0</v>
      </c>
      <c r="E187" s="1">
        <v>50.0</v>
      </c>
      <c r="F187" s="1">
        <v>1.0</v>
      </c>
      <c r="G187" s="1">
        <v>4.0</v>
      </c>
      <c r="H187" s="1" t="s">
        <v>14</v>
      </c>
      <c r="I187" s="2">
        <v>45823.0</v>
      </c>
      <c r="J187" s="1">
        <v>125000.0</v>
      </c>
      <c r="K187" s="2">
        <v>45809.0</v>
      </c>
    </row>
    <row r="188" hidden="1">
      <c r="A188" s="1" t="s">
        <v>57</v>
      </c>
      <c r="B188" s="1" t="s">
        <v>58</v>
      </c>
      <c r="C188" s="1" t="s">
        <v>42</v>
      </c>
      <c r="D188" s="1">
        <v>42.0</v>
      </c>
      <c r="E188" s="1">
        <v>25.0</v>
      </c>
      <c r="F188" s="1">
        <v>5.0</v>
      </c>
      <c r="G188" s="1">
        <v>10.0</v>
      </c>
      <c r="H188" s="1" t="s">
        <v>59</v>
      </c>
      <c r="I188" s="2">
        <v>45711.0</v>
      </c>
      <c r="J188" s="1">
        <v>450000.0</v>
      </c>
      <c r="K188" s="2">
        <v>45689.0</v>
      </c>
    </row>
    <row r="189" hidden="1">
      <c r="A189" s="1" t="s">
        <v>25</v>
      </c>
      <c r="B189" s="1" t="s">
        <v>26</v>
      </c>
      <c r="C189" s="1" t="s">
        <v>17</v>
      </c>
      <c r="D189" s="1">
        <v>0.0</v>
      </c>
      <c r="E189" s="1">
        <v>25.0</v>
      </c>
      <c r="F189" s="1">
        <v>8.0</v>
      </c>
      <c r="G189" s="1">
        <v>10.0</v>
      </c>
      <c r="H189" s="1" t="s">
        <v>27</v>
      </c>
      <c r="I189" s="2">
        <v>46013.0</v>
      </c>
      <c r="J189" s="1">
        <v>4500000.0</v>
      </c>
      <c r="K189" s="2">
        <v>45992.0</v>
      </c>
    </row>
    <row r="190" hidden="1">
      <c r="A190" s="1" t="s">
        <v>40</v>
      </c>
      <c r="B190" s="1" t="s">
        <v>41</v>
      </c>
      <c r="C190" s="1" t="s">
        <v>42</v>
      </c>
      <c r="D190" s="1">
        <v>22.0</v>
      </c>
      <c r="E190" s="1">
        <v>15.0</v>
      </c>
      <c r="F190" s="1">
        <v>3.0</v>
      </c>
      <c r="G190" s="1">
        <v>4.0</v>
      </c>
      <c r="H190" s="1" t="s">
        <v>43</v>
      </c>
      <c r="I190" s="2">
        <v>45919.0</v>
      </c>
      <c r="J190" s="1">
        <v>1200000.0</v>
      </c>
      <c r="K190" s="2">
        <v>45901.0</v>
      </c>
    </row>
    <row r="191" hidden="1">
      <c r="A191" s="1" t="s">
        <v>57</v>
      </c>
      <c r="B191" s="1" t="s">
        <v>58</v>
      </c>
      <c r="C191" s="1" t="s">
        <v>42</v>
      </c>
      <c r="D191" s="1">
        <v>21.0</v>
      </c>
      <c r="E191" s="1">
        <v>25.0</v>
      </c>
      <c r="F191" s="1">
        <v>3.0</v>
      </c>
      <c r="G191" s="1">
        <v>9.0</v>
      </c>
      <c r="H191" s="1" t="s">
        <v>59</v>
      </c>
      <c r="I191" s="2">
        <v>45854.0</v>
      </c>
      <c r="J191" s="1">
        <v>450000.0</v>
      </c>
      <c r="K191" s="2">
        <v>45839.0</v>
      </c>
    </row>
    <row r="192" hidden="1">
      <c r="A192" s="1" t="s">
        <v>51</v>
      </c>
      <c r="B192" s="1" t="s">
        <v>52</v>
      </c>
      <c r="C192" s="1" t="s">
        <v>36</v>
      </c>
      <c r="D192" s="1">
        <v>12.0</v>
      </c>
      <c r="E192" s="1">
        <v>60.0</v>
      </c>
      <c r="F192" s="1">
        <v>10.0</v>
      </c>
      <c r="H192" s="1" t="s">
        <v>50</v>
      </c>
      <c r="I192" s="2">
        <v>45965.0</v>
      </c>
      <c r="J192" s="1">
        <v>175000.0</v>
      </c>
      <c r="K192" s="2">
        <v>45962.0</v>
      </c>
    </row>
    <row r="193" hidden="1">
      <c r="A193" s="1" t="s">
        <v>15</v>
      </c>
      <c r="B193" s="1" t="s">
        <v>16</v>
      </c>
      <c r="C193" s="1" t="s">
        <v>17</v>
      </c>
      <c r="D193" s="1">
        <v>17.0</v>
      </c>
      <c r="E193" s="1">
        <v>15.0</v>
      </c>
      <c r="F193" s="1">
        <v>1.0</v>
      </c>
      <c r="G193" s="1">
        <v>6.0</v>
      </c>
      <c r="H193" s="1" t="s">
        <v>18</v>
      </c>
      <c r="I193" s="2">
        <v>45665.0</v>
      </c>
      <c r="J193" s="1">
        <v>8500000.0</v>
      </c>
      <c r="K193" s="2">
        <v>45658.0</v>
      </c>
    </row>
    <row r="194" hidden="1">
      <c r="A194" s="1" t="s">
        <v>51</v>
      </c>
      <c r="B194" s="1" t="s">
        <v>52</v>
      </c>
      <c r="C194" s="1" t="s">
        <v>36</v>
      </c>
      <c r="D194" s="1">
        <v>34.0</v>
      </c>
      <c r="E194" s="1">
        <v>60.0</v>
      </c>
      <c r="F194" s="1">
        <v>7.0</v>
      </c>
      <c r="G194" s="1">
        <v>6.0</v>
      </c>
      <c r="H194" s="1" t="s">
        <v>50</v>
      </c>
      <c r="I194" s="2">
        <v>45934.0</v>
      </c>
      <c r="J194" s="1">
        <v>175000.0</v>
      </c>
      <c r="K194" s="2">
        <v>45931.0</v>
      </c>
    </row>
    <row r="195" hidden="1">
      <c r="A195" s="1" t="s">
        <v>51</v>
      </c>
      <c r="B195" s="1" t="s">
        <v>52</v>
      </c>
      <c r="C195" s="1" t="s">
        <v>36</v>
      </c>
      <c r="D195" s="1">
        <v>21.0</v>
      </c>
      <c r="E195" s="1">
        <v>60.0</v>
      </c>
      <c r="F195" s="1">
        <v>9.0</v>
      </c>
      <c r="G195" s="1">
        <v>4.0</v>
      </c>
      <c r="H195" s="1" t="s">
        <v>50</v>
      </c>
      <c r="I195" s="2">
        <v>46067.0</v>
      </c>
      <c r="J195" s="1">
        <v>175000.0</v>
      </c>
      <c r="K195" s="2">
        <v>46054.0</v>
      </c>
    </row>
    <row r="196" hidden="1">
      <c r="A196" s="1" t="s">
        <v>28</v>
      </c>
      <c r="B196" s="1" t="s">
        <v>29</v>
      </c>
      <c r="C196" s="1" t="s">
        <v>23</v>
      </c>
      <c r="D196" s="1">
        <v>0.0</v>
      </c>
      <c r="E196" s="1">
        <v>35.0</v>
      </c>
      <c r="F196" s="1">
        <v>9.0</v>
      </c>
      <c r="G196" s="1">
        <v>6.0</v>
      </c>
      <c r="H196" s="1" t="s">
        <v>30</v>
      </c>
      <c r="I196" s="2">
        <v>45973.0</v>
      </c>
      <c r="J196" s="1">
        <v>1250000.0</v>
      </c>
      <c r="K196" s="2">
        <v>45962.0</v>
      </c>
    </row>
    <row r="197" hidden="1">
      <c r="A197" s="1" t="s">
        <v>31</v>
      </c>
      <c r="B197" s="1" t="s">
        <v>32</v>
      </c>
      <c r="C197" s="1" t="s">
        <v>13</v>
      </c>
      <c r="D197" s="1">
        <v>150.0</v>
      </c>
      <c r="E197" s="1">
        <v>40.0</v>
      </c>
      <c r="F197" s="1">
        <v>4.0</v>
      </c>
      <c r="G197" s="1">
        <v>4.0</v>
      </c>
      <c r="H197" s="1" t="s">
        <v>33</v>
      </c>
      <c r="I197" s="2">
        <v>46040.0</v>
      </c>
      <c r="J197" s="1">
        <v>550000.0</v>
      </c>
      <c r="K197" s="2">
        <v>46023.0</v>
      </c>
    </row>
    <row r="198" hidden="1">
      <c r="A198" s="1" t="s">
        <v>34</v>
      </c>
      <c r="B198" s="1" t="s">
        <v>35</v>
      </c>
      <c r="C198" s="1" t="s">
        <v>36</v>
      </c>
      <c r="D198" s="1">
        <v>18.0</v>
      </c>
      <c r="E198" s="1">
        <v>80.0</v>
      </c>
      <c r="F198" s="1">
        <v>10.0</v>
      </c>
      <c r="G198" s="1">
        <v>4.0</v>
      </c>
      <c r="H198" s="1" t="s">
        <v>37</v>
      </c>
      <c r="I198" s="2">
        <v>46024.0</v>
      </c>
      <c r="J198" s="1">
        <v>65000.0</v>
      </c>
      <c r="K198" s="2">
        <v>46023.0</v>
      </c>
    </row>
    <row r="199" hidden="1">
      <c r="A199" s="1" t="s">
        <v>28</v>
      </c>
      <c r="B199" s="1" t="s">
        <v>29</v>
      </c>
      <c r="C199" s="1" t="s">
        <v>23</v>
      </c>
      <c r="D199" s="1">
        <v>27.0</v>
      </c>
      <c r="E199" s="1">
        <v>35.0</v>
      </c>
      <c r="F199" s="1">
        <v>8.0</v>
      </c>
      <c r="G199" s="1">
        <v>6.0</v>
      </c>
      <c r="H199" s="1" t="s">
        <v>30</v>
      </c>
      <c r="I199" s="2">
        <v>46054.0</v>
      </c>
      <c r="J199" s="1">
        <v>1250000.0</v>
      </c>
      <c r="K199" s="2">
        <v>46054.0</v>
      </c>
    </row>
    <row r="200" hidden="1">
      <c r="A200" s="1" t="s">
        <v>44</v>
      </c>
      <c r="B200" s="1" t="s">
        <v>45</v>
      </c>
      <c r="C200" s="1" t="s">
        <v>42</v>
      </c>
      <c r="D200" s="1">
        <v>39.0</v>
      </c>
      <c r="E200" s="1">
        <v>30.0</v>
      </c>
      <c r="F200" s="1">
        <v>6.0</v>
      </c>
      <c r="G200" s="1">
        <v>10.0</v>
      </c>
      <c r="H200" s="1" t="s">
        <v>43</v>
      </c>
      <c r="I200" s="2">
        <v>45854.0</v>
      </c>
      <c r="J200" s="1">
        <v>350000.0</v>
      </c>
      <c r="K200" s="2">
        <v>45839.0</v>
      </c>
    </row>
    <row r="201" hidden="1">
      <c r="A201" s="1" t="s">
        <v>28</v>
      </c>
      <c r="B201" s="1" t="s">
        <v>29</v>
      </c>
      <c r="C201" s="1" t="s">
        <v>23</v>
      </c>
      <c r="D201" s="1">
        <v>10.0</v>
      </c>
      <c r="E201" s="1">
        <v>35.0</v>
      </c>
      <c r="F201" s="1">
        <v>7.0</v>
      </c>
      <c r="G201" s="1">
        <v>3.0</v>
      </c>
      <c r="H201" s="1" t="s">
        <v>30</v>
      </c>
      <c r="I201" s="2">
        <v>45929.0</v>
      </c>
      <c r="J201" s="1">
        <v>1250000.0</v>
      </c>
      <c r="K201" s="2">
        <v>45901.0</v>
      </c>
    </row>
    <row r="202" hidden="1">
      <c r="A202" s="1" t="s">
        <v>60</v>
      </c>
      <c r="B202" s="1" t="s">
        <v>61</v>
      </c>
      <c r="C202" s="1" t="s">
        <v>17</v>
      </c>
      <c r="D202" s="1">
        <v>7.0</v>
      </c>
      <c r="E202" s="1">
        <v>20.0</v>
      </c>
      <c r="F202" s="1">
        <v>2.0</v>
      </c>
      <c r="G202" s="1">
        <v>13.0</v>
      </c>
      <c r="H202" s="1" t="s">
        <v>27</v>
      </c>
      <c r="I202" s="2">
        <v>45861.0</v>
      </c>
      <c r="J202" s="1">
        <v>3200000.0</v>
      </c>
      <c r="K202" s="2">
        <v>45839.0</v>
      </c>
    </row>
    <row r="203" hidden="1">
      <c r="A203" s="1" t="s">
        <v>21</v>
      </c>
      <c r="B203" s="1" t="s">
        <v>22</v>
      </c>
      <c r="C203" s="1" t="s">
        <v>23</v>
      </c>
      <c r="D203" s="1">
        <v>13.0</v>
      </c>
      <c r="E203" s="1">
        <v>50.0</v>
      </c>
      <c r="F203" s="1">
        <v>8.0</v>
      </c>
      <c r="G203" s="1">
        <v>4.0</v>
      </c>
      <c r="H203" s="1" t="s">
        <v>24</v>
      </c>
      <c r="I203" s="2">
        <v>45691.0</v>
      </c>
      <c r="J203" s="1">
        <v>350000.0</v>
      </c>
      <c r="K203" s="2">
        <v>45689.0</v>
      </c>
    </row>
    <row r="204" hidden="1">
      <c r="A204" s="1" t="s">
        <v>40</v>
      </c>
      <c r="B204" s="1" t="s">
        <v>41</v>
      </c>
      <c r="C204" s="1" t="s">
        <v>42</v>
      </c>
      <c r="E204" s="1">
        <v>15.0</v>
      </c>
      <c r="F204" s="1">
        <v>2.0</v>
      </c>
      <c r="G204" s="1">
        <v>4.0</v>
      </c>
      <c r="H204" s="1" t="s">
        <v>43</v>
      </c>
      <c r="I204" s="2">
        <v>45688.0</v>
      </c>
      <c r="J204" s="1">
        <v>1200000.0</v>
      </c>
      <c r="K204" s="2">
        <v>45658.0</v>
      </c>
    </row>
    <row r="205" hidden="1">
      <c r="A205" s="1" t="s">
        <v>55</v>
      </c>
      <c r="B205" s="1" t="s">
        <v>56</v>
      </c>
      <c r="C205" s="1" t="s">
        <v>36</v>
      </c>
      <c r="D205" s="1">
        <v>19.0</v>
      </c>
      <c r="E205" s="1">
        <v>100.0</v>
      </c>
      <c r="F205" s="1">
        <v>16.0</v>
      </c>
      <c r="G205" s="1">
        <v>4.0</v>
      </c>
      <c r="H205" s="1" t="s">
        <v>37</v>
      </c>
      <c r="I205" s="2">
        <v>45965.0</v>
      </c>
      <c r="J205" s="1">
        <v>85000.0</v>
      </c>
      <c r="K205" s="2">
        <v>45962.0</v>
      </c>
    </row>
    <row r="206" hidden="1">
      <c r="A206" s="1" t="s">
        <v>55</v>
      </c>
      <c r="B206" s="1" t="s">
        <v>56</v>
      </c>
      <c r="C206" s="1" t="s">
        <v>36</v>
      </c>
      <c r="D206" s="1">
        <v>36.0</v>
      </c>
      <c r="E206" s="1">
        <v>100.0</v>
      </c>
      <c r="F206" s="1">
        <v>16.0</v>
      </c>
      <c r="G206" s="1">
        <v>5.0</v>
      </c>
      <c r="H206" s="1" t="s">
        <v>37</v>
      </c>
      <c r="I206" s="2">
        <v>45851.0</v>
      </c>
      <c r="J206" s="1">
        <v>85000.0</v>
      </c>
      <c r="K206" s="2">
        <v>45839.0</v>
      </c>
    </row>
    <row r="207" hidden="1">
      <c r="A207" s="1" t="s">
        <v>34</v>
      </c>
      <c r="B207" s="1" t="s">
        <v>35</v>
      </c>
      <c r="C207" s="1" t="s">
        <v>36</v>
      </c>
      <c r="D207" s="1">
        <v>33.0</v>
      </c>
      <c r="E207" s="1">
        <v>80.0</v>
      </c>
      <c r="F207" s="1">
        <v>13.0</v>
      </c>
      <c r="G207" s="1">
        <v>4.0</v>
      </c>
      <c r="H207" s="1" t="s">
        <v>37</v>
      </c>
      <c r="I207" s="2">
        <v>45697.0</v>
      </c>
      <c r="J207" s="1">
        <v>65000.0</v>
      </c>
      <c r="K207" s="2">
        <v>45689.0</v>
      </c>
    </row>
    <row r="208" hidden="1">
      <c r="A208" s="1" t="s">
        <v>15</v>
      </c>
      <c r="B208" s="1" t="s">
        <v>16</v>
      </c>
      <c r="C208" s="1" t="s">
        <v>17</v>
      </c>
      <c r="D208" s="1">
        <v>0.0</v>
      </c>
      <c r="E208" s="1">
        <v>15.0</v>
      </c>
      <c r="F208" s="1">
        <v>2.0</v>
      </c>
      <c r="G208" s="1">
        <v>8.0</v>
      </c>
      <c r="H208" s="1" t="s">
        <v>18</v>
      </c>
      <c r="I208" s="2">
        <v>45994.0</v>
      </c>
      <c r="J208" s="1">
        <v>8500000.0</v>
      </c>
      <c r="K208" s="2">
        <v>45992.0</v>
      </c>
    </row>
    <row r="209" hidden="1">
      <c r="A209" s="1" t="s">
        <v>19</v>
      </c>
      <c r="B209" s="1" t="s">
        <v>20</v>
      </c>
      <c r="C209" s="1" t="s">
        <v>17</v>
      </c>
      <c r="D209" s="1">
        <v>34.0</v>
      </c>
      <c r="E209" s="1">
        <v>30.0</v>
      </c>
      <c r="F209" s="1">
        <v>4.0</v>
      </c>
      <c r="G209" s="1">
        <v>5.0</v>
      </c>
      <c r="H209" s="1" t="s">
        <v>18</v>
      </c>
      <c r="I209" s="2">
        <v>46083.0</v>
      </c>
      <c r="J209" s="1">
        <v>1200000.0</v>
      </c>
      <c r="K209" s="2">
        <v>46082.0</v>
      </c>
    </row>
    <row r="210" hidden="1">
      <c r="A210" s="1" t="s">
        <v>62</v>
      </c>
      <c r="B210" s="1" t="s">
        <v>63</v>
      </c>
      <c r="C210" s="1" t="s">
        <v>13</v>
      </c>
      <c r="D210" s="1">
        <v>427.0</v>
      </c>
      <c r="E210" s="1">
        <v>80.0</v>
      </c>
      <c r="F210" s="1">
        <v>2.0</v>
      </c>
      <c r="G210" s="1">
        <v>5.0</v>
      </c>
      <c r="H210" s="1" t="s">
        <v>33</v>
      </c>
      <c r="I210" s="2">
        <v>45838.0</v>
      </c>
      <c r="J210" s="1">
        <v>85000.0</v>
      </c>
      <c r="K210" s="2">
        <v>45809.0</v>
      </c>
    </row>
    <row r="211" hidden="1">
      <c r="A211" s="1" t="s">
        <v>51</v>
      </c>
      <c r="B211" s="1" t="s">
        <v>52</v>
      </c>
      <c r="C211" s="1" t="s">
        <v>36</v>
      </c>
      <c r="D211" s="1">
        <v>14.0</v>
      </c>
      <c r="E211" s="1">
        <v>60.0</v>
      </c>
      <c r="F211" s="1">
        <v>8.0</v>
      </c>
      <c r="G211" s="1">
        <v>6.0</v>
      </c>
      <c r="H211" s="1" t="s">
        <v>50</v>
      </c>
      <c r="I211" s="2">
        <v>45930.0</v>
      </c>
      <c r="J211" s="1">
        <v>175000.0</v>
      </c>
      <c r="K211" s="2">
        <v>45901.0</v>
      </c>
    </row>
    <row r="212" hidden="1">
      <c r="A212" s="1" t="s">
        <v>25</v>
      </c>
      <c r="B212" s="1" t="s">
        <v>26</v>
      </c>
      <c r="C212" s="1" t="s">
        <v>17</v>
      </c>
      <c r="D212" s="1">
        <v>32.0</v>
      </c>
      <c r="E212" s="1">
        <v>25.0</v>
      </c>
      <c r="F212" s="1">
        <v>6.0</v>
      </c>
      <c r="G212" s="1">
        <v>17.0</v>
      </c>
      <c r="H212" s="1" t="s">
        <v>27</v>
      </c>
      <c r="I212" s="2">
        <v>46026.0</v>
      </c>
      <c r="J212" s="1">
        <v>4500000.0</v>
      </c>
      <c r="K212" s="2">
        <v>46023.0</v>
      </c>
    </row>
    <row r="213" hidden="1">
      <c r="A213" s="1" t="s">
        <v>11</v>
      </c>
      <c r="B213" s="1" t="s">
        <v>12</v>
      </c>
      <c r="C213" s="1" t="s">
        <v>13</v>
      </c>
      <c r="E213" s="1">
        <v>50.0</v>
      </c>
      <c r="F213" s="1">
        <v>1.0</v>
      </c>
      <c r="G213" s="1">
        <v>7.0</v>
      </c>
      <c r="H213" s="1" t="s">
        <v>14</v>
      </c>
      <c r="I213" s="2">
        <v>45885.0</v>
      </c>
      <c r="J213" s="1">
        <v>125000.0</v>
      </c>
      <c r="K213" s="2">
        <v>45870.0</v>
      </c>
    </row>
    <row r="214" hidden="1">
      <c r="A214" s="1" t="s">
        <v>15</v>
      </c>
      <c r="B214" s="1" t="s">
        <v>16</v>
      </c>
      <c r="C214" s="1" t="s">
        <v>17</v>
      </c>
      <c r="D214" s="1">
        <v>28.0</v>
      </c>
      <c r="E214" s="1">
        <v>15.0</v>
      </c>
      <c r="F214" s="1">
        <v>1.0</v>
      </c>
      <c r="G214" s="1">
        <v>6.0</v>
      </c>
      <c r="H214" s="1" t="s">
        <v>18</v>
      </c>
      <c r="I214" s="2">
        <v>45800.0</v>
      </c>
      <c r="J214" s="1">
        <v>8500000.0</v>
      </c>
      <c r="K214" s="2">
        <v>45778.0</v>
      </c>
    </row>
    <row r="215" hidden="1">
      <c r="A215" s="1" t="s">
        <v>64</v>
      </c>
      <c r="B215" s="1" t="s">
        <v>65</v>
      </c>
      <c r="C215" s="1" t="s">
        <v>42</v>
      </c>
      <c r="D215" s="1">
        <v>21.0</v>
      </c>
      <c r="E215" s="1">
        <v>20.0</v>
      </c>
      <c r="F215" s="1">
        <v>2.0</v>
      </c>
      <c r="G215" s="1">
        <v>9.0</v>
      </c>
      <c r="H215" s="1" t="s">
        <v>59</v>
      </c>
      <c r="I215" s="2">
        <v>45724.0</v>
      </c>
      <c r="J215" s="1">
        <v>750000.0</v>
      </c>
      <c r="K215" s="2">
        <v>45717.0</v>
      </c>
    </row>
    <row r="216" hidden="1">
      <c r="A216" s="1" t="s">
        <v>60</v>
      </c>
      <c r="B216" s="1" t="s">
        <v>61</v>
      </c>
      <c r="C216" s="1" t="s">
        <v>17</v>
      </c>
      <c r="D216" s="1">
        <v>12.0</v>
      </c>
      <c r="E216" s="1">
        <v>20.0</v>
      </c>
      <c r="F216" s="1">
        <v>2.0</v>
      </c>
      <c r="G216" s="1">
        <v>16.0</v>
      </c>
      <c r="H216" s="1" t="s">
        <v>27</v>
      </c>
      <c r="I216" s="2">
        <v>45724.0</v>
      </c>
      <c r="J216" s="1">
        <v>3200000.0</v>
      </c>
      <c r="K216" s="2">
        <v>45717.0</v>
      </c>
    </row>
    <row r="217" hidden="1">
      <c r="A217" s="1" t="s">
        <v>48</v>
      </c>
      <c r="B217" s="1" t="s">
        <v>49</v>
      </c>
      <c r="C217" s="1" t="s">
        <v>36</v>
      </c>
      <c r="D217" s="1">
        <v>72.0</v>
      </c>
      <c r="E217" s="1">
        <v>120.0</v>
      </c>
      <c r="F217" s="1">
        <v>18.0</v>
      </c>
      <c r="G217" s="1">
        <v>7.0</v>
      </c>
      <c r="H217" s="1" t="s">
        <v>50</v>
      </c>
      <c r="I217" s="2">
        <v>45815.0</v>
      </c>
      <c r="J217" s="1">
        <v>55000.0</v>
      </c>
      <c r="K217" s="2">
        <v>45809.0</v>
      </c>
    </row>
    <row r="218" hidden="1">
      <c r="A218" s="1" t="s">
        <v>40</v>
      </c>
      <c r="B218" s="1" t="s">
        <v>41</v>
      </c>
      <c r="C218" s="1" t="s">
        <v>42</v>
      </c>
      <c r="D218" s="1">
        <v>33.0</v>
      </c>
      <c r="E218" s="1">
        <v>15.0</v>
      </c>
      <c r="F218" s="1">
        <v>2.0</v>
      </c>
      <c r="G218" s="1">
        <v>10.0</v>
      </c>
      <c r="H218" s="1" t="s">
        <v>43</v>
      </c>
      <c r="I218" s="2">
        <v>46032.0</v>
      </c>
      <c r="J218" s="1">
        <v>1200000.0</v>
      </c>
      <c r="K218" s="2">
        <v>46023.0</v>
      </c>
    </row>
    <row r="219" hidden="1">
      <c r="A219" s="1" t="s">
        <v>53</v>
      </c>
      <c r="B219" s="1" t="s">
        <v>54</v>
      </c>
      <c r="C219" s="1" t="s">
        <v>13</v>
      </c>
      <c r="D219" s="1">
        <v>246.0</v>
      </c>
      <c r="E219" s="1">
        <v>60.0</v>
      </c>
      <c r="F219" s="1">
        <v>3.0</v>
      </c>
      <c r="G219" s="1">
        <v>7.0</v>
      </c>
      <c r="H219" s="1" t="s">
        <v>14</v>
      </c>
      <c r="I219" s="2">
        <v>46049.0</v>
      </c>
      <c r="J219" s="1">
        <v>165000.0</v>
      </c>
      <c r="K219" s="2">
        <v>46023.0</v>
      </c>
    </row>
    <row r="220" hidden="1">
      <c r="A220" s="1" t="s">
        <v>34</v>
      </c>
      <c r="B220" s="1" t="s">
        <v>35</v>
      </c>
      <c r="C220" s="1" t="s">
        <v>36</v>
      </c>
      <c r="D220" s="1">
        <v>64.0</v>
      </c>
      <c r="E220" s="1">
        <v>80.0</v>
      </c>
      <c r="F220" s="1">
        <v>13.0</v>
      </c>
      <c r="G220" s="1">
        <v>5.0</v>
      </c>
      <c r="H220" s="1" t="s">
        <v>37</v>
      </c>
      <c r="I220" s="2">
        <v>45970.0</v>
      </c>
      <c r="J220" s="1">
        <v>65000.0</v>
      </c>
      <c r="K220" s="2">
        <v>45962.0</v>
      </c>
    </row>
    <row r="221" hidden="1">
      <c r="A221" s="1" t="s">
        <v>57</v>
      </c>
      <c r="B221" s="1" t="s">
        <v>58</v>
      </c>
      <c r="C221" s="1" t="s">
        <v>42</v>
      </c>
      <c r="D221" s="1">
        <v>37.0</v>
      </c>
      <c r="E221" s="1">
        <v>25.0</v>
      </c>
      <c r="F221" s="1">
        <v>1.0</v>
      </c>
      <c r="G221" s="1">
        <v>9.0</v>
      </c>
      <c r="H221" s="1" t="s">
        <v>59</v>
      </c>
      <c r="I221" s="2">
        <v>45775.0</v>
      </c>
      <c r="J221" s="1">
        <v>450000.0</v>
      </c>
      <c r="K221" s="2">
        <v>45748.0</v>
      </c>
    </row>
    <row r="222" hidden="1">
      <c r="A222" s="1" t="s">
        <v>21</v>
      </c>
      <c r="B222" s="1" t="s">
        <v>22</v>
      </c>
      <c r="C222" s="1" t="s">
        <v>23</v>
      </c>
      <c r="D222" s="1">
        <v>0.0</v>
      </c>
      <c r="E222" s="1">
        <v>50.0</v>
      </c>
      <c r="F222" s="1">
        <v>13.0</v>
      </c>
      <c r="G222" s="1">
        <v>3.0</v>
      </c>
      <c r="H222" s="1" t="s">
        <v>24</v>
      </c>
      <c r="I222" s="2">
        <v>45747.0</v>
      </c>
      <c r="J222" s="1">
        <v>350000.0</v>
      </c>
      <c r="K222" s="2">
        <v>45717.0</v>
      </c>
    </row>
    <row r="223" hidden="1">
      <c r="A223" s="1" t="s">
        <v>53</v>
      </c>
      <c r="B223" s="1" t="s">
        <v>54</v>
      </c>
      <c r="C223" s="1" t="s">
        <v>13</v>
      </c>
      <c r="D223" s="1">
        <v>230.0</v>
      </c>
      <c r="E223" s="1">
        <v>60.0</v>
      </c>
      <c r="F223" s="1">
        <v>2.0</v>
      </c>
      <c r="G223" s="1">
        <v>8.0</v>
      </c>
      <c r="H223" s="1" t="s">
        <v>14</v>
      </c>
      <c r="I223" s="2">
        <v>45817.0</v>
      </c>
      <c r="J223" s="1">
        <v>165000.0</v>
      </c>
      <c r="K223" s="2">
        <v>45809.0</v>
      </c>
    </row>
    <row r="224" hidden="1">
      <c r="A224" s="1" t="s">
        <v>57</v>
      </c>
      <c r="B224" s="1" t="s">
        <v>58</v>
      </c>
      <c r="C224" s="1" t="s">
        <v>42</v>
      </c>
      <c r="D224" s="1">
        <v>52.0</v>
      </c>
      <c r="E224" s="1">
        <v>25.0</v>
      </c>
      <c r="F224" s="1">
        <v>4.0</v>
      </c>
      <c r="G224" s="1">
        <v>9.0</v>
      </c>
      <c r="H224" s="1" t="s">
        <v>59</v>
      </c>
      <c r="I224" s="2">
        <v>45671.0</v>
      </c>
      <c r="J224" s="1">
        <v>450000.0</v>
      </c>
      <c r="K224" s="2">
        <v>45658.0</v>
      </c>
    </row>
    <row r="225" hidden="1">
      <c r="A225" s="1" t="s">
        <v>64</v>
      </c>
      <c r="B225" s="1" t="s">
        <v>65</v>
      </c>
      <c r="C225" s="1" t="s">
        <v>42</v>
      </c>
      <c r="D225" s="1">
        <v>47.0</v>
      </c>
      <c r="E225" s="1">
        <v>20.0</v>
      </c>
      <c r="F225" s="1">
        <v>4.0</v>
      </c>
      <c r="G225" s="1">
        <v>9.0</v>
      </c>
      <c r="H225" s="1" t="s">
        <v>59</v>
      </c>
      <c r="I225" s="2">
        <v>45909.0</v>
      </c>
      <c r="J225" s="1">
        <v>750000.0</v>
      </c>
      <c r="K225" s="2">
        <v>45901.0</v>
      </c>
    </row>
    <row r="226" hidden="1">
      <c r="A226" s="1" t="s">
        <v>31</v>
      </c>
      <c r="B226" s="1" t="s">
        <v>32</v>
      </c>
      <c r="C226" s="1" t="s">
        <v>13</v>
      </c>
      <c r="D226" s="1">
        <v>153.0</v>
      </c>
      <c r="E226" s="1">
        <v>40.0</v>
      </c>
      <c r="F226" s="1">
        <v>4.0</v>
      </c>
      <c r="G226" s="1">
        <v>5.0</v>
      </c>
      <c r="H226" s="1" t="s">
        <v>33</v>
      </c>
      <c r="I226" s="2">
        <v>46097.0</v>
      </c>
      <c r="J226" s="1">
        <v>550000.0</v>
      </c>
      <c r="K226" s="2">
        <v>46082.0</v>
      </c>
    </row>
    <row r="227" hidden="1">
      <c r="A227" s="1" t="s">
        <v>15</v>
      </c>
      <c r="B227" s="1" t="s">
        <v>16</v>
      </c>
      <c r="C227" s="1" t="s">
        <v>17</v>
      </c>
      <c r="D227" s="1">
        <v>19.0</v>
      </c>
      <c r="E227" s="1">
        <v>15.0</v>
      </c>
      <c r="F227" s="1">
        <v>3.0</v>
      </c>
      <c r="G227" s="1">
        <v>5.0</v>
      </c>
      <c r="H227" s="1" t="s">
        <v>18</v>
      </c>
      <c r="I227" s="2">
        <v>45903.0</v>
      </c>
      <c r="J227" s="1">
        <v>8500000.0</v>
      </c>
      <c r="K227" s="2">
        <v>45901.0</v>
      </c>
    </row>
    <row r="228" hidden="1">
      <c r="A228" s="1" t="s">
        <v>21</v>
      </c>
      <c r="B228" s="1" t="s">
        <v>22</v>
      </c>
      <c r="C228" s="1" t="s">
        <v>23</v>
      </c>
      <c r="D228" s="1">
        <v>0.0</v>
      </c>
      <c r="E228" s="1">
        <v>50.0</v>
      </c>
      <c r="F228" s="1">
        <v>12.0</v>
      </c>
      <c r="G228" s="1">
        <v>5.0</v>
      </c>
      <c r="H228" s="1" t="s">
        <v>24</v>
      </c>
      <c r="I228" s="2">
        <v>45971.0</v>
      </c>
      <c r="J228" s="1">
        <v>350000.0</v>
      </c>
      <c r="K228" s="2">
        <v>45962.0</v>
      </c>
    </row>
    <row r="229" hidden="1">
      <c r="A229" s="1" t="s">
        <v>51</v>
      </c>
      <c r="B229" s="1" t="s">
        <v>52</v>
      </c>
      <c r="C229" s="1" t="s">
        <v>36</v>
      </c>
      <c r="D229" s="1">
        <v>37.0</v>
      </c>
      <c r="E229" s="1">
        <v>60.0</v>
      </c>
      <c r="F229" s="1">
        <v>8.0</v>
      </c>
      <c r="G229" s="1">
        <v>5.0</v>
      </c>
      <c r="H229" s="1" t="s">
        <v>50</v>
      </c>
      <c r="I229" s="2">
        <v>45795.0</v>
      </c>
      <c r="J229" s="1">
        <v>175000.0</v>
      </c>
      <c r="K229" s="2">
        <v>45778.0</v>
      </c>
    </row>
    <row r="230" hidden="1">
      <c r="A230" s="1" t="s">
        <v>21</v>
      </c>
      <c r="B230" s="1" t="s">
        <v>22</v>
      </c>
      <c r="C230" s="1" t="s">
        <v>23</v>
      </c>
      <c r="D230" s="1">
        <v>49.0</v>
      </c>
      <c r="E230" s="1">
        <v>50.0</v>
      </c>
      <c r="F230" s="1">
        <v>5.0</v>
      </c>
      <c r="H230" s="1" t="s">
        <v>24</v>
      </c>
      <c r="I230" s="2">
        <v>45784.0</v>
      </c>
      <c r="J230" s="1">
        <v>350000.0</v>
      </c>
      <c r="K230" s="2">
        <v>45778.0</v>
      </c>
    </row>
    <row r="231" hidden="1">
      <c r="A231" s="1" t="s">
        <v>60</v>
      </c>
      <c r="B231" s="1" t="s">
        <v>61</v>
      </c>
      <c r="C231" s="1" t="s">
        <v>17</v>
      </c>
      <c r="D231" s="1">
        <v>22.0</v>
      </c>
      <c r="E231" s="1">
        <v>20.0</v>
      </c>
      <c r="F231" s="1">
        <v>4.0</v>
      </c>
      <c r="G231" s="1">
        <v>8.0</v>
      </c>
      <c r="H231" s="1" t="s">
        <v>27</v>
      </c>
      <c r="I231" s="2">
        <v>46103.0</v>
      </c>
      <c r="J231" s="1">
        <v>3200000.0</v>
      </c>
      <c r="K231" s="2">
        <v>46082.0</v>
      </c>
    </row>
    <row r="232" hidden="1">
      <c r="A232" s="1" t="s">
        <v>55</v>
      </c>
      <c r="B232" s="1" t="s">
        <v>56</v>
      </c>
      <c r="C232" s="1" t="s">
        <v>36</v>
      </c>
      <c r="D232" s="1">
        <v>58.0</v>
      </c>
      <c r="E232" s="1">
        <v>100.0</v>
      </c>
      <c r="F232" s="1">
        <v>14.0</v>
      </c>
      <c r="G232" s="1">
        <v>3.0</v>
      </c>
      <c r="H232" s="1" t="s">
        <v>37</v>
      </c>
      <c r="I232" s="2">
        <v>45951.0</v>
      </c>
      <c r="J232" s="1">
        <v>85000.0</v>
      </c>
      <c r="K232" s="2">
        <v>45931.0</v>
      </c>
    </row>
    <row r="233" hidden="1">
      <c r="A233" s="1" t="s">
        <v>40</v>
      </c>
      <c r="B233" s="1" t="s">
        <v>41</v>
      </c>
      <c r="C233" s="1" t="s">
        <v>42</v>
      </c>
      <c r="D233" s="1">
        <v>14.0</v>
      </c>
      <c r="E233" s="1">
        <v>15.0</v>
      </c>
      <c r="F233" s="1">
        <v>2.0</v>
      </c>
      <c r="G233" s="1">
        <v>5.0</v>
      </c>
      <c r="H233" s="1" t="s">
        <v>43</v>
      </c>
      <c r="I233" s="2">
        <v>45858.0</v>
      </c>
      <c r="J233" s="1">
        <v>1200000.0</v>
      </c>
      <c r="K233" s="2">
        <v>45839.0</v>
      </c>
    </row>
    <row r="234" hidden="1">
      <c r="A234" s="1" t="s">
        <v>60</v>
      </c>
      <c r="B234" s="1" t="s">
        <v>61</v>
      </c>
      <c r="C234" s="1" t="s">
        <v>17</v>
      </c>
      <c r="D234" s="1">
        <v>0.0</v>
      </c>
      <c r="E234" s="1">
        <v>20.0</v>
      </c>
      <c r="F234" s="1">
        <v>4.0</v>
      </c>
      <c r="G234" s="1">
        <v>17.0</v>
      </c>
      <c r="H234" s="1" t="s">
        <v>27</v>
      </c>
      <c r="I234" s="2">
        <v>45964.0</v>
      </c>
      <c r="J234" s="1">
        <v>3200000.0</v>
      </c>
      <c r="K234" s="2">
        <v>45962.0</v>
      </c>
    </row>
    <row r="235" hidden="1">
      <c r="A235" s="1" t="s">
        <v>64</v>
      </c>
      <c r="B235" s="1" t="s">
        <v>65</v>
      </c>
      <c r="C235" s="1" t="s">
        <v>42</v>
      </c>
      <c r="D235" s="1">
        <v>26.0</v>
      </c>
      <c r="E235" s="1">
        <v>20.0</v>
      </c>
      <c r="F235" s="1">
        <v>2.0</v>
      </c>
      <c r="G235" s="1">
        <v>10.0</v>
      </c>
      <c r="H235" s="1" t="s">
        <v>59</v>
      </c>
      <c r="I235" s="2">
        <v>45762.0</v>
      </c>
      <c r="J235" s="1">
        <v>750000.0</v>
      </c>
      <c r="K235" s="2">
        <v>45748.0</v>
      </c>
    </row>
    <row r="236" hidden="1">
      <c r="A236" s="1" t="s">
        <v>48</v>
      </c>
      <c r="B236" s="1" t="s">
        <v>49</v>
      </c>
      <c r="C236" s="1" t="s">
        <v>36</v>
      </c>
      <c r="D236" s="1">
        <v>12.0</v>
      </c>
      <c r="E236" s="1">
        <v>120.0</v>
      </c>
      <c r="F236" s="1">
        <v>21.0</v>
      </c>
      <c r="G236" s="1">
        <v>5.0</v>
      </c>
      <c r="H236" s="1" t="s">
        <v>50</v>
      </c>
      <c r="I236" s="2">
        <v>45706.0</v>
      </c>
      <c r="J236" s="1">
        <v>55000.0</v>
      </c>
      <c r="K236" s="2">
        <v>45689.0</v>
      </c>
    </row>
    <row r="237" hidden="1">
      <c r="A237" s="1" t="s">
        <v>53</v>
      </c>
      <c r="B237" s="1" t="s">
        <v>54</v>
      </c>
      <c r="C237" s="1" t="s">
        <v>13</v>
      </c>
      <c r="D237" s="1">
        <v>292.0</v>
      </c>
      <c r="E237" s="1">
        <v>60.0</v>
      </c>
      <c r="F237" s="1">
        <v>3.0</v>
      </c>
      <c r="G237" s="1">
        <v>8.0</v>
      </c>
      <c r="H237" s="1" t="s">
        <v>14</v>
      </c>
      <c r="I237" s="2">
        <v>45869.0</v>
      </c>
      <c r="J237" s="1">
        <v>165000.0</v>
      </c>
      <c r="K237" s="2">
        <v>45839.0</v>
      </c>
    </row>
    <row r="238" hidden="1">
      <c r="A238" s="1" t="s">
        <v>40</v>
      </c>
      <c r="B238" s="1" t="s">
        <v>41</v>
      </c>
      <c r="C238" s="1" t="s">
        <v>42</v>
      </c>
      <c r="D238" s="1">
        <v>18.0</v>
      </c>
      <c r="E238" s="1">
        <v>15.0</v>
      </c>
      <c r="F238" s="1">
        <v>3.0</v>
      </c>
      <c r="G238" s="1">
        <v>5.0</v>
      </c>
      <c r="H238" s="1" t="s">
        <v>43</v>
      </c>
      <c r="I238" s="2">
        <v>45774.0</v>
      </c>
      <c r="J238" s="1">
        <v>1200000.0</v>
      </c>
      <c r="K238" s="2">
        <v>45748.0</v>
      </c>
    </row>
    <row r="239" hidden="1">
      <c r="A239" s="1" t="s">
        <v>25</v>
      </c>
      <c r="B239" s="1" t="s">
        <v>26</v>
      </c>
      <c r="C239" s="1" t="s">
        <v>17</v>
      </c>
      <c r="D239" s="1">
        <v>29.0</v>
      </c>
      <c r="E239" s="1">
        <v>25.0</v>
      </c>
      <c r="F239" s="1">
        <v>4.0</v>
      </c>
      <c r="G239" s="1">
        <v>11.0</v>
      </c>
      <c r="H239" s="1" t="s">
        <v>27</v>
      </c>
      <c r="I239" s="2">
        <v>45917.0</v>
      </c>
      <c r="J239" s="1">
        <v>4500000.0</v>
      </c>
      <c r="K239" s="2">
        <v>45901.0</v>
      </c>
    </row>
    <row r="240" hidden="1">
      <c r="A240" s="1" t="s">
        <v>48</v>
      </c>
      <c r="B240" s="1" t="s">
        <v>49</v>
      </c>
      <c r="C240" s="1" t="s">
        <v>36</v>
      </c>
      <c r="D240" s="1">
        <v>68.0</v>
      </c>
      <c r="E240" s="1">
        <v>120.0</v>
      </c>
      <c r="F240" s="1">
        <v>16.0</v>
      </c>
      <c r="G240" s="1">
        <v>6.0</v>
      </c>
      <c r="H240" s="1" t="s">
        <v>50</v>
      </c>
      <c r="I240" s="2">
        <v>45672.0</v>
      </c>
      <c r="J240" s="1">
        <v>55000.0</v>
      </c>
      <c r="K240" s="2">
        <v>45658.0</v>
      </c>
    </row>
    <row r="241" hidden="1">
      <c r="A241" s="1" t="s">
        <v>46</v>
      </c>
      <c r="B241" s="1" t="s">
        <v>47</v>
      </c>
      <c r="C241" s="1" t="s">
        <v>23</v>
      </c>
      <c r="D241" s="1">
        <v>35.0</v>
      </c>
      <c r="E241" s="1">
        <v>40.0</v>
      </c>
      <c r="F241" s="1">
        <v>4.0</v>
      </c>
      <c r="G241" s="1">
        <v>5.0</v>
      </c>
      <c r="H241" s="1" t="s">
        <v>30</v>
      </c>
      <c r="I241" s="2">
        <v>46161.0</v>
      </c>
      <c r="J241" s="1">
        <v>550000.0</v>
      </c>
      <c r="K241" s="2">
        <v>45809.0</v>
      </c>
    </row>
    <row r="242" hidden="1">
      <c r="A242" s="1" t="s">
        <v>38</v>
      </c>
      <c r="B242" s="1" t="s">
        <v>39</v>
      </c>
      <c r="C242" s="1" t="s">
        <v>23</v>
      </c>
      <c r="D242" s="1">
        <v>15.0</v>
      </c>
      <c r="E242" s="1">
        <v>45.0</v>
      </c>
      <c r="F242" s="1">
        <v>7.0</v>
      </c>
      <c r="G242" s="1">
        <v>4.0</v>
      </c>
      <c r="H242" s="1" t="s">
        <v>24</v>
      </c>
      <c r="I242" s="2">
        <v>45856.0</v>
      </c>
      <c r="J242" s="1">
        <v>450000.0</v>
      </c>
      <c r="K242" s="2">
        <v>45839.0</v>
      </c>
    </row>
    <row r="243" hidden="1">
      <c r="A243" s="1" t="s">
        <v>11</v>
      </c>
      <c r="B243" s="1" t="s">
        <v>12</v>
      </c>
      <c r="C243" s="1" t="s">
        <v>13</v>
      </c>
      <c r="D243" s="1">
        <v>172.0</v>
      </c>
      <c r="E243" s="1">
        <v>50.0</v>
      </c>
      <c r="F243" s="1">
        <v>2.0</v>
      </c>
      <c r="G243" s="1">
        <v>6.0</v>
      </c>
      <c r="H243" s="1" t="s">
        <v>14</v>
      </c>
      <c r="I243" s="2">
        <v>46018.0</v>
      </c>
      <c r="J243" s="1">
        <v>125000.0</v>
      </c>
      <c r="K243" s="2">
        <v>45992.0</v>
      </c>
    </row>
    <row r="244" hidden="1">
      <c r="A244" s="1" t="s">
        <v>62</v>
      </c>
      <c r="B244" s="1" t="s">
        <v>63</v>
      </c>
      <c r="C244" s="1" t="s">
        <v>13</v>
      </c>
      <c r="D244" s="1">
        <v>392.0</v>
      </c>
      <c r="E244" s="1">
        <v>80.0</v>
      </c>
      <c r="F244" s="1">
        <v>3.0</v>
      </c>
      <c r="G244" s="1">
        <v>6.0</v>
      </c>
      <c r="H244" s="1" t="s">
        <v>33</v>
      </c>
      <c r="I244" s="2">
        <v>46030.0</v>
      </c>
      <c r="J244" s="1">
        <v>85000.0</v>
      </c>
      <c r="K244" s="2">
        <v>46023.0</v>
      </c>
    </row>
    <row r="245" hidden="1">
      <c r="A245" s="1" t="s">
        <v>53</v>
      </c>
      <c r="B245" s="1" t="s">
        <v>54</v>
      </c>
      <c r="C245" s="1" t="s">
        <v>13</v>
      </c>
      <c r="D245" s="1">
        <v>205.0</v>
      </c>
      <c r="E245" s="1">
        <v>60.0</v>
      </c>
      <c r="F245" s="1">
        <v>4.0</v>
      </c>
      <c r="G245" s="1">
        <v>7.0</v>
      </c>
      <c r="H245" s="1" t="s">
        <v>14</v>
      </c>
      <c r="I245" s="2">
        <v>45739.0</v>
      </c>
      <c r="J245" s="1">
        <v>165000.0</v>
      </c>
      <c r="K245" s="2">
        <v>45717.0</v>
      </c>
    </row>
    <row r="246" hidden="1">
      <c r="A246" s="1" t="s">
        <v>60</v>
      </c>
      <c r="B246" s="1" t="s">
        <v>61</v>
      </c>
      <c r="C246" s="1" t="s">
        <v>17</v>
      </c>
      <c r="D246" s="1">
        <v>7.0</v>
      </c>
      <c r="E246" s="1">
        <v>20.0</v>
      </c>
      <c r="F246" s="1">
        <v>2.0</v>
      </c>
      <c r="G246" s="1">
        <v>7.0</v>
      </c>
      <c r="H246" s="1" t="s">
        <v>27</v>
      </c>
      <c r="I246" s="2">
        <v>45933.0</v>
      </c>
      <c r="J246" s="1">
        <v>3200000.0</v>
      </c>
      <c r="K246" s="2">
        <v>45931.0</v>
      </c>
    </row>
    <row r="247" hidden="1">
      <c r="A247" s="1" t="s">
        <v>55</v>
      </c>
      <c r="B247" s="1" t="s">
        <v>56</v>
      </c>
      <c r="C247" s="1" t="s">
        <v>36</v>
      </c>
      <c r="D247" s="1">
        <v>60.0</v>
      </c>
      <c r="E247" s="1">
        <v>100.0</v>
      </c>
      <c r="F247" s="1">
        <v>22.0</v>
      </c>
      <c r="G247" s="1">
        <v>5.0</v>
      </c>
      <c r="H247" s="1" t="s">
        <v>37</v>
      </c>
      <c r="I247" s="2">
        <v>46109.0</v>
      </c>
      <c r="J247" s="1">
        <v>85000.0</v>
      </c>
      <c r="K247" s="2">
        <v>46082.0</v>
      </c>
    </row>
    <row r="248" hidden="1">
      <c r="A248" s="1" t="s">
        <v>11</v>
      </c>
      <c r="B248" s="1" t="s">
        <v>12</v>
      </c>
      <c r="C248" s="1" t="s">
        <v>13</v>
      </c>
      <c r="D248" s="1">
        <v>230.0</v>
      </c>
      <c r="E248" s="1">
        <v>50.0</v>
      </c>
      <c r="F248" s="1">
        <v>1.0</v>
      </c>
      <c r="G248" s="1">
        <v>4.0</v>
      </c>
      <c r="H248" s="1" t="s">
        <v>14</v>
      </c>
      <c r="I248" s="2">
        <v>45939.0</v>
      </c>
      <c r="J248" s="1">
        <v>125000.0</v>
      </c>
      <c r="K248" s="2">
        <v>45931.0</v>
      </c>
    </row>
    <row r="249" hidden="1">
      <c r="A249" s="1" t="s">
        <v>34</v>
      </c>
      <c r="B249" s="1" t="s">
        <v>35</v>
      </c>
      <c r="C249" s="1" t="s">
        <v>36</v>
      </c>
      <c r="D249" s="1">
        <v>0.0</v>
      </c>
      <c r="E249" s="1">
        <v>80.0</v>
      </c>
      <c r="F249" s="1">
        <v>17.0</v>
      </c>
      <c r="G249" s="1">
        <v>5.0</v>
      </c>
      <c r="H249" s="1" t="s">
        <v>37</v>
      </c>
      <c r="I249" s="2">
        <v>46012.0</v>
      </c>
      <c r="J249" s="1">
        <v>65000.0</v>
      </c>
      <c r="K249" s="2">
        <v>45992.0</v>
      </c>
    </row>
    <row r="250" hidden="1">
      <c r="A250" s="1" t="s">
        <v>62</v>
      </c>
      <c r="B250" s="1" t="s">
        <v>63</v>
      </c>
      <c r="C250" s="1" t="s">
        <v>13</v>
      </c>
      <c r="D250" s="1">
        <v>302.0</v>
      </c>
      <c r="E250" s="1">
        <v>80.0</v>
      </c>
      <c r="F250" s="1">
        <v>3.0</v>
      </c>
      <c r="G250" s="1">
        <v>5.0</v>
      </c>
      <c r="H250" s="1" t="s">
        <v>33</v>
      </c>
      <c r="I250" s="2">
        <v>45797.0</v>
      </c>
      <c r="J250" s="1">
        <v>85000.0</v>
      </c>
      <c r="K250" s="2">
        <v>45778.0</v>
      </c>
    </row>
    <row r="251" hidden="1">
      <c r="A251" s="1" t="s">
        <v>15</v>
      </c>
      <c r="B251" s="1" t="s">
        <v>16</v>
      </c>
      <c r="C251" s="1" t="s">
        <v>17</v>
      </c>
      <c r="D251" s="1">
        <v>9.0</v>
      </c>
      <c r="E251" s="1">
        <v>15.0</v>
      </c>
      <c r="F251" s="1">
        <v>1.0</v>
      </c>
      <c r="G251" s="1">
        <v>6.0</v>
      </c>
      <c r="H251" s="1" t="s">
        <v>18</v>
      </c>
      <c r="I251" s="2">
        <v>46109.0</v>
      </c>
      <c r="J251" s="1">
        <v>8500000.0</v>
      </c>
      <c r="K251" s="2">
        <v>46082.0</v>
      </c>
    </row>
    <row r="252" hidden="1">
      <c r="A252" s="1" t="s">
        <v>19</v>
      </c>
      <c r="B252" s="1" t="s">
        <v>20</v>
      </c>
      <c r="C252" s="1" t="s">
        <v>17</v>
      </c>
      <c r="D252" s="1">
        <v>26.0</v>
      </c>
      <c r="E252" s="1">
        <v>30.0</v>
      </c>
      <c r="F252" s="1">
        <v>2.0</v>
      </c>
      <c r="G252" s="1">
        <v>9.0</v>
      </c>
      <c r="H252" s="1" t="s">
        <v>18</v>
      </c>
      <c r="I252" s="2">
        <v>45731.0</v>
      </c>
      <c r="J252" s="1">
        <v>1200000.0</v>
      </c>
      <c r="K252" s="2">
        <v>45717.0</v>
      </c>
    </row>
    <row r="253" hidden="1">
      <c r="A253" s="1" t="s">
        <v>28</v>
      </c>
      <c r="B253" s="1" t="s">
        <v>29</v>
      </c>
      <c r="C253" s="1" t="s">
        <v>23</v>
      </c>
      <c r="D253" s="1">
        <v>20.0</v>
      </c>
      <c r="E253" s="1">
        <v>35.0</v>
      </c>
      <c r="F253" s="1">
        <v>5.0</v>
      </c>
      <c r="G253" s="1">
        <v>8.0</v>
      </c>
      <c r="H253" s="1" t="s">
        <v>30</v>
      </c>
      <c r="I253" s="2">
        <v>45784.0</v>
      </c>
      <c r="J253" s="1">
        <v>1250000.0</v>
      </c>
      <c r="K253" s="2">
        <v>45778.0</v>
      </c>
    </row>
    <row r="254" hidden="1">
      <c r="A254" s="1" t="s">
        <v>51</v>
      </c>
      <c r="B254" s="1" t="s">
        <v>52</v>
      </c>
      <c r="C254" s="1" t="s">
        <v>36</v>
      </c>
      <c r="D254" s="1">
        <v>15.0</v>
      </c>
      <c r="E254" s="1">
        <v>60.0</v>
      </c>
      <c r="F254" s="1">
        <v>7.0</v>
      </c>
      <c r="G254" s="1">
        <v>5.0</v>
      </c>
      <c r="H254" s="1" t="s">
        <v>50</v>
      </c>
      <c r="I254" s="2">
        <v>45827.0</v>
      </c>
      <c r="J254" s="1">
        <v>175000.0</v>
      </c>
      <c r="K254" s="2">
        <v>45809.0</v>
      </c>
    </row>
    <row r="255">
      <c r="A255" s="1" t="s">
        <v>11</v>
      </c>
      <c r="B255" s="1" t="s">
        <v>12</v>
      </c>
      <c r="C255" s="1" t="s">
        <v>13</v>
      </c>
      <c r="D255" s="1">
        <v>-15.0</v>
      </c>
      <c r="E255" s="1">
        <v>50.0</v>
      </c>
      <c r="F255" s="1">
        <v>3.0</v>
      </c>
      <c r="G255" s="1">
        <v>6.0</v>
      </c>
      <c r="H255" s="1" t="s">
        <v>14</v>
      </c>
      <c r="I255" s="2">
        <v>45734.0</v>
      </c>
      <c r="J255" s="1">
        <v>125000.0</v>
      </c>
      <c r="K255" s="2">
        <v>45717.0</v>
      </c>
    </row>
    <row r="256" hidden="1">
      <c r="A256" s="1" t="s">
        <v>51</v>
      </c>
      <c r="B256" s="1" t="s">
        <v>52</v>
      </c>
      <c r="C256" s="1" t="s">
        <v>36</v>
      </c>
      <c r="D256" s="1">
        <v>0.0</v>
      </c>
      <c r="E256" s="1">
        <v>60.0</v>
      </c>
      <c r="F256" s="1">
        <v>11.0</v>
      </c>
      <c r="G256" s="1">
        <v>5.0</v>
      </c>
      <c r="H256" s="1" t="s">
        <v>50</v>
      </c>
      <c r="I256" s="2">
        <v>46083.0</v>
      </c>
      <c r="J256" s="1">
        <v>175000.0</v>
      </c>
      <c r="K256" s="2">
        <v>46082.0</v>
      </c>
    </row>
    <row r="257" hidden="1">
      <c r="A257" s="1" t="s">
        <v>62</v>
      </c>
      <c r="B257" s="1" t="s">
        <v>63</v>
      </c>
      <c r="C257" s="1" t="s">
        <v>13</v>
      </c>
      <c r="D257" s="1">
        <v>386.0</v>
      </c>
      <c r="E257" s="1">
        <v>80.0</v>
      </c>
      <c r="F257" s="1">
        <v>3.0</v>
      </c>
      <c r="G257" s="1">
        <v>6.0</v>
      </c>
      <c r="H257" s="1" t="s">
        <v>33</v>
      </c>
      <c r="I257" s="2">
        <v>45852.0</v>
      </c>
      <c r="J257" s="1">
        <v>85000.0</v>
      </c>
      <c r="K257" s="2">
        <v>45839.0</v>
      </c>
    </row>
    <row r="258" hidden="1">
      <c r="A258" s="1" t="s">
        <v>40</v>
      </c>
      <c r="B258" s="1" t="s">
        <v>41</v>
      </c>
      <c r="C258" s="1" t="s">
        <v>42</v>
      </c>
      <c r="D258" s="1">
        <v>9.0</v>
      </c>
      <c r="E258" s="1">
        <v>15.0</v>
      </c>
      <c r="F258" s="1">
        <v>1.0</v>
      </c>
      <c r="G258" s="1">
        <v>8.0</v>
      </c>
      <c r="H258" s="1" t="s">
        <v>43</v>
      </c>
      <c r="I258" s="2">
        <v>46014.0</v>
      </c>
      <c r="J258" s="1">
        <v>1200000.0</v>
      </c>
      <c r="K258" s="2">
        <v>45992.0</v>
      </c>
    </row>
    <row r="259" hidden="1">
      <c r="A259" s="1" t="s">
        <v>60</v>
      </c>
      <c r="B259" s="1" t="s">
        <v>61</v>
      </c>
      <c r="C259" s="1" t="s">
        <v>17</v>
      </c>
      <c r="D259" s="1">
        <v>27.0</v>
      </c>
      <c r="E259" s="1">
        <v>20.0</v>
      </c>
      <c r="F259" s="1">
        <v>2.0</v>
      </c>
      <c r="G259" s="1">
        <v>13.0</v>
      </c>
      <c r="H259" s="1" t="s">
        <v>27</v>
      </c>
      <c r="I259" s="2">
        <v>46057.0</v>
      </c>
      <c r="J259" s="1">
        <v>3200000.0</v>
      </c>
      <c r="K259" s="2">
        <v>46054.0</v>
      </c>
    </row>
    <row r="260" hidden="1">
      <c r="A260" s="1" t="s">
        <v>53</v>
      </c>
      <c r="B260" s="1" t="s">
        <v>54</v>
      </c>
      <c r="C260" s="1" t="s">
        <v>13</v>
      </c>
      <c r="D260" s="1">
        <v>292.0</v>
      </c>
      <c r="E260" s="1">
        <v>60.0</v>
      </c>
      <c r="F260" s="1">
        <v>3.0</v>
      </c>
      <c r="G260" s="1">
        <v>6.0</v>
      </c>
      <c r="H260" s="1" t="s">
        <v>14</v>
      </c>
      <c r="I260" s="2">
        <v>45888.0</v>
      </c>
      <c r="J260" s="1">
        <v>165000.0</v>
      </c>
      <c r="K260" s="2">
        <v>45870.0</v>
      </c>
    </row>
    <row r="261" hidden="1">
      <c r="A261" s="1" t="s">
        <v>31</v>
      </c>
      <c r="B261" s="1" t="s">
        <v>32</v>
      </c>
      <c r="C261" s="1" t="s">
        <v>13</v>
      </c>
      <c r="D261" s="1">
        <v>186.0</v>
      </c>
      <c r="E261" s="1">
        <v>40.0</v>
      </c>
      <c r="F261" s="1">
        <v>2.0</v>
      </c>
      <c r="G261" s="1">
        <v>4.0</v>
      </c>
      <c r="H261" s="1" t="s">
        <v>33</v>
      </c>
      <c r="I261" s="2">
        <v>45971.0</v>
      </c>
      <c r="J261" s="1">
        <v>550000.0</v>
      </c>
      <c r="K261" s="2">
        <v>45962.0</v>
      </c>
    </row>
    <row r="262" hidden="1">
      <c r="A262" s="1" t="s">
        <v>34</v>
      </c>
      <c r="B262" s="1" t="s">
        <v>35</v>
      </c>
      <c r="C262" s="1" t="s">
        <v>36</v>
      </c>
      <c r="D262" s="1">
        <v>35.0</v>
      </c>
      <c r="E262" s="1">
        <v>80.0</v>
      </c>
      <c r="F262" s="1">
        <v>13.0</v>
      </c>
      <c r="G262" s="1">
        <v>4.0</v>
      </c>
      <c r="H262" s="1" t="s">
        <v>37</v>
      </c>
      <c r="I262" s="2">
        <v>45800.0</v>
      </c>
      <c r="J262" s="1">
        <v>65000.0</v>
      </c>
      <c r="K262" s="2">
        <v>45778.0</v>
      </c>
    </row>
    <row r="263" hidden="1">
      <c r="A263" s="1" t="s">
        <v>46</v>
      </c>
      <c r="B263" s="1" t="s">
        <v>47</v>
      </c>
      <c r="C263" s="1" t="s">
        <v>23</v>
      </c>
      <c r="D263" s="1">
        <v>14.0</v>
      </c>
      <c r="E263" s="1">
        <v>40.0</v>
      </c>
      <c r="F263" s="1">
        <v>4.0</v>
      </c>
      <c r="G263" s="1">
        <v>8.0</v>
      </c>
      <c r="H263" s="1" t="s">
        <v>30</v>
      </c>
      <c r="I263" s="2">
        <v>45687.0</v>
      </c>
      <c r="J263" s="1">
        <v>550000.0</v>
      </c>
      <c r="K263" s="2">
        <v>45658.0</v>
      </c>
    </row>
    <row r="264" hidden="1">
      <c r="A264" s="1" t="s">
        <v>19</v>
      </c>
      <c r="B264" s="1" t="s">
        <v>20</v>
      </c>
      <c r="C264" s="1" t="s">
        <v>17</v>
      </c>
      <c r="D264" s="1">
        <v>31.0</v>
      </c>
      <c r="E264" s="1">
        <v>30.0</v>
      </c>
      <c r="F264" s="1">
        <v>3.0</v>
      </c>
      <c r="G264" s="1">
        <v>8.0</v>
      </c>
      <c r="H264" s="1" t="s">
        <v>18</v>
      </c>
      <c r="I264" s="2">
        <v>45929.0</v>
      </c>
      <c r="J264" s="1">
        <v>1200000.0</v>
      </c>
      <c r="K264" s="2">
        <v>45901.0</v>
      </c>
    </row>
    <row r="265" hidden="1">
      <c r="A265" s="1" t="s">
        <v>15</v>
      </c>
      <c r="B265" s="1" t="s">
        <v>16</v>
      </c>
      <c r="C265" s="1" t="s">
        <v>17</v>
      </c>
      <c r="D265" s="1">
        <v>13.0</v>
      </c>
      <c r="E265" s="1">
        <v>15.0</v>
      </c>
      <c r="F265" s="1">
        <v>1.0</v>
      </c>
      <c r="G265" s="1">
        <v>5.0</v>
      </c>
      <c r="H265" s="1" t="s">
        <v>18</v>
      </c>
      <c r="I265" s="2">
        <v>45710.0</v>
      </c>
      <c r="J265" s="1">
        <v>8500000.0</v>
      </c>
      <c r="K265" s="2">
        <v>45689.0</v>
      </c>
    </row>
    <row r="266" hidden="1">
      <c r="A266" s="1" t="s">
        <v>19</v>
      </c>
      <c r="B266" s="1" t="s">
        <v>20</v>
      </c>
      <c r="C266" s="1" t="s">
        <v>17</v>
      </c>
      <c r="D266" s="1">
        <v>26.0</v>
      </c>
      <c r="E266" s="1">
        <v>30.0</v>
      </c>
      <c r="F266" s="1">
        <v>4.0</v>
      </c>
      <c r="G266" s="1">
        <v>8.0</v>
      </c>
      <c r="H266" s="1" t="s">
        <v>18</v>
      </c>
      <c r="I266" s="2">
        <v>45803.0</v>
      </c>
      <c r="J266" s="1">
        <v>1200000.0</v>
      </c>
      <c r="K266" s="2">
        <v>45778.0</v>
      </c>
    </row>
    <row r="267" hidden="1">
      <c r="A267" s="1" t="s">
        <v>38</v>
      </c>
      <c r="B267" s="1" t="s">
        <v>39</v>
      </c>
      <c r="C267" s="1" t="s">
        <v>23</v>
      </c>
      <c r="D267" s="1">
        <v>36.0</v>
      </c>
      <c r="E267" s="1">
        <v>45.0</v>
      </c>
      <c r="F267" s="1">
        <v>4.0</v>
      </c>
      <c r="G267" s="1">
        <v>3.0</v>
      </c>
      <c r="H267" s="1" t="s">
        <v>24</v>
      </c>
      <c r="I267" s="2">
        <v>45812.0</v>
      </c>
      <c r="J267" s="1">
        <v>450000.0</v>
      </c>
      <c r="K267" s="2">
        <v>45809.0</v>
      </c>
    </row>
    <row r="268" hidden="1">
      <c r="A268" s="1" t="s">
        <v>62</v>
      </c>
      <c r="B268" s="1" t="s">
        <v>63</v>
      </c>
      <c r="C268" s="1" t="s">
        <v>13</v>
      </c>
      <c r="D268" s="1">
        <v>264.0</v>
      </c>
      <c r="E268" s="1">
        <v>80.0</v>
      </c>
      <c r="F268" s="1">
        <v>3.0</v>
      </c>
      <c r="G268" s="1">
        <v>5.0</v>
      </c>
      <c r="H268" s="1" t="s">
        <v>33</v>
      </c>
      <c r="I268" s="2">
        <v>45984.0</v>
      </c>
      <c r="J268" s="1">
        <v>85000.0</v>
      </c>
      <c r="K268" s="2">
        <v>45962.0</v>
      </c>
    </row>
    <row r="269" hidden="1">
      <c r="A269" s="1" t="s">
        <v>60</v>
      </c>
      <c r="B269" s="1" t="s">
        <v>61</v>
      </c>
      <c r="C269" s="1" t="s">
        <v>17</v>
      </c>
      <c r="D269" s="1">
        <v>38.0</v>
      </c>
      <c r="E269" s="1">
        <v>20.0</v>
      </c>
      <c r="F269" s="1">
        <v>2.0</v>
      </c>
      <c r="G269" s="1">
        <v>11.0</v>
      </c>
      <c r="H269" s="1" t="s">
        <v>27</v>
      </c>
      <c r="I269" s="2">
        <v>45782.0</v>
      </c>
      <c r="J269" s="1">
        <v>3200000.0</v>
      </c>
      <c r="K269" s="2">
        <v>45778.0</v>
      </c>
    </row>
    <row r="270" hidden="1">
      <c r="A270" s="1" t="s">
        <v>34</v>
      </c>
      <c r="B270" s="1" t="s">
        <v>35</v>
      </c>
      <c r="C270" s="1" t="s">
        <v>36</v>
      </c>
      <c r="D270" s="1">
        <v>46.0</v>
      </c>
      <c r="E270" s="1">
        <v>80.0</v>
      </c>
      <c r="F270" s="1">
        <v>13.0</v>
      </c>
      <c r="G270" s="1">
        <v>5.0</v>
      </c>
      <c r="H270" s="1" t="s">
        <v>37</v>
      </c>
      <c r="I270" s="2">
        <v>45924.0</v>
      </c>
      <c r="J270" s="1">
        <v>65000.0</v>
      </c>
      <c r="K270" s="2">
        <v>45901.0</v>
      </c>
    </row>
    <row r="271" hidden="1">
      <c r="A271" s="1" t="s">
        <v>28</v>
      </c>
      <c r="B271" s="1" t="s">
        <v>29</v>
      </c>
      <c r="C271" s="1" t="s">
        <v>23</v>
      </c>
      <c r="D271" s="1">
        <v>27.0</v>
      </c>
      <c r="E271" s="1">
        <v>35.0</v>
      </c>
      <c r="F271" s="1">
        <v>5.0</v>
      </c>
      <c r="G271" s="1">
        <v>3.0</v>
      </c>
      <c r="H271" s="1" t="s">
        <v>30</v>
      </c>
      <c r="I271" s="2">
        <v>45701.0</v>
      </c>
      <c r="J271" s="1">
        <v>1250000.0</v>
      </c>
      <c r="K271" s="2">
        <v>45689.0</v>
      </c>
    </row>
    <row r="272" hidden="1">
      <c r="A272" s="1" t="s">
        <v>19</v>
      </c>
      <c r="B272" s="1" t="s">
        <v>20</v>
      </c>
      <c r="C272" s="1" t="s">
        <v>17</v>
      </c>
      <c r="D272" s="1">
        <v>44.0</v>
      </c>
      <c r="E272" s="1">
        <v>30.0</v>
      </c>
      <c r="F272" s="1">
        <v>4.0</v>
      </c>
      <c r="G272" s="1">
        <v>8.0</v>
      </c>
      <c r="H272" s="1" t="s">
        <v>18</v>
      </c>
      <c r="I272" s="2">
        <v>45885.0</v>
      </c>
      <c r="J272" s="1">
        <v>1200000.0</v>
      </c>
      <c r="K272" s="2">
        <v>45870.0</v>
      </c>
    </row>
    <row r="273" hidden="1">
      <c r="A273" s="1" t="s">
        <v>34</v>
      </c>
      <c r="B273" s="1" t="s">
        <v>35</v>
      </c>
      <c r="C273" s="1" t="s">
        <v>36</v>
      </c>
      <c r="D273" s="1">
        <v>34.0</v>
      </c>
      <c r="E273" s="1">
        <v>80.0</v>
      </c>
      <c r="F273" s="1">
        <v>9.0</v>
      </c>
      <c r="G273" s="1">
        <v>3.0</v>
      </c>
      <c r="H273" s="1" t="s">
        <v>37</v>
      </c>
      <c r="I273" s="2">
        <v>45950.0</v>
      </c>
      <c r="J273" s="1">
        <v>65000.0</v>
      </c>
      <c r="K273" s="2">
        <v>45931.0</v>
      </c>
    </row>
    <row r="274" hidden="1">
      <c r="A274" s="1" t="s">
        <v>55</v>
      </c>
      <c r="B274" s="1" t="s">
        <v>56</v>
      </c>
      <c r="C274" s="1" t="s">
        <v>36</v>
      </c>
      <c r="D274" s="1">
        <v>145.0</v>
      </c>
      <c r="E274" s="1">
        <v>100.0</v>
      </c>
      <c r="F274" s="1">
        <v>17.0</v>
      </c>
      <c r="G274" s="1">
        <v>4.0</v>
      </c>
      <c r="H274" s="1" t="s">
        <v>37</v>
      </c>
      <c r="I274" s="2">
        <v>45711.0</v>
      </c>
      <c r="J274" s="1">
        <v>85000.0</v>
      </c>
      <c r="K274" s="2">
        <v>45689.0</v>
      </c>
    </row>
    <row r="275" hidden="1">
      <c r="A275" s="1" t="s">
        <v>15</v>
      </c>
      <c r="B275" s="1" t="s">
        <v>16</v>
      </c>
      <c r="C275" s="1" t="s">
        <v>17</v>
      </c>
      <c r="D275" s="1">
        <v>15.0</v>
      </c>
      <c r="E275" s="1">
        <v>15.0</v>
      </c>
      <c r="F275" s="1">
        <v>1.0</v>
      </c>
      <c r="G275" s="1">
        <v>5.0</v>
      </c>
      <c r="H275" s="1" t="s">
        <v>18</v>
      </c>
      <c r="I275" s="2">
        <v>46055.0</v>
      </c>
      <c r="J275" s="1">
        <v>8500000.0</v>
      </c>
      <c r="K275" s="2">
        <v>46054.0</v>
      </c>
    </row>
    <row r="276" hidden="1">
      <c r="A276" s="1" t="s">
        <v>38</v>
      </c>
      <c r="B276" s="1" t="s">
        <v>39</v>
      </c>
      <c r="C276" s="1" t="s">
        <v>23</v>
      </c>
      <c r="D276" s="1">
        <v>12.0</v>
      </c>
      <c r="E276" s="1">
        <v>45.0</v>
      </c>
      <c r="F276" s="1">
        <v>8.0</v>
      </c>
      <c r="G276" s="1">
        <v>6.0</v>
      </c>
      <c r="H276" s="1" t="s">
        <v>24</v>
      </c>
      <c r="I276" s="2">
        <v>46054.0</v>
      </c>
      <c r="J276" s="1">
        <v>450000.0</v>
      </c>
      <c r="K276" s="2">
        <v>46054.0</v>
      </c>
    </row>
    <row r="277" hidden="1">
      <c r="A277" s="1" t="s">
        <v>51</v>
      </c>
      <c r="B277" s="1" t="s">
        <v>52</v>
      </c>
      <c r="C277" s="1" t="s">
        <v>36</v>
      </c>
      <c r="D277" s="1">
        <v>19.0</v>
      </c>
      <c r="E277" s="1">
        <v>60.0</v>
      </c>
      <c r="F277" s="1">
        <v>6.0</v>
      </c>
      <c r="G277" s="1">
        <v>6.0</v>
      </c>
      <c r="H277" s="1" t="s">
        <v>50</v>
      </c>
      <c r="I277" s="2">
        <v>45775.0</v>
      </c>
      <c r="J277" s="1">
        <v>175000.0</v>
      </c>
      <c r="K277" s="2">
        <v>45748.0</v>
      </c>
    </row>
    <row r="278" hidden="1">
      <c r="A278" s="1" t="s">
        <v>44</v>
      </c>
      <c r="B278" s="1" t="s">
        <v>45</v>
      </c>
      <c r="C278" s="1" t="s">
        <v>42</v>
      </c>
      <c r="D278" s="1">
        <v>22.0</v>
      </c>
      <c r="E278" s="1">
        <v>30.0</v>
      </c>
      <c r="F278" s="1">
        <v>6.0</v>
      </c>
      <c r="H278" s="1" t="s">
        <v>43</v>
      </c>
      <c r="I278" s="2">
        <v>45702.0</v>
      </c>
      <c r="J278" s="1">
        <v>350000.0</v>
      </c>
      <c r="K278" s="2">
        <v>45689.0</v>
      </c>
    </row>
    <row r="279" hidden="1">
      <c r="A279" s="1" t="s">
        <v>44</v>
      </c>
      <c r="B279" s="1" t="s">
        <v>45</v>
      </c>
      <c r="C279" s="1" t="s">
        <v>42</v>
      </c>
      <c r="D279" s="1">
        <v>59.0</v>
      </c>
      <c r="E279" s="1">
        <v>30.0</v>
      </c>
      <c r="F279" s="1">
        <v>3.0</v>
      </c>
      <c r="G279" s="1">
        <v>6.0</v>
      </c>
      <c r="H279" s="1" t="s">
        <v>43</v>
      </c>
      <c r="I279" s="2">
        <v>45880.0</v>
      </c>
      <c r="J279" s="1">
        <v>350000.0</v>
      </c>
      <c r="K279" s="2">
        <v>45870.0</v>
      </c>
    </row>
    <row r="280" hidden="1">
      <c r="A280" s="1" t="s">
        <v>64</v>
      </c>
      <c r="B280" s="1" t="s">
        <v>65</v>
      </c>
      <c r="C280" s="1" t="s">
        <v>42</v>
      </c>
      <c r="D280" s="1">
        <v>41.0</v>
      </c>
      <c r="E280" s="1">
        <v>20.0</v>
      </c>
      <c r="F280" s="1">
        <v>3.0</v>
      </c>
      <c r="G280" s="1">
        <v>9.0</v>
      </c>
      <c r="H280" s="1" t="s">
        <v>59</v>
      </c>
      <c r="I280" s="2">
        <v>46092.0</v>
      </c>
      <c r="J280" s="1">
        <v>750000.0</v>
      </c>
      <c r="K280" s="2">
        <v>46082.0</v>
      </c>
    </row>
    <row r="281" hidden="1">
      <c r="A281" s="1" t="s">
        <v>48</v>
      </c>
      <c r="B281" s="1" t="s">
        <v>49</v>
      </c>
      <c r="C281" s="1" t="s">
        <v>36</v>
      </c>
      <c r="D281" s="1">
        <v>121.0</v>
      </c>
      <c r="E281" s="1">
        <v>120.0</v>
      </c>
      <c r="F281" s="1">
        <v>27.0</v>
      </c>
      <c r="H281" s="1" t="s">
        <v>50</v>
      </c>
      <c r="I281" s="2">
        <v>46095.0</v>
      </c>
      <c r="J281" s="1">
        <v>55000.0</v>
      </c>
      <c r="K281" s="2">
        <v>46082.0</v>
      </c>
    </row>
    <row r="282" hidden="1">
      <c r="A282" s="1" t="s">
        <v>55</v>
      </c>
      <c r="B282" s="1" t="s">
        <v>56</v>
      </c>
      <c r="C282" s="1" t="s">
        <v>36</v>
      </c>
      <c r="D282" s="1">
        <v>125.0</v>
      </c>
      <c r="E282" s="1">
        <v>100.0</v>
      </c>
      <c r="F282" s="1">
        <v>14.0</v>
      </c>
      <c r="G282" s="1">
        <v>4.0</v>
      </c>
      <c r="H282" s="1" t="s">
        <v>37</v>
      </c>
      <c r="I282" s="2">
        <v>45775.0</v>
      </c>
      <c r="J282" s="1">
        <v>85000.0</v>
      </c>
      <c r="K282" s="2">
        <v>45748.0</v>
      </c>
    </row>
    <row r="283" hidden="1">
      <c r="A283" s="1" t="s">
        <v>19</v>
      </c>
      <c r="B283" s="1" t="s">
        <v>20</v>
      </c>
      <c r="C283" s="1" t="s">
        <v>17</v>
      </c>
      <c r="D283" s="1">
        <v>42.0</v>
      </c>
      <c r="E283" s="1">
        <v>30.0</v>
      </c>
      <c r="F283" s="1">
        <v>4.0</v>
      </c>
      <c r="G283" s="1">
        <v>7.0</v>
      </c>
      <c r="H283" s="1" t="s">
        <v>18</v>
      </c>
      <c r="I283" s="2">
        <v>45960.0</v>
      </c>
      <c r="J283" s="1">
        <v>1200000.0</v>
      </c>
      <c r="K283" s="2">
        <v>45931.0</v>
      </c>
    </row>
    <row r="284" hidden="1">
      <c r="A284" s="1" t="s">
        <v>19</v>
      </c>
      <c r="B284" s="1" t="s">
        <v>20</v>
      </c>
      <c r="C284" s="1" t="s">
        <v>17</v>
      </c>
      <c r="D284" s="1">
        <v>21.0</v>
      </c>
      <c r="E284" s="1">
        <v>30.0</v>
      </c>
      <c r="F284" s="1">
        <v>4.0</v>
      </c>
      <c r="G284" s="1">
        <v>9.0</v>
      </c>
      <c r="H284" s="1" t="s">
        <v>18</v>
      </c>
      <c r="I284" s="2">
        <v>46197.0</v>
      </c>
      <c r="J284" s="1">
        <v>1200000.0</v>
      </c>
      <c r="K284" s="2">
        <v>45809.0</v>
      </c>
    </row>
    <row r="285" hidden="1">
      <c r="A285" s="1" t="s">
        <v>44</v>
      </c>
      <c r="B285" s="1" t="s">
        <v>45</v>
      </c>
      <c r="C285" s="1" t="s">
        <v>42</v>
      </c>
      <c r="D285" s="1">
        <v>41.0</v>
      </c>
      <c r="E285" s="1">
        <v>30.0</v>
      </c>
      <c r="F285" s="1">
        <v>6.0</v>
      </c>
      <c r="G285" s="1">
        <v>10.0</v>
      </c>
      <c r="H285" s="1" t="s">
        <v>43</v>
      </c>
      <c r="I285" s="2">
        <v>45945.0</v>
      </c>
      <c r="J285" s="1">
        <v>350000.0</v>
      </c>
      <c r="K285" s="2">
        <v>45931.0</v>
      </c>
    </row>
    <row r="286" hidden="1">
      <c r="A286" s="1" t="s">
        <v>31</v>
      </c>
      <c r="B286" s="1" t="s">
        <v>32</v>
      </c>
      <c r="C286" s="1" t="s">
        <v>13</v>
      </c>
      <c r="D286" s="1">
        <v>172.0</v>
      </c>
      <c r="E286" s="1">
        <v>40.0</v>
      </c>
      <c r="F286" s="1">
        <v>2.0</v>
      </c>
      <c r="G286" s="1">
        <v>6.0</v>
      </c>
      <c r="H286" s="1" t="s">
        <v>33</v>
      </c>
      <c r="I286" s="2">
        <v>45955.0</v>
      </c>
      <c r="J286" s="1">
        <v>550000.0</v>
      </c>
      <c r="K286" s="2">
        <v>45931.0</v>
      </c>
    </row>
    <row r="287" hidden="1">
      <c r="A287" s="1" t="s">
        <v>46</v>
      </c>
      <c r="B287" s="1" t="s">
        <v>47</v>
      </c>
      <c r="C287" s="1" t="s">
        <v>23</v>
      </c>
      <c r="D287" s="1">
        <v>36.0</v>
      </c>
      <c r="E287" s="1">
        <v>40.0</v>
      </c>
      <c r="F287" s="1">
        <v>6.0</v>
      </c>
      <c r="G287" s="1">
        <v>4.0</v>
      </c>
      <c r="H287" s="1" t="s">
        <v>30</v>
      </c>
      <c r="I287" s="2">
        <v>46044.0</v>
      </c>
      <c r="J287" s="1">
        <v>550000.0</v>
      </c>
      <c r="K287" s="2">
        <v>46023.0</v>
      </c>
    </row>
    <row r="288" hidden="1">
      <c r="A288" s="1" t="s">
        <v>31</v>
      </c>
      <c r="B288" s="1" t="s">
        <v>32</v>
      </c>
      <c r="C288" s="1" t="s">
        <v>13</v>
      </c>
      <c r="D288" s="1">
        <v>160.0</v>
      </c>
      <c r="E288" s="1">
        <v>40.0</v>
      </c>
      <c r="F288" s="1">
        <v>3.0</v>
      </c>
      <c r="G288" s="1">
        <v>6.0</v>
      </c>
      <c r="H288" s="1" t="s">
        <v>33</v>
      </c>
      <c r="I288" s="2">
        <v>45887.0</v>
      </c>
      <c r="J288" s="1">
        <v>550000.0</v>
      </c>
      <c r="K288" s="2">
        <v>45870.0</v>
      </c>
    </row>
    <row r="289" hidden="1">
      <c r="A289" s="1" t="s">
        <v>44</v>
      </c>
      <c r="B289" s="1" t="s">
        <v>45</v>
      </c>
      <c r="C289" s="1" t="s">
        <v>42</v>
      </c>
      <c r="D289" s="1">
        <v>45.0</v>
      </c>
      <c r="E289" s="1">
        <v>30.0</v>
      </c>
      <c r="F289" s="1">
        <v>5.0</v>
      </c>
      <c r="G289" s="1">
        <v>5.0</v>
      </c>
      <c r="H289" s="1" t="s">
        <v>43</v>
      </c>
      <c r="I289" s="2">
        <v>45801.0</v>
      </c>
      <c r="J289" s="1">
        <v>350000.0</v>
      </c>
      <c r="K289" s="2">
        <v>45778.0</v>
      </c>
    </row>
    <row r="290" hidden="1">
      <c r="A290" s="1" t="s">
        <v>19</v>
      </c>
      <c r="B290" s="1" t="s">
        <v>20</v>
      </c>
      <c r="C290" s="1" t="s">
        <v>17</v>
      </c>
      <c r="D290" s="1">
        <v>52.0</v>
      </c>
      <c r="E290" s="1">
        <v>30.0</v>
      </c>
      <c r="F290" s="1">
        <v>5.0</v>
      </c>
      <c r="G290" s="1">
        <v>5.0</v>
      </c>
      <c r="H290" s="1" t="s">
        <v>18</v>
      </c>
      <c r="I290" s="2">
        <v>46321.0</v>
      </c>
      <c r="J290" s="1">
        <v>1200000.0</v>
      </c>
      <c r="K290" s="2">
        <v>46054.0</v>
      </c>
    </row>
    <row r="291" hidden="1">
      <c r="A291" s="1" t="s">
        <v>19</v>
      </c>
      <c r="B291" s="1" t="s">
        <v>20</v>
      </c>
      <c r="C291" s="1" t="s">
        <v>17</v>
      </c>
      <c r="D291" s="1">
        <v>51.0</v>
      </c>
      <c r="E291" s="1">
        <v>30.0</v>
      </c>
      <c r="F291" s="1">
        <v>4.0</v>
      </c>
      <c r="G291" s="1">
        <v>6.0</v>
      </c>
      <c r="H291" s="1" t="s">
        <v>18</v>
      </c>
      <c r="I291" s="2">
        <v>45775.0</v>
      </c>
      <c r="J291" s="1">
        <v>1200000.0</v>
      </c>
      <c r="K291" s="2">
        <v>45748.0</v>
      </c>
    </row>
    <row r="292" hidden="1">
      <c r="A292" s="1" t="s">
        <v>11</v>
      </c>
      <c r="B292" s="1" t="s">
        <v>12</v>
      </c>
      <c r="C292" s="1" t="s">
        <v>13</v>
      </c>
      <c r="D292" s="1">
        <v>290.0</v>
      </c>
      <c r="E292" s="1">
        <v>50.0</v>
      </c>
      <c r="F292" s="1">
        <v>3.0</v>
      </c>
      <c r="G292" s="1">
        <v>6.0</v>
      </c>
      <c r="H292" s="1" t="s">
        <v>14</v>
      </c>
      <c r="I292" s="2">
        <v>45991.0</v>
      </c>
      <c r="J292" s="1">
        <v>125000.0</v>
      </c>
      <c r="K292" s="2">
        <v>45962.0</v>
      </c>
    </row>
    <row r="293" hidden="1">
      <c r="A293" s="1" t="s">
        <v>55</v>
      </c>
      <c r="B293" s="1" t="s">
        <v>56</v>
      </c>
      <c r="C293" s="1" t="s">
        <v>36</v>
      </c>
      <c r="D293" s="1">
        <v>57.0</v>
      </c>
      <c r="E293" s="1">
        <v>100.0</v>
      </c>
      <c r="F293" s="1">
        <v>15.0</v>
      </c>
      <c r="G293" s="1">
        <v>4.0</v>
      </c>
      <c r="H293" s="1" t="s">
        <v>37</v>
      </c>
      <c r="I293" s="2">
        <v>46034.0</v>
      </c>
      <c r="J293" s="1">
        <v>85000.0</v>
      </c>
      <c r="K293" s="2">
        <v>46023.0</v>
      </c>
    </row>
    <row r="294" hidden="1">
      <c r="A294" s="1" t="s">
        <v>25</v>
      </c>
      <c r="B294" s="1" t="s">
        <v>26</v>
      </c>
      <c r="C294" s="1" t="s">
        <v>17</v>
      </c>
      <c r="D294" s="1">
        <v>11.0</v>
      </c>
      <c r="E294" s="1">
        <v>25.0</v>
      </c>
      <c r="F294" s="1">
        <v>7.0</v>
      </c>
      <c r="G294" s="1">
        <v>14.0</v>
      </c>
      <c r="H294" s="1" t="s">
        <v>27</v>
      </c>
      <c r="I294" s="2">
        <v>45862.0</v>
      </c>
      <c r="J294" s="1">
        <v>4500000.0</v>
      </c>
      <c r="K294" s="2">
        <v>45839.0</v>
      </c>
    </row>
    <row r="295" hidden="1">
      <c r="A295" s="1" t="s">
        <v>40</v>
      </c>
      <c r="B295" s="1" t="s">
        <v>41</v>
      </c>
      <c r="C295" s="1" t="s">
        <v>42</v>
      </c>
      <c r="D295" s="1">
        <v>21.0</v>
      </c>
      <c r="E295" s="1">
        <v>15.0</v>
      </c>
      <c r="F295" s="1">
        <v>1.0</v>
      </c>
      <c r="G295" s="1">
        <v>9.0</v>
      </c>
      <c r="H295" s="1" t="s">
        <v>43</v>
      </c>
      <c r="I295" s="2">
        <v>45968.0</v>
      </c>
      <c r="J295" s="1">
        <v>1200000.0</v>
      </c>
      <c r="K295" s="2">
        <v>45962.0</v>
      </c>
    </row>
    <row r="296" hidden="1">
      <c r="A296" s="1" t="s">
        <v>51</v>
      </c>
      <c r="B296" s="1" t="s">
        <v>52</v>
      </c>
      <c r="C296" s="1" t="s">
        <v>36</v>
      </c>
      <c r="D296" s="1">
        <v>44.0</v>
      </c>
      <c r="E296" s="1">
        <v>60.0</v>
      </c>
      <c r="F296" s="1">
        <v>6.0</v>
      </c>
      <c r="G296" s="1">
        <v>6.0</v>
      </c>
      <c r="H296" s="1" t="s">
        <v>50</v>
      </c>
      <c r="I296" s="2">
        <v>45839.0</v>
      </c>
      <c r="J296" s="1">
        <v>175000.0</v>
      </c>
      <c r="K296" s="2">
        <v>45839.0</v>
      </c>
    </row>
    <row r="297" hidden="1">
      <c r="A297" s="1" t="s">
        <v>31</v>
      </c>
      <c r="B297" s="1" t="s">
        <v>32</v>
      </c>
      <c r="C297" s="1" t="s">
        <v>13</v>
      </c>
      <c r="D297" s="1">
        <v>127.0</v>
      </c>
      <c r="E297" s="1">
        <v>40.0</v>
      </c>
      <c r="F297" s="1">
        <v>3.0</v>
      </c>
      <c r="G297" s="1">
        <v>4.0</v>
      </c>
      <c r="H297" s="1" t="s">
        <v>33</v>
      </c>
      <c r="I297" s="2">
        <v>46001.0</v>
      </c>
      <c r="J297" s="1">
        <v>550000.0</v>
      </c>
      <c r="K297" s="2">
        <v>45992.0</v>
      </c>
    </row>
    <row r="298" hidden="1">
      <c r="A298" s="1" t="s">
        <v>48</v>
      </c>
      <c r="B298" s="1" t="s">
        <v>49</v>
      </c>
      <c r="C298" s="1" t="s">
        <v>36</v>
      </c>
      <c r="D298" s="1">
        <v>170.0</v>
      </c>
      <c r="E298" s="1">
        <v>120.0</v>
      </c>
      <c r="F298" s="1">
        <v>17.0</v>
      </c>
      <c r="G298" s="1">
        <v>3.0</v>
      </c>
      <c r="H298" s="1" t="s">
        <v>50</v>
      </c>
      <c r="I298" s="2">
        <v>45905.0</v>
      </c>
      <c r="J298" s="1">
        <v>55000.0</v>
      </c>
      <c r="K298" s="2">
        <v>45901.0</v>
      </c>
    </row>
    <row r="299" hidden="1">
      <c r="A299" s="1" t="s">
        <v>34</v>
      </c>
      <c r="B299" s="1" t="s">
        <v>35</v>
      </c>
      <c r="C299" s="1" t="s">
        <v>36</v>
      </c>
      <c r="D299" s="1">
        <v>0.0</v>
      </c>
      <c r="E299" s="1">
        <v>80.0</v>
      </c>
      <c r="F299" s="1">
        <v>18.0</v>
      </c>
      <c r="G299" s="1">
        <v>4.0</v>
      </c>
      <c r="H299" s="1" t="s">
        <v>37</v>
      </c>
      <c r="I299" s="2">
        <v>45745.0</v>
      </c>
      <c r="J299" s="1">
        <v>65000.0</v>
      </c>
      <c r="K299" s="2">
        <v>45717.0</v>
      </c>
    </row>
    <row r="300" hidden="1">
      <c r="A300" s="1" t="s">
        <v>57</v>
      </c>
      <c r="B300" s="1" t="s">
        <v>58</v>
      </c>
      <c r="C300" s="1" t="s">
        <v>42</v>
      </c>
      <c r="D300" s="1">
        <v>44.0</v>
      </c>
      <c r="E300" s="1">
        <v>25.0</v>
      </c>
      <c r="F300" s="1">
        <v>4.0</v>
      </c>
      <c r="G300" s="1">
        <v>8.0</v>
      </c>
      <c r="H300" s="1" t="s">
        <v>59</v>
      </c>
      <c r="I300" s="2">
        <v>46108.0</v>
      </c>
      <c r="J300" s="1">
        <v>450000.0</v>
      </c>
      <c r="K300" s="2">
        <v>46082.0</v>
      </c>
    </row>
    <row r="301" hidden="1">
      <c r="A301" s="1" t="s">
        <v>64</v>
      </c>
      <c r="B301" s="1" t="s">
        <v>65</v>
      </c>
      <c r="C301" s="1" t="s">
        <v>42</v>
      </c>
      <c r="D301" s="1">
        <v>27.0</v>
      </c>
      <c r="E301" s="1">
        <v>20.0</v>
      </c>
      <c r="F301" s="1">
        <v>3.0</v>
      </c>
      <c r="G301" s="1">
        <v>8.0</v>
      </c>
      <c r="H301" s="1" t="s">
        <v>59</v>
      </c>
      <c r="I301" s="2">
        <v>45976.0</v>
      </c>
      <c r="J301" s="1">
        <v>750000.0</v>
      </c>
      <c r="K301" s="2">
        <v>45962.0</v>
      </c>
    </row>
    <row r="302" hidden="1">
      <c r="A302" s="1" t="s">
        <v>40</v>
      </c>
      <c r="B302" s="1" t="s">
        <v>41</v>
      </c>
      <c r="C302" s="1" t="s">
        <v>42</v>
      </c>
      <c r="D302" s="1">
        <v>22.0</v>
      </c>
      <c r="E302" s="1">
        <v>15.0</v>
      </c>
      <c r="F302" s="1">
        <v>2.0</v>
      </c>
      <c r="G302" s="1">
        <v>5.0</v>
      </c>
      <c r="H302" s="1" t="s">
        <v>43</v>
      </c>
      <c r="I302" s="2">
        <v>45709.0</v>
      </c>
      <c r="J302" s="1">
        <v>1200000.0</v>
      </c>
      <c r="K302" s="2">
        <v>45689.0</v>
      </c>
    </row>
    <row r="303" hidden="1">
      <c r="A303" s="1" t="s">
        <v>28</v>
      </c>
      <c r="B303" s="1" t="s">
        <v>29</v>
      </c>
      <c r="C303" s="1" t="s">
        <v>23</v>
      </c>
      <c r="D303" s="1">
        <v>18.0</v>
      </c>
      <c r="E303" s="1">
        <v>35.0</v>
      </c>
      <c r="F303" s="1">
        <v>5.0</v>
      </c>
      <c r="G303" s="1">
        <v>4.0</v>
      </c>
      <c r="H303" s="1" t="s">
        <v>30</v>
      </c>
      <c r="I303" s="2">
        <v>45949.0</v>
      </c>
      <c r="J303" s="1">
        <v>1250000.0</v>
      </c>
      <c r="K303" s="2">
        <v>45931.0</v>
      </c>
    </row>
    <row r="304" hidden="1">
      <c r="A304" s="1" t="s">
        <v>38</v>
      </c>
      <c r="B304" s="1" t="s">
        <v>39</v>
      </c>
      <c r="C304" s="1" t="s">
        <v>23</v>
      </c>
      <c r="D304" s="1">
        <v>17.0</v>
      </c>
      <c r="E304" s="1">
        <v>45.0</v>
      </c>
      <c r="F304" s="1">
        <v>8.0</v>
      </c>
      <c r="G304" s="1">
        <v>4.0</v>
      </c>
      <c r="H304" s="1" t="s">
        <v>24</v>
      </c>
      <c r="I304" s="2">
        <v>46050.0</v>
      </c>
      <c r="J304" s="1">
        <v>450000.0</v>
      </c>
      <c r="K304" s="2">
        <v>46023.0</v>
      </c>
    </row>
    <row r="305" hidden="1">
      <c r="A305" s="1" t="s">
        <v>53</v>
      </c>
      <c r="B305" s="1" t="s">
        <v>54</v>
      </c>
      <c r="C305" s="1" t="s">
        <v>13</v>
      </c>
      <c r="D305" s="1">
        <v>273.0</v>
      </c>
      <c r="E305" s="1">
        <v>60.0</v>
      </c>
      <c r="F305" s="1">
        <v>1.0</v>
      </c>
      <c r="G305" s="1">
        <v>4.0</v>
      </c>
      <c r="H305" s="1" t="s">
        <v>14</v>
      </c>
      <c r="I305" s="2">
        <v>45806.0</v>
      </c>
      <c r="J305" s="1">
        <v>165000.0</v>
      </c>
      <c r="K305" s="2">
        <v>45778.0</v>
      </c>
    </row>
    <row r="306" hidden="1">
      <c r="A306" s="1" t="s">
        <v>64</v>
      </c>
      <c r="B306" s="1" t="s">
        <v>65</v>
      </c>
      <c r="C306" s="1" t="s">
        <v>42</v>
      </c>
      <c r="D306" s="1">
        <v>40.0</v>
      </c>
      <c r="E306" s="1">
        <v>20.0</v>
      </c>
      <c r="F306" s="1">
        <v>1.0</v>
      </c>
      <c r="G306" s="1">
        <v>7.0</v>
      </c>
      <c r="H306" s="1" t="s">
        <v>59</v>
      </c>
      <c r="I306" s="2">
        <v>45693.0</v>
      </c>
      <c r="J306" s="1">
        <v>750000.0</v>
      </c>
      <c r="K306" s="2">
        <v>45689.0</v>
      </c>
    </row>
    <row r="307" hidden="1">
      <c r="A307" s="1" t="s">
        <v>38</v>
      </c>
      <c r="B307" s="1" t="s">
        <v>39</v>
      </c>
      <c r="C307" s="1" t="s">
        <v>23</v>
      </c>
      <c r="D307" s="1">
        <v>17.0</v>
      </c>
      <c r="E307" s="1">
        <v>45.0</v>
      </c>
      <c r="F307" s="1">
        <v>8.0</v>
      </c>
      <c r="G307" s="1">
        <v>4.0</v>
      </c>
      <c r="H307" s="1" t="s">
        <v>24</v>
      </c>
      <c r="I307" s="2">
        <v>46050.0</v>
      </c>
      <c r="J307" s="1">
        <v>450000.0</v>
      </c>
      <c r="K307" s="2">
        <v>46023.0</v>
      </c>
    </row>
    <row r="308" hidden="1">
      <c r="A308" s="1" t="s">
        <v>25</v>
      </c>
      <c r="B308" s="1" t="s">
        <v>26</v>
      </c>
      <c r="C308" s="1" t="s">
        <v>17</v>
      </c>
      <c r="D308" s="1">
        <v>5.0</v>
      </c>
      <c r="E308" s="1">
        <v>25.0</v>
      </c>
      <c r="F308" s="1">
        <v>7.0</v>
      </c>
      <c r="G308" s="1">
        <v>19.0</v>
      </c>
      <c r="H308" s="1" t="s">
        <v>27</v>
      </c>
      <c r="I308" s="2">
        <v>45837.0</v>
      </c>
      <c r="J308" s="1">
        <v>4500000.0</v>
      </c>
      <c r="K308" s="2">
        <v>45809.0</v>
      </c>
    </row>
    <row r="309" hidden="1">
      <c r="A309" s="1" t="s">
        <v>31</v>
      </c>
      <c r="B309" s="1" t="s">
        <v>32</v>
      </c>
      <c r="C309" s="1" t="s">
        <v>13</v>
      </c>
      <c r="D309" s="1">
        <v>129.0</v>
      </c>
      <c r="E309" s="1">
        <v>40.0</v>
      </c>
      <c r="F309" s="1">
        <v>4.0</v>
      </c>
      <c r="G309" s="1">
        <v>6.0</v>
      </c>
      <c r="H309" s="1" t="s">
        <v>33</v>
      </c>
      <c r="I309" s="2">
        <v>45916.0</v>
      </c>
      <c r="J309" s="1">
        <v>550000.0</v>
      </c>
      <c r="K309" s="2">
        <v>45901.0</v>
      </c>
    </row>
    <row r="310" hidden="1">
      <c r="A310" s="1" t="s">
        <v>21</v>
      </c>
      <c r="B310" s="1" t="s">
        <v>22</v>
      </c>
      <c r="C310" s="1" t="s">
        <v>23</v>
      </c>
      <c r="D310" s="1">
        <v>0.0</v>
      </c>
      <c r="E310" s="1">
        <v>50.0</v>
      </c>
      <c r="F310" s="1">
        <v>14.0</v>
      </c>
      <c r="G310" s="1">
        <v>7.0</v>
      </c>
      <c r="H310" s="1" t="s">
        <v>24</v>
      </c>
      <c r="I310" s="2">
        <v>46014.0</v>
      </c>
      <c r="J310" s="1">
        <v>350000.0</v>
      </c>
      <c r="K310" s="2">
        <v>45992.0</v>
      </c>
    </row>
    <row r="311" hidden="1">
      <c r="A311" s="1" t="s">
        <v>46</v>
      </c>
      <c r="B311" s="1" t="s">
        <v>47</v>
      </c>
      <c r="C311" s="1" t="s">
        <v>23</v>
      </c>
      <c r="D311" s="1">
        <v>9.0</v>
      </c>
      <c r="E311" s="1">
        <v>40.0</v>
      </c>
      <c r="F311" s="1">
        <v>5.0</v>
      </c>
      <c r="G311" s="1">
        <v>8.0</v>
      </c>
      <c r="H311" s="1" t="s">
        <v>30</v>
      </c>
      <c r="I311" s="2">
        <v>45698.0</v>
      </c>
      <c r="J311" s="1">
        <v>550000.0</v>
      </c>
      <c r="K311" s="2">
        <v>45689.0</v>
      </c>
    </row>
    <row r="312" hidden="1">
      <c r="A312" s="1" t="s">
        <v>51</v>
      </c>
      <c r="B312" s="1" t="s">
        <v>52</v>
      </c>
      <c r="C312" s="1" t="s">
        <v>36</v>
      </c>
      <c r="D312" s="1">
        <v>20.0</v>
      </c>
      <c r="E312" s="1">
        <v>60.0</v>
      </c>
      <c r="F312" s="1">
        <v>9.0</v>
      </c>
      <c r="G312" s="1">
        <v>5.0</v>
      </c>
      <c r="H312" s="1" t="s">
        <v>50</v>
      </c>
      <c r="I312" s="2">
        <v>45687.0</v>
      </c>
      <c r="J312" s="1">
        <v>175000.0</v>
      </c>
      <c r="K312" s="2">
        <v>45658.0</v>
      </c>
    </row>
    <row r="313" hidden="1">
      <c r="A313" s="1" t="s">
        <v>28</v>
      </c>
      <c r="B313" s="1" t="s">
        <v>29</v>
      </c>
      <c r="C313" s="1" t="s">
        <v>23</v>
      </c>
      <c r="D313" s="1">
        <v>16.0</v>
      </c>
      <c r="E313" s="1">
        <v>35.0</v>
      </c>
      <c r="F313" s="1">
        <v>7.0</v>
      </c>
      <c r="G313" s="1">
        <v>5.0</v>
      </c>
      <c r="H313" s="1" t="s">
        <v>30</v>
      </c>
      <c r="I313" s="2">
        <v>46024.0</v>
      </c>
      <c r="J313" s="1">
        <v>1250000.0</v>
      </c>
      <c r="K313" s="2">
        <v>46023.0</v>
      </c>
    </row>
  </sheetData>
  <autoFilter ref="$A$1:$K$313">
    <filterColumn colId="3">
      <colorFilter dxfId="3"/>
    </filterColumn>
  </autoFilter>
  <conditionalFormatting sqref="D2:D1000">
    <cfRule type="expression" dxfId="2" priority="1">
      <formula>$D2&lt;0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  <c r="L2" s="3" t="b">
        <f t="shared" ref="L2:L313" si="1">COUNTBLANK($A2:$K2) &gt; 0</f>
        <v>0</v>
      </c>
    </row>
    <row r="3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  <c r="L3" s="3" t="b">
        <f t="shared" si="1"/>
        <v>0</v>
      </c>
    </row>
    <row r="4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  <c r="L4" s="3" t="b">
        <f t="shared" si="1"/>
        <v>0</v>
      </c>
    </row>
    <row r="5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  <c r="L5" s="3" t="b">
        <f t="shared" si="1"/>
        <v>0</v>
      </c>
    </row>
    <row r="6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  <c r="L6" s="3" t="b">
        <f t="shared" si="1"/>
        <v>0</v>
      </c>
    </row>
    <row r="7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  <c r="L7" s="3" t="b">
        <f t="shared" si="1"/>
        <v>0</v>
      </c>
    </row>
    <row r="8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  <c r="L8" s="3" t="b">
        <f t="shared" si="1"/>
        <v>0</v>
      </c>
    </row>
    <row r="9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  <c r="L9" s="3" t="b">
        <f t="shared" si="1"/>
        <v>0</v>
      </c>
    </row>
    <row r="10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  <c r="L10" s="3" t="b">
        <f t="shared" si="1"/>
        <v>0</v>
      </c>
    </row>
    <row r="1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  <c r="L11" s="3" t="b">
        <f t="shared" si="1"/>
        <v>0</v>
      </c>
    </row>
    <row r="12">
      <c r="A12" s="1" t="s">
        <v>38</v>
      </c>
      <c r="B12" s="1" t="s">
        <v>39</v>
      </c>
      <c r="C12" s="1" t="s">
        <v>23</v>
      </c>
      <c r="D12" s="1">
        <v>-28.0</v>
      </c>
      <c r="E12" s="1">
        <v>45.0</v>
      </c>
      <c r="F12" s="1">
        <v>7.0</v>
      </c>
      <c r="G12" s="1">
        <v>5.0</v>
      </c>
      <c r="H12" s="1" t="s">
        <v>24</v>
      </c>
      <c r="I12" s="2">
        <v>45664.0</v>
      </c>
      <c r="J12" s="1">
        <v>450000.0</v>
      </c>
      <c r="K12" s="2">
        <v>45658.0</v>
      </c>
      <c r="L12" s="3" t="b">
        <f t="shared" si="1"/>
        <v>0</v>
      </c>
    </row>
    <row r="13">
      <c r="A13" s="1" t="s">
        <v>40</v>
      </c>
      <c r="B13" s="1" t="s">
        <v>41</v>
      </c>
      <c r="C13" s="1" t="s">
        <v>42</v>
      </c>
      <c r="D13" s="1">
        <v>-18.0</v>
      </c>
      <c r="E13" s="1">
        <v>15.0</v>
      </c>
      <c r="F13" s="1">
        <v>4.0</v>
      </c>
      <c r="G13" s="1">
        <v>6.0</v>
      </c>
      <c r="H13" s="1" t="s">
        <v>43</v>
      </c>
      <c r="I13" s="2">
        <v>46099.0</v>
      </c>
      <c r="J13" s="1">
        <v>1200000.0</v>
      </c>
      <c r="K13" s="2">
        <v>46082.0</v>
      </c>
      <c r="L13" s="3" t="b">
        <f t="shared" si="1"/>
        <v>0</v>
      </c>
    </row>
    <row r="14">
      <c r="A14" s="1" t="s">
        <v>44</v>
      </c>
      <c r="B14" s="1" t="s">
        <v>45</v>
      </c>
      <c r="C14" s="1" t="s">
        <v>42</v>
      </c>
      <c r="D14" s="1">
        <v>54.0</v>
      </c>
      <c r="E14" s="1">
        <v>30.0</v>
      </c>
      <c r="F14" s="1">
        <v>6.0</v>
      </c>
      <c r="G14" s="1">
        <v>8.0</v>
      </c>
      <c r="H14" s="1" t="s">
        <v>43</v>
      </c>
      <c r="I14" s="2">
        <v>45983.0</v>
      </c>
      <c r="J14" s="1">
        <v>350000.0</v>
      </c>
      <c r="K14" s="2">
        <v>45962.0</v>
      </c>
      <c r="L14" s="3" t="b">
        <f t="shared" si="1"/>
        <v>0</v>
      </c>
    </row>
    <row r="15">
      <c r="A15" s="1" t="s">
        <v>46</v>
      </c>
      <c r="B15" s="1" t="s">
        <v>47</v>
      </c>
      <c r="C15" s="1" t="s">
        <v>23</v>
      </c>
      <c r="D15" s="1">
        <v>0.0</v>
      </c>
      <c r="E15" s="1">
        <v>40.0</v>
      </c>
      <c r="F15" s="1">
        <v>7.0</v>
      </c>
      <c r="G15" s="1">
        <v>4.0</v>
      </c>
      <c r="H15" s="1" t="s">
        <v>30</v>
      </c>
      <c r="I15" s="2">
        <v>45761.0</v>
      </c>
      <c r="J15" s="1">
        <v>550000.0</v>
      </c>
      <c r="K15" s="2">
        <v>45748.0</v>
      </c>
      <c r="L15" s="3" t="b">
        <f t="shared" si="1"/>
        <v>0</v>
      </c>
    </row>
    <row r="16">
      <c r="A16" s="1" t="s">
        <v>44</v>
      </c>
      <c r="B16" s="1" t="s">
        <v>45</v>
      </c>
      <c r="C16" s="1" t="s">
        <v>42</v>
      </c>
      <c r="D16" s="1">
        <v>41.0</v>
      </c>
      <c r="E16" s="1">
        <v>30.0</v>
      </c>
      <c r="F16" s="1">
        <v>4.0</v>
      </c>
      <c r="G16" s="1">
        <v>10.0</v>
      </c>
      <c r="H16" s="1" t="s">
        <v>43</v>
      </c>
      <c r="I16" s="2">
        <v>45930.0</v>
      </c>
      <c r="J16" s="1">
        <v>350000.0</v>
      </c>
      <c r="K16" s="2">
        <v>45901.0</v>
      </c>
      <c r="L16" s="3" t="b">
        <f t="shared" si="1"/>
        <v>0</v>
      </c>
    </row>
    <row r="17">
      <c r="A17" s="1" t="s">
        <v>48</v>
      </c>
      <c r="B17" s="1" t="s">
        <v>49</v>
      </c>
      <c r="C17" s="1" t="s">
        <v>36</v>
      </c>
      <c r="D17" s="1">
        <v>33.0</v>
      </c>
      <c r="E17" s="1">
        <v>120.0</v>
      </c>
      <c r="F17" s="1">
        <v>18.0</v>
      </c>
      <c r="G17" s="1">
        <v>7.0</v>
      </c>
      <c r="H17" s="1" t="s">
        <v>50</v>
      </c>
      <c r="I17" s="2">
        <v>45878.0</v>
      </c>
      <c r="J17" s="1">
        <v>55000.0</v>
      </c>
      <c r="K17" s="2">
        <v>45870.0</v>
      </c>
      <c r="L17" s="3" t="b">
        <f t="shared" si="1"/>
        <v>0</v>
      </c>
    </row>
    <row r="18">
      <c r="A18" s="1" t="s">
        <v>15</v>
      </c>
      <c r="B18" s="1" t="s">
        <v>16</v>
      </c>
      <c r="C18" s="1" t="s">
        <v>17</v>
      </c>
      <c r="D18" s="1">
        <v>26.0</v>
      </c>
      <c r="E18" s="1">
        <v>15.0</v>
      </c>
      <c r="F18" s="1">
        <v>3.0</v>
      </c>
      <c r="G18" s="1">
        <v>8.0</v>
      </c>
      <c r="H18" s="1" t="s">
        <v>18</v>
      </c>
      <c r="I18" s="2">
        <v>45816.0</v>
      </c>
      <c r="J18" s="1">
        <v>8500000.0</v>
      </c>
      <c r="K18" s="2">
        <v>45809.0</v>
      </c>
      <c r="L18" s="3" t="b">
        <f t="shared" si="1"/>
        <v>0</v>
      </c>
    </row>
    <row r="19">
      <c r="A19" s="1" t="s">
        <v>11</v>
      </c>
      <c r="B19" s="1" t="s">
        <v>12</v>
      </c>
      <c r="C19" s="1" t="s">
        <v>13</v>
      </c>
      <c r="D19" s="1">
        <v>139.0</v>
      </c>
      <c r="E19" s="1">
        <v>50.0</v>
      </c>
      <c r="F19" s="1">
        <v>1.0</v>
      </c>
      <c r="G19" s="1">
        <v>7.0</v>
      </c>
      <c r="H19" s="1" t="s">
        <v>14</v>
      </c>
      <c r="I19" s="2">
        <v>46317.0</v>
      </c>
      <c r="J19" s="1">
        <v>125000.0</v>
      </c>
      <c r="K19" s="2">
        <v>45839.0</v>
      </c>
      <c r="L19" s="3" t="b">
        <f t="shared" si="1"/>
        <v>0</v>
      </c>
    </row>
    <row r="20">
      <c r="A20" s="1" t="s">
        <v>44</v>
      </c>
      <c r="B20" s="1" t="s">
        <v>45</v>
      </c>
      <c r="C20" s="1" t="s">
        <v>42</v>
      </c>
      <c r="D20" s="1">
        <v>49.0</v>
      </c>
      <c r="E20" s="1">
        <v>30.0</v>
      </c>
      <c r="F20" s="1">
        <v>6.0</v>
      </c>
      <c r="G20" s="1">
        <v>9.0</v>
      </c>
      <c r="H20" s="1" t="s">
        <v>43</v>
      </c>
      <c r="I20" s="2">
        <v>45669.0</v>
      </c>
      <c r="J20" s="1">
        <v>350000.0</v>
      </c>
      <c r="K20" s="2">
        <v>45658.0</v>
      </c>
      <c r="L20" s="3" t="b">
        <f t="shared" si="1"/>
        <v>0</v>
      </c>
    </row>
    <row r="21">
      <c r="A21" s="1" t="s">
        <v>48</v>
      </c>
      <c r="B21" s="1" t="s">
        <v>49</v>
      </c>
      <c r="C21" s="1" t="s">
        <v>36</v>
      </c>
      <c r="D21" s="1">
        <v>0.0</v>
      </c>
      <c r="E21" s="1">
        <v>120.0</v>
      </c>
      <c r="F21" s="1">
        <v>27.0</v>
      </c>
      <c r="G21" s="1">
        <v>7.0</v>
      </c>
      <c r="H21" s="1" t="s">
        <v>50</v>
      </c>
      <c r="I21" s="2">
        <v>46010.0</v>
      </c>
      <c r="J21" s="1">
        <v>55000.0</v>
      </c>
      <c r="K21" s="2">
        <v>45992.0</v>
      </c>
      <c r="L21" s="3" t="b">
        <f t="shared" si="1"/>
        <v>0</v>
      </c>
    </row>
    <row r="22">
      <c r="A22" s="1" t="s">
        <v>21</v>
      </c>
      <c r="B22" s="1" t="s">
        <v>22</v>
      </c>
      <c r="C22" s="1" t="s">
        <v>23</v>
      </c>
      <c r="D22" s="1">
        <v>14.0</v>
      </c>
      <c r="E22" s="1">
        <v>50.0</v>
      </c>
      <c r="F22" s="1">
        <v>11.0</v>
      </c>
      <c r="G22" s="1">
        <v>4.0</v>
      </c>
      <c r="H22" s="1" t="s">
        <v>24</v>
      </c>
      <c r="I22" s="2">
        <v>46062.0</v>
      </c>
      <c r="J22" s="1">
        <v>350000.0</v>
      </c>
      <c r="K22" s="2">
        <v>46054.0</v>
      </c>
      <c r="L22" s="3" t="b">
        <f t="shared" si="1"/>
        <v>0</v>
      </c>
    </row>
    <row r="23">
      <c r="A23" s="1" t="s">
        <v>51</v>
      </c>
      <c r="B23" s="1" t="s">
        <v>52</v>
      </c>
      <c r="C23" s="1" t="s">
        <v>36</v>
      </c>
      <c r="D23" s="1">
        <v>0.0</v>
      </c>
      <c r="E23" s="1">
        <v>60.0</v>
      </c>
      <c r="F23" s="1">
        <v>13.0</v>
      </c>
      <c r="G23" s="1">
        <v>4.0</v>
      </c>
      <c r="H23" s="1" t="s">
        <v>50</v>
      </c>
      <c r="I23" s="2">
        <v>46004.0</v>
      </c>
      <c r="J23" s="1">
        <v>175000.0</v>
      </c>
      <c r="K23" s="2">
        <v>45992.0</v>
      </c>
      <c r="L23" s="3" t="b">
        <f t="shared" si="1"/>
        <v>0</v>
      </c>
    </row>
    <row r="24">
      <c r="A24" s="1" t="s">
        <v>53</v>
      </c>
      <c r="B24" s="1" t="s">
        <v>54</v>
      </c>
      <c r="C24" s="1" t="s">
        <v>13</v>
      </c>
      <c r="D24" s="1">
        <v>191.0</v>
      </c>
      <c r="E24" s="1">
        <v>60.0</v>
      </c>
      <c r="F24" s="1">
        <v>3.0</v>
      </c>
      <c r="G24" s="1">
        <v>8.0</v>
      </c>
      <c r="H24" s="1" t="s">
        <v>14</v>
      </c>
      <c r="I24" s="2">
        <v>45944.0</v>
      </c>
      <c r="J24" s="1">
        <v>165000.0</v>
      </c>
      <c r="K24" s="2">
        <v>45931.0</v>
      </c>
      <c r="L24" s="3" t="b">
        <f t="shared" si="1"/>
        <v>0</v>
      </c>
    </row>
    <row r="25">
      <c r="A25" s="1" t="s">
        <v>55</v>
      </c>
      <c r="B25" s="1" t="s">
        <v>56</v>
      </c>
      <c r="C25" s="1" t="s">
        <v>36</v>
      </c>
      <c r="D25" s="1">
        <v>0.0</v>
      </c>
      <c r="E25" s="1">
        <v>100.0</v>
      </c>
      <c r="F25" s="1">
        <v>24.0</v>
      </c>
      <c r="G25" s="1">
        <v>4.0</v>
      </c>
      <c r="H25" s="1" t="s">
        <v>37</v>
      </c>
      <c r="I25" s="2">
        <v>45747.0</v>
      </c>
      <c r="J25" s="1">
        <v>85000.0</v>
      </c>
      <c r="K25" s="2">
        <v>45717.0</v>
      </c>
      <c r="L25" s="3" t="b">
        <f t="shared" si="1"/>
        <v>0</v>
      </c>
    </row>
    <row r="26">
      <c r="A26" s="1" t="s">
        <v>38</v>
      </c>
      <c r="B26" s="1" t="s">
        <v>39</v>
      </c>
      <c r="C26" s="1" t="s">
        <v>23</v>
      </c>
      <c r="D26" s="1">
        <v>23.0</v>
      </c>
      <c r="E26" s="1">
        <v>45.0</v>
      </c>
      <c r="F26" s="1">
        <v>6.0</v>
      </c>
      <c r="G26" s="1">
        <v>6.0</v>
      </c>
      <c r="H26" s="1" t="s">
        <v>24</v>
      </c>
      <c r="I26" s="2">
        <v>45697.0</v>
      </c>
      <c r="J26" s="1">
        <v>450000.0</v>
      </c>
      <c r="K26" s="2">
        <v>45689.0</v>
      </c>
      <c r="L26" s="3" t="b">
        <f t="shared" si="1"/>
        <v>0</v>
      </c>
    </row>
    <row r="27">
      <c r="A27" s="1" t="s">
        <v>57</v>
      </c>
      <c r="B27" s="1" t="s">
        <v>58</v>
      </c>
      <c r="C27" s="1" t="s">
        <v>42</v>
      </c>
      <c r="D27" s="1">
        <v>50.0</v>
      </c>
      <c r="E27" s="1">
        <v>25.0</v>
      </c>
      <c r="F27" s="1">
        <v>3.0</v>
      </c>
      <c r="G27" s="1">
        <v>7.0</v>
      </c>
      <c r="H27" s="1" t="s">
        <v>59</v>
      </c>
      <c r="I27" s="2">
        <v>45920.0</v>
      </c>
      <c r="J27" s="1">
        <v>450000.0</v>
      </c>
      <c r="K27" s="2">
        <v>45901.0</v>
      </c>
      <c r="L27" s="3" t="b">
        <f t="shared" si="1"/>
        <v>0</v>
      </c>
    </row>
    <row r="28">
      <c r="A28" s="1" t="s">
        <v>57</v>
      </c>
      <c r="B28" s="1" t="s">
        <v>58</v>
      </c>
      <c r="C28" s="1" t="s">
        <v>42</v>
      </c>
      <c r="D28" s="1">
        <v>42.0</v>
      </c>
      <c r="E28" s="1">
        <v>25.0</v>
      </c>
      <c r="F28" s="1">
        <v>3.0</v>
      </c>
      <c r="G28" s="1">
        <v>8.0</v>
      </c>
      <c r="H28" s="1" t="s">
        <v>59</v>
      </c>
      <c r="I28" s="2">
        <v>46078.0</v>
      </c>
      <c r="J28" s="1">
        <v>450000.0</v>
      </c>
      <c r="K28" s="2">
        <v>46054.0</v>
      </c>
      <c r="L28" s="3" t="b">
        <f t="shared" si="1"/>
        <v>0</v>
      </c>
    </row>
    <row r="29">
      <c r="A29" s="1" t="s">
        <v>60</v>
      </c>
      <c r="B29" s="1" t="s">
        <v>61</v>
      </c>
      <c r="C29" s="1" t="s">
        <v>17</v>
      </c>
      <c r="D29" s="1">
        <v>-8.0</v>
      </c>
      <c r="E29" s="1">
        <v>20.0</v>
      </c>
      <c r="F29" s="1">
        <v>2.0</v>
      </c>
      <c r="G29" s="1">
        <v>9.0</v>
      </c>
      <c r="H29" s="1" t="s">
        <v>27</v>
      </c>
      <c r="I29" s="2">
        <v>45750.0</v>
      </c>
      <c r="J29" s="1">
        <v>3200000.0</v>
      </c>
      <c r="K29" s="2">
        <v>45748.0</v>
      </c>
      <c r="L29" s="3" t="b">
        <f t="shared" si="1"/>
        <v>0</v>
      </c>
    </row>
    <row r="30">
      <c r="A30" s="1" t="s">
        <v>51</v>
      </c>
      <c r="B30" s="1" t="s">
        <v>52</v>
      </c>
      <c r="C30" s="1" t="s">
        <v>36</v>
      </c>
      <c r="D30" s="1">
        <v>31.0</v>
      </c>
      <c r="E30" s="1">
        <v>60.0</v>
      </c>
      <c r="F30" s="1">
        <v>8.0</v>
      </c>
      <c r="G30" s="1">
        <v>7.0</v>
      </c>
      <c r="H30" s="1" t="s">
        <v>50</v>
      </c>
      <c r="I30" s="2">
        <v>45880.0</v>
      </c>
      <c r="J30" s="1">
        <v>175000.0</v>
      </c>
      <c r="K30" s="2">
        <v>45870.0</v>
      </c>
      <c r="L30" s="3" t="b">
        <f t="shared" si="1"/>
        <v>0</v>
      </c>
    </row>
    <row r="31">
      <c r="A31" s="1" t="s">
        <v>48</v>
      </c>
      <c r="B31" s="1" t="s">
        <v>49</v>
      </c>
      <c r="C31" s="1" t="s">
        <v>36</v>
      </c>
      <c r="D31" s="1">
        <v>38.0</v>
      </c>
      <c r="E31" s="1">
        <v>120.0</v>
      </c>
      <c r="F31" s="1">
        <v>17.0</v>
      </c>
      <c r="G31" s="1">
        <v>4.0</v>
      </c>
      <c r="H31" s="1" t="s">
        <v>50</v>
      </c>
      <c r="I31" s="2">
        <v>45864.0</v>
      </c>
      <c r="J31" s="1">
        <v>55000.0</v>
      </c>
      <c r="K31" s="2">
        <v>45839.0</v>
      </c>
      <c r="L31" s="3" t="b">
        <f t="shared" si="1"/>
        <v>0</v>
      </c>
    </row>
    <row r="32">
      <c r="A32" s="1" t="s">
        <v>11</v>
      </c>
      <c r="B32" s="1" t="s">
        <v>12</v>
      </c>
      <c r="C32" s="1" t="s">
        <v>13</v>
      </c>
      <c r="D32" s="1">
        <v>217.0</v>
      </c>
      <c r="E32" s="1">
        <v>50.0</v>
      </c>
      <c r="F32" s="1">
        <v>3.0</v>
      </c>
      <c r="G32" s="1">
        <v>7.0</v>
      </c>
      <c r="H32" s="1" t="s">
        <v>14</v>
      </c>
      <c r="I32" s="2">
        <v>46111.0</v>
      </c>
      <c r="J32" s="1">
        <v>125000.0</v>
      </c>
      <c r="K32" s="2">
        <v>46082.0</v>
      </c>
      <c r="L32" s="3" t="b">
        <f t="shared" si="1"/>
        <v>0</v>
      </c>
    </row>
    <row r="33">
      <c r="A33" s="1" t="s">
        <v>15</v>
      </c>
      <c r="B33" s="1" t="s">
        <v>16</v>
      </c>
      <c r="C33" s="1" t="s">
        <v>17</v>
      </c>
      <c r="D33" s="1">
        <v>11.0</v>
      </c>
      <c r="E33" s="1">
        <v>15.0</v>
      </c>
      <c r="F33" s="1">
        <v>1.0</v>
      </c>
      <c r="G33" s="1">
        <v>5.0</v>
      </c>
      <c r="H33" s="1" t="s">
        <v>18</v>
      </c>
      <c r="I33" s="2">
        <v>45754.0</v>
      </c>
      <c r="J33" s="1">
        <v>8500000.0</v>
      </c>
      <c r="K33" s="2">
        <v>45748.0</v>
      </c>
      <c r="L33" s="3" t="b">
        <f t="shared" si="1"/>
        <v>0</v>
      </c>
    </row>
    <row r="34">
      <c r="A34" s="1" t="s">
        <v>38</v>
      </c>
      <c r="B34" s="1" t="s">
        <v>39</v>
      </c>
      <c r="C34" s="1" t="s">
        <v>23</v>
      </c>
      <c r="D34" s="1">
        <v>36.0</v>
      </c>
      <c r="E34" s="1">
        <v>45.0</v>
      </c>
      <c r="F34" s="1">
        <v>7.0</v>
      </c>
      <c r="G34" s="1">
        <v>4.0</v>
      </c>
      <c r="H34" s="1" t="s">
        <v>24</v>
      </c>
      <c r="I34" s="2">
        <v>45883.0</v>
      </c>
      <c r="J34" s="1">
        <v>450000.0</v>
      </c>
      <c r="K34" s="2">
        <v>45870.0</v>
      </c>
      <c r="L34" s="3" t="b">
        <f t="shared" si="1"/>
        <v>0</v>
      </c>
    </row>
    <row r="35">
      <c r="A35" s="1" t="s">
        <v>48</v>
      </c>
      <c r="B35" s="1" t="s">
        <v>49</v>
      </c>
      <c r="C35" s="1" t="s">
        <v>36</v>
      </c>
      <c r="D35" s="1">
        <v>0.0</v>
      </c>
      <c r="E35" s="1">
        <v>120.0</v>
      </c>
      <c r="F35" s="1">
        <v>28.0</v>
      </c>
      <c r="G35" s="1">
        <v>6.0</v>
      </c>
      <c r="H35" s="1" t="s">
        <v>50</v>
      </c>
      <c r="I35" s="2">
        <v>45725.0</v>
      </c>
      <c r="J35" s="1">
        <v>55000.0</v>
      </c>
      <c r="K35" s="2">
        <v>45717.0</v>
      </c>
      <c r="L35" s="3" t="b">
        <f t="shared" si="1"/>
        <v>0</v>
      </c>
    </row>
    <row r="36">
      <c r="A36" s="1" t="s">
        <v>55</v>
      </c>
      <c r="B36" s="1" t="s">
        <v>56</v>
      </c>
      <c r="C36" s="1" t="s">
        <v>36</v>
      </c>
      <c r="D36" s="1">
        <v>-18.0</v>
      </c>
      <c r="E36" s="1">
        <v>100.0</v>
      </c>
      <c r="F36" s="1">
        <v>21.0</v>
      </c>
      <c r="G36" s="1">
        <v>3.0</v>
      </c>
      <c r="H36" s="1" t="s">
        <v>37</v>
      </c>
      <c r="I36" s="2">
        <v>46006.0</v>
      </c>
      <c r="J36" s="1">
        <v>85000.0</v>
      </c>
      <c r="K36" s="2">
        <v>45992.0</v>
      </c>
      <c r="L36" s="3" t="b">
        <f t="shared" si="1"/>
        <v>0</v>
      </c>
    </row>
    <row r="37">
      <c r="A37" s="1" t="s">
        <v>62</v>
      </c>
      <c r="B37" s="1" t="s">
        <v>63</v>
      </c>
      <c r="C37" s="1" t="s">
        <v>13</v>
      </c>
      <c r="D37" s="1">
        <v>375.0</v>
      </c>
      <c r="E37" s="1">
        <v>80.0</v>
      </c>
      <c r="F37" s="1">
        <v>5.0</v>
      </c>
      <c r="G37" s="1">
        <v>6.0</v>
      </c>
      <c r="H37" s="1" t="s">
        <v>33</v>
      </c>
      <c r="I37" s="2">
        <v>45737.0</v>
      </c>
      <c r="J37" s="1">
        <v>85000.0</v>
      </c>
      <c r="K37" s="2">
        <v>45717.0</v>
      </c>
      <c r="L37" s="3" t="b">
        <f t="shared" si="1"/>
        <v>0</v>
      </c>
    </row>
    <row r="38">
      <c r="A38" s="1" t="s">
        <v>19</v>
      </c>
      <c r="B38" s="1" t="s">
        <v>20</v>
      </c>
      <c r="C38" s="1" t="s">
        <v>17</v>
      </c>
      <c r="D38" s="1">
        <v>24.0</v>
      </c>
      <c r="E38" s="1">
        <v>30.0</v>
      </c>
      <c r="F38" s="1">
        <v>4.0</v>
      </c>
      <c r="G38" s="1">
        <v>5.0</v>
      </c>
      <c r="H38" s="1" t="s">
        <v>18</v>
      </c>
      <c r="I38" s="2">
        <v>45670.0</v>
      </c>
      <c r="J38" s="1">
        <v>1200000.0</v>
      </c>
      <c r="K38" s="2">
        <v>45658.0</v>
      </c>
      <c r="L38" s="3" t="b">
        <f t="shared" si="1"/>
        <v>0</v>
      </c>
    </row>
    <row r="39">
      <c r="A39" s="1" t="s">
        <v>25</v>
      </c>
      <c r="B39" s="1" t="s">
        <v>26</v>
      </c>
      <c r="C39" s="1" t="s">
        <v>17</v>
      </c>
      <c r="D39" s="1">
        <v>22.0</v>
      </c>
      <c r="E39" s="1">
        <v>25.0</v>
      </c>
      <c r="F39" s="1">
        <v>5.0</v>
      </c>
      <c r="G39" s="1">
        <v>14.0</v>
      </c>
      <c r="H39" s="1" t="s">
        <v>27</v>
      </c>
      <c r="I39" s="2">
        <v>45722.0</v>
      </c>
      <c r="J39" s="1">
        <v>4500000.0</v>
      </c>
      <c r="K39" s="2">
        <v>45717.0</v>
      </c>
      <c r="L39" s="3" t="b">
        <f t="shared" si="1"/>
        <v>0</v>
      </c>
    </row>
    <row r="40">
      <c r="A40" s="1" t="s">
        <v>44</v>
      </c>
      <c r="B40" s="1" t="s">
        <v>45</v>
      </c>
      <c r="C40" s="1" t="s">
        <v>42</v>
      </c>
      <c r="D40" s="1">
        <v>59.0</v>
      </c>
      <c r="E40" s="1">
        <v>30.0</v>
      </c>
      <c r="F40" s="1">
        <v>3.0</v>
      </c>
      <c r="G40" s="1">
        <v>6.0</v>
      </c>
      <c r="H40" s="1" t="s">
        <v>43</v>
      </c>
      <c r="I40" s="2">
        <v>45880.0</v>
      </c>
      <c r="J40" s="1">
        <v>350000.0</v>
      </c>
      <c r="K40" s="2">
        <v>45870.0</v>
      </c>
      <c r="L40" s="3" t="b">
        <f t="shared" si="1"/>
        <v>0</v>
      </c>
    </row>
    <row r="41">
      <c r="A41" s="1" t="s">
        <v>57</v>
      </c>
      <c r="B41" s="1" t="s">
        <v>58</v>
      </c>
      <c r="C41" s="1" t="s">
        <v>42</v>
      </c>
      <c r="D41" s="1">
        <v>22.0</v>
      </c>
      <c r="E41" s="1">
        <v>25.0</v>
      </c>
      <c r="F41" s="1">
        <v>2.0</v>
      </c>
      <c r="G41" s="1">
        <v>6.0</v>
      </c>
      <c r="H41" s="1" t="s">
        <v>59</v>
      </c>
      <c r="I41" s="2">
        <v>46000.0</v>
      </c>
      <c r="J41" s="1">
        <v>450000.0</v>
      </c>
      <c r="K41" s="2">
        <v>45992.0</v>
      </c>
      <c r="L41" s="3" t="b">
        <f t="shared" si="1"/>
        <v>0</v>
      </c>
    </row>
    <row r="42">
      <c r="A42" s="1" t="s">
        <v>60</v>
      </c>
      <c r="B42" s="1" t="s">
        <v>61</v>
      </c>
      <c r="C42" s="1" t="s">
        <v>17</v>
      </c>
      <c r="D42" s="1">
        <v>30.0</v>
      </c>
      <c r="E42" s="1">
        <v>20.0</v>
      </c>
      <c r="F42" s="1">
        <v>1.0</v>
      </c>
      <c r="G42" s="1">
        <v>14.0</v>
      </c>
      <c r="H42" s="1" t="s">
        <v>27</v>
      </c>
      <c r="I42" s="2">
        <v>46048.0</v>
      </c>
      <c r="J42" s="1">
        <v>3200000.0</v>
      </c>
      <c r="K42" s="2">
        <v>46023.0</v>
      </c>
      <c r="L42" s="3" t="b">
        <f t="shared" si="1"/>
        <v>0</v>
      </c>
    </row>
    <row r="43">
      <c r="A43" s="1" t="s">
        <v>25</v>
      </c>
      <c r="B43" s="1" t="s">
        <v>26</v>
      </c>
      <c r="C43" s="1" t="s">
        <v>17</v>
      </c>
      <c r="D43" s="1">
        <v>2.0</v>
      </c>
      <c r="E43" s="1">
        <v>25.0</v>
      </c>
      <c r="F43" s="1">
        <v>3.0</v>
      </c>
      <c r="G43" s="1">
        <v>20.0</v>
      </c>
      <c r="H43" s="1" t="s">
        <v>27</v>
      </c>
      <c r="I43" s="2">
        <v>45950.0</v>
      </c>
      <c r="J43" s="1">
        <v>4500000.0</v>
      </c>
      <c r="K43" s="2">
        <v>45931.0</v>
      </c>
      <c r="L43" s="3" t="b">
        <f t="shared" si="1"/>
        <v>0</v>
      </c>
    </row>
    <row r="44">
      <c r="A44" s="1" t="s">
        <v>31</v>
      </c>
      <c r="B44" s="1" t="s">
        <v>32</v>
      </c>
      <c r="C44" s="1" t="s">
        <v>13</v>
      </c>
      <c r="D44" s="1">
        <v>184.0</v>
      </c>
      <c r="E44" s="1">
        <v>40.0</v>
      </c>
      <c r="F44" s="1">
        <v>3.0</v>
      </c>
      <c r="G44" s="1">
        <v>6.0</v>
      </c>
      <c r="H44" s="1" t="s">
        <v>33</v>
      </c>
      <c r="I44" s="2">
        <v>45682.0</v>
      </c>
      <c r="J44" s="1">
        <v>550000.0</v>
      </c>
      <c r="K44" s="2">
        <v>45658.0</v>
      </c>
      <c r="L44" s="3" t="b">
        <f t="shared" si="1"/>
        <v>0</v>
      </c>
    </row>
    <row r="45">
      <c r="A45" s="1" t="s">
        <v>64</v>
      </c>
      <c r="B45" s="1" t="s">
        <v>65</v>
      </c>
      <c r="C45" s="1" t="s">
        <v>42</v>
      </c>
      <c r="D45" s="1">
        <v>19.0</v>
      </c>
      <c r="E45" s="1">
        <v>20.0</v>
      </c>
      <c r="F45" s="1">
        <v>4.0</v>
      </c>
      <c r="G45" s="1">
        <v>9.0</v>
      </c>
      <c r="H45" s="1" t="s">
        <v>59</v>
      </c>
      <c r="I45" s="2">
        <v>45782.0</v>
      </c>
      <c r="J45" s="1">
        <v>750000.0</v>
      </c>
      <c r="K45" s="2">
        <v>45778.0</v>
      </c>
      <c r="L45" s="3" t="b">
        <f t="shared" si="1"/>
        <v>0</v>
      </c>
    </row>
    <row r="46">
      <c r="A46" s="1" t="s">
        <v>62</v>
      </c>
      <c r="B46" s="1" t="s">
        <v>63</v>
      </c>
      <c r="C46" s="1" t="s">
        <v>13</v>
      </c>
      <c r="D46" s="1">
        <v>268.0</v>
      </c>
      <c r="E46" s="1">
        <v>80.0</v>
      </c>
      <c r="F46" s="1">
        <v>4.0</v>
      </c>
      <c r="G46" s="1">
        <v>4.0</v>
      </c>
      <c r="H46" s="1" t="s">
        <v>33</v>
      </c>
      <c r="I46" s="2">
        <v>46099.0</v>
      </c>
      <c r="J46" s="1">
        <v>85000.0</v>
      </c>
      <c r="K46" s="2">
        <v>46082.0</v>
      </c>
      <c r="L46" s="3" t="b">
        <f t="shared" si="1"/>
        <v>0</v>
      </c>
    </row>
    <row r="47">
      <c r="A47" s="1" t="s">
        <v>34</v>
      </c>
      <c r="B47" s="1" t="s">
        <v>35</v>
      </c>
      <c r="C47" s="1" t="s">
        <v>36</v>
      </c>
      <c r="D47" s="1">
        <v>31.0</v>
      </c>
      <c r="E47" s="1">
        <v>80.0</v>
      </c>
      <c r="F47" s="1">
        <v>13.0</v>
      </c>
      <c r="G47" s="1">
        <v>4.0</v>
      </c>
      <c r="H47" s="1" t="s">
        <v>37</v>
      </c>
      <c r="I47" s="2">
        <v>45857.0</v>
      </c>
      <c r="J47" s="1">
        <v>65000.0</v>
      </c>
      <c r="K47" s="2">
        <v>45839.0</v>
      </c>
      <c r="L47" s="3" t="b">
        <f t="shared" si="1"/>
        <v>0</v>
      </c>
    </row>
    <row r="48">
      <c r="A48" s="1" t="s">
        <v>55</v>
      </c>
      <c r="B48" s="1" t="s">
        <v>56</v>
      </c>
      <c r="C48" s="1" t="s">
        <v>36</v>
      </c>
      <c r="D48" s="1">
        <v>28.0</v>
      </c>
      <c r="E48" s="1">
        <v>100.0</v>
      </c>
      <c r="F48" s="1">
        <v>17.0</v>
      </c>
      <c r="G48" s="1">
        <v>3.0</v>
      </c>
      <c r="H48" s="1" t="s">
        <v>37</v>
      </c>
      <c r="I48" s="2">
        <v>46070.0</v>
      </c>
      <c r="J48" s="1">
        <v>85000.0</v>
      </c>
      <c r="K48" s="2">
        <v>46054.0</v>
      </c>
      <c r="L48" s="3" t="b">
        <f t="shared" si="1"/>
        <v>0</v>
      </c>
    </row>
    <row r="49">
      <c r="A49" s="1" t="s">
        <v>15</v>
      </c>
      <c r="B49" s="1" t="s">
        <v>16</v>
      </c>
      <c r="C49" s="1" t="s">
        <v>17</v>
      </c>
      <c r="D49" s="1">
        <v>22.0</v>
      </c>
      <c r="E49" s="1">
        <v>15.0</v>
      </c>
      <c r="F49" s="1">
        <v>2.0</v>
      </c>
      <c r="G49" s="1">
        <v>7.0</v>
      </c>
      <c r="H49" s="1" t="s">
        <v>18</v>
      </c>
      <c r="I49" s="2">
        <v>45878.0</v>
      </c>
      <c r="J49" s="1">
        <v>8500000.0</v>
      </c>
      <c r="K49" s="2">
        <v>45870.0</v>
      </c>
      <c r="L49" s="3" t="b">
        <f t="shared" si="1"/>
        <v>0</v>
      </c>
    </row>
    <row r="50">
      <c r="A50" s="1" t="s">
        <v>48</v>
      </c>
      <c r="B50" s="1" t="s">
        <v>49</v>
      </c>
      <c r="C50" s="1" t="s">
        <v>36</v>
      </c>
      <c r="D50" s="1">
        <v>27.0</v>
      </c>
      <c r="E50" s="1">
        <v>120.0</v>
      </c>
      <c r="F50" s="1">
        <v>18.0</v>
      </c>
      <c r="G50" s="1">
        <v>4.0</v>
      </c>
      <c r="H50" s="1" t="s">
        <v>50</v>
      </c>
      <c r="I50" s="2">
        <v>45782.0</v>
      </c>
      <c r="J50" s="1">
        <v>55000.0</v>
      </c>
      <c r="K50" s="2">
        <v>45778.0</v>
      </c>
      <c r="L50" s="3" t="b">
        <f t="shared" si="1"/>
        <v>0</v>
      </c>
    </row>
    <row r="51">
      <c r="A51" s="1" t="s">
        <v>38</v>
      </c>
      <c r="B51" s="1" t="s">
        <v>39</v>
      </c>
      <c r="C51" s="1" t="s">
        <v>23</v>
      </c>
      <c r="D51" s="1">
        <v>0.0</v>
      </c>
      <c r="E51" s="1">
        <v>45.0</v>
      </c>
      <c r="F51" s="1">
        <v>10.0</v>
      </c>
      <c r="G51" s="1">
        <v>3.0</v>
      </c>
      <c r="H51" s="1" t="s">
        <v>24</v>
      </c>
      <c r="I51" s="2">
        <v>45737.0</v>
      </c>
      <c r="J51" s="1">
        <v>450000.0</v>
      </c>
      <c r="K51" s="2">
        <v>45717.0</v>
      </c>
      <c r="L51" s="3" t="b">
        <f t="shared" si="1"/>
        <v>0</v>
      </c>
    </row>
    <row r="52">
      <c r="A52" s="1" t="s">
        <v>46</v>
      </c>
      <c r="B52" s="1" t="s">
        <v>47</v>
      </c>
      <c r="C52" s="1" t="s">
        <v>23</v>
      </c>
      <c r="D52" s="1">
        <v>0.0</v>
      </c>
      <c r="E52" s="1">
        <v>40.0</v>
      </c>
      <c r="F52" s="1">
        <v>8.0</v>
      </c>
      <c r="G52" s="1">
        <v>3.0</v>
      </c>
      <c r="H52" s="1" t="s">
        <v>30</v>
      </c>
      <c r="I52" s="2">
        <v>46018.0</v>
      </c>
      <c r="J52" s="1">
        <v>550000.0</v>
      </c>
      <c r="K52" s="2">
        <v>45992.0</v>
      </c>
      <c r="L52" s="3" t="b">
        <f t="shared" si="1"/>
        <v>0</v>
      </c>
    </row>
    <row r="53">
      <c r="A53" s="1" t="s">
        <v>55</v>
      </c>
      <c r="B53" s="1" t="s">
        <v>56</v>
      </c>
      <c r="C53" s="1" t="s">
        <v>36</v>
      </c>
      <c r="D53" s="1">
        <v>35.0</v>
      </c>
      <c r="E53" s="1">
        <v>100.0</v>
      </c>
      <c r="F53" s="1">
        <v>14.0</v>
      </c>
      <c r="G53" s="1">
        <v>3.0</v>
      </c>
      <c r="H53" s="1" t="s">
        <v>37</v>
      </c>
      <c r="I53" s="2">
        <v>45685.0</v>
      </c>
      <c r="J53" s="1">
        <v>85000.0</v>
      </c>
      <c r="K53" s="2">
        <v>45658.0</v>
      </c>
      <c r="L53" s="3" t="b">
        <f t="shared" si="1"/>
        <v>0</v>
      </c>
    </row>
    <row r="54">
      <c r="A54" s="1" t="s">
        <v>28</v>
      </c>
      <c r="B54" s="1" t="s">
        <v>29</v>
      </c>
      <c r="C54" s="1" t="s">
        <v>23</v>
      </c>
      <c r="D54" s="1">
        <v>0.0</v>
      </c>
      <c r="E54" s="1">
        <v>35.0</v>
      </c>
      <c r="F54" s="1">
        <v>9.0</v>
      </c>
      <c r="G54" s="1">
        <v>5.0</v>
      </c>
      <c r="H54" s="1" t="s">
        <v>30</v>
      </c>
      <c r="I54" s="2">
        <v>46095.0</v>
      </c>
      <c r="J54" s="1">
        <v>1250000.0</v>
      </c>
      <c r="K54" s="2">
        <v>46082.0</v>
      </c>
      <c r="L54" s="3" t="b">
        <f t="shared" si="1"/>
        <v>0</v>
      </c>
    </row>
    <row r="55">
      <c r="A55" s="1" t="s">
        <v>38</v>
      </c>
      <c r="B55" s="1" t="s">
        <v>39</v>
      </c>
      <c r="C55" s="1" t="s">
        <v>23</v>
      </c>
      <c r="D55" s="1">
        <v>40.0</v>
      </c>
      <c r="E55" s="1">
        <v>45.0</v>
      </c>
      <c r="F55" s="1">
        <v>5.0</v>
      </c>
      <c r="G55" s="1">
        <v>3.0</v>
      </c>
      <c r="H55" s="1" t="s">
        <v>24</v>
      </c>
      <c r="I55" s="2">
        <v>45959.0</v>
      </c>
      <c r="J55" s="1">
        <v>450000.0</v>
      </c>
      <c r="K55" s="2">
        <v>45931.0</v>
      </c>
      <c r="L55" s="3" t="b">
        <f t="shared" si="1"/>
        <v>0</v>
      </c>
    </row>
    <row r="56">
      <c r="A56" s="1" t="s">
        <v>64</v>
      </c>
      <c r="B56" s="1" t="s">
        <v>65</v>
      </c>
      <c r="C56" s="1" t="s">
        <v>42</v>
      </c>
      <c r="D56" s="1">
        <v>29.0</v>
      </c>
      <c r="E56" s="1">
        <v>20.0</v>
      </c>
      <c r="F56" s="1">
        <v>4.0</v>
      </c>
      <c r="G56" s="1">
        <v>10.0</v>
      </c>
      <c r="H56" s="1" t="s">
        <v>59</v>
      </c>
      <c r="I56" s="2">
        <v>45826.0</v>
      </c>
      <c r="J56" s="1">
        <v>750000.0</v>
      </c>
      <c r="K56" s="2">
        <v>45809.0</v>
      </c>
      <c r="L56" s="3" t="b">
        <f t="shared" si="1"/>
        <v>0</v>
      </c>
    </row>
    <row r="57">
      <c r="A57" s="1" t="s">
        <v>40</v>
      </c>
      <c r="B57" s="1" t="s">
        <v>41</v>
      </c>
      <c r="C57" s="1" t="s">
        <v>42</v>
      </c>
      <c r="D57" s="1">
        <v>30.0</v>
      </c>
      <c r="E57" s="1">
        <v>15.0</v>
      </c>
      <c r="F57" s="1">
        <v>2.0</v>
      </c>
      <c r="G57" s="1">
        <v>9.0</v>
      </c>
      <c r="H57" s="1" t="s">
        <v>43</v>
      </c>
      <c r="I57" s="2">
        <v>45892.0</v>
      </c>
      <c r="J57" s="1">
        <v>1200000.0</v>
      </c>
      <c r="K57" s="2">
        <v>45870.0</v>
      </c>
      <c r="L57" s="3" t="b">
        <f t="shared" si="1"/>
        <v>0</v>
      </c>
    </row>
    <row r="58">
      <c r="A58" s="1" t="s">
        <v>31</v>
      </c>
      <c r="B58" s="1" t="s">
        <v>32</v>
      </c>
      <c r="C58" s="1" t="s">
        <v>13</v>
      </c>
      <c r="D58" s="1">
        <v>91.0</v>
      </c>
      <c r="E58" s="1">
        <v>40.0</v>
      </c>
      <c r="F58" s="1">
        <v>3.0</v>
      </c>
      <c r="G58" s="1">
        <v>5.0</v>
      </c>
      <c r="H58" s="1" t="s">
        <v>33</v>
      </c>
      <c r="I58" s="2">
        <v>45724.0</v>
      </c>
      <c r="J58" s="1">
        <v>550000.0</v>
      </c>
      <c r="K58" s="2">
        <v>45717.0</v>
      </c>
      <c r="L58" s="3" t="b">
        <f t="shared" si="1"/>
        <v>0</v>
      </c>
    </row>
    <row r="59">
      <c r="A59" s="1" t="s">
        <v>53</v>
      </c>
      <c r="B59" s="1" t="s">
        <v>54</v>
      </c>
      <c r="C59" s="1" t="s">
        <v>13</v>
      </c>
      <c r="D59" s="1">
        <v>299.0</v>
      </c>
      <c r="E59" s="1">
        <v>60.0</v>
      </c>
      <c r="F59" s="1">
        <v>1.0</v>
      </c>
      <c r="G59" s="1">
        <v>7.0</v>
      </c>
      <c r="H59" s="1" t="s">
        <v>14</v>
      </c>
      <c r="I59" s="2">
        <v>45756.0</v>
      </c>
      <c r="J59" s="1">
        <v>165000.0</v>
      </c>
      <c r="K59" s="2">
        <v>45748.0</v>
      </c>
      <c r="L59" s="3" t="b">
        <f t="shared" si="1"/>
        <v>0</v>
      </c>
    </row>
    <row r="60">
      <c r="A60" s="1" t="s">
        <v>62</v>
      </c>
      <c r="B60" s="1" t="s">
        <v>63</v>
      </c>
      <c r="C60" s="1" t="s">
        <v>13</v>
      </c>
      <c r="D60" s="1">
        <v>392.0</v>
      </c>
      <c r="E60" s="1">
        <v>80.0</v>
      </c>
      <c r="F60" s="1">
        <v>5.0</v>
      </c>
      <c r="G60" s="1">
        <v>4.0</v>
      </c>
      <c r="H60" s="1" t="s">
        <v>33</v>
      </c>
      <c r="I60" s="2">
        <v>45701.0</v>
      </c>
      <c r="J60" s="1">
        <v>85000.0</v>
      </c>
      <c r="K60" s="2">
        <v>45689.0</v>
      </c>
      <c r="L60" s="3" t="b">
        <f t="shared" si="1"/>
        <v>0</v>
      </c>
    </row>
    <row r="61">
      <c r="A61" s="1" t="s">
        <v>53</v>
      </c>
      <c r="B61" s="1" t="s">
        <v>54</v>
      </c>
      <c r="C61" s="1" t="s">
        <v>13</v>
      </c>
      <c r="D61" s="1">
        <v>198.0</v>
      </c>
      <c r="E61" s="1">
        <v>60.0</v>
      </c>
      <c r="F61" s="1">
        <v>3.0</v>
      </c>
      <c r="G61" s="1">
        <v>8.0</v>
      </c>
      <c r="H61" s="1" t="s">
        <v>14</v>
      </c>
      <c r="I61" s="2">
        <v>45712.0</v>
      </c>
      <c r="J61" s="1">
        <v>165000.0</v>
      </c>
      <c r="K61" s="2">
        <v>45689.0</v>
      </c>
      <c r="L61" s="3" t="b">
        <f t="shared" si="1"/>
        <v>0</v>
      </c>
    </row>
    <row r="62">
      <c r="A62" s="1" t="s">
        <v>11</v>
      </c>
      <c r="B62" s="1" t="s">
        <v>12</v>
      </c>
      <c r="C62" s="1" t="s">
        <v>13</v>
      </c>
      <c r="D62" s="1">
        <v>238.0</v>
      </c>
      <c r="E62" s="1">
        <v>50.0</v>
      </c>
      <c r="F62" s="1">
        <v>2.0</v>
      </c>
      <c r="G62" s="1">
        <v>7.0</v>
      </c>
      <c r="H62" s="1" t="s">
        <v>14</v>
      </c>
      <c r="I62" s="2">
        <v>45671.0</v>
      </c>
      <c r="J62" s="1">
        <v>125000.0</v>
      </c>
      <c r="K62" s="2">
        <v>45658.0</v>
      </c>
      <c r="L62" s="3" t="b">
        <f t="shared" si="1"/>
        <v>0</v>
      </c>
    </row>
    <row r="63">
      <c r="A63" s="1" t="s">
        <v>46</v>
      </c>
      <c r="B63" s="1" t="s">
        <v>47</v>
      </c>
      <c r="C63" s="1" t="s">
        <v>23</v>
      </c>
      <c r="D63" s="1">
        <v>44.0</v>
      </c>
      <c r="E63" s="1">
        <v>40.0</v>
      </c>
      <c r="F63" s="1">
        <v>5.0</v>
      </c>
      <c r="G63" s="1">
        <v>6.0</v>
      </c>
      <c r="H63" s="1" t="s">
        <v>30</v>
      </c>
      <c r="I63" s="2">
        <v>45799.0</v>
      </c>
      <c r="J63" s="1">
        <v>550000.0</v>
      </c>
      <c r="K63" s="2">
        <v>45778.0</v>
      </c>
      <c r="L63" s="3" t="b">
        <f t="shared" si="1"/>
        <v>0</v>
      </c>
    </row>
    <row r="64">
      <c r="A64" s="1" t="s">
        <v>46</v>
      </c>
      <c r="B64" s="1" t="s">
        <v>47</v>
      </c>
      <c r="C64" s="1" t="s">
        <v>23</v>
      </c>
      <c r="D64" s="1">
        <v>28.0</v>
      </c>
      <c r="E64" s="1">
        <v>40.0</v>
      </c>
      <c r="F64" s="1">
        <v>3.0</v>
      </c>
      <c r="G64" s="1">
        <v>6.0</v>
      </c>
      <c r="H64" s="1" t="s">
        <v>30</v>
      </c>
      <c r="I64" s="2">
        <v>45956.0</v>
      </c>
      <c r="J64" s="1">
        <v>550000.0</v>
      </c>
      <c r="K64" s="2">
        <v>45931.0</v>
      </c>
      <c r="L64" s="3" t="b">
        <f t="shared" si="1"/>
        <v>0</v>
      </c>
    </row>
    <row r="65">
      <c r="A65" s="1" t="s">
        <v>46</v>
      </c>
      <c r="B65" s="1" t="s">
        <v>47</v>
      </c>
      <c r="C65" s="1" t="s">
        <v>23</v>
      </c>
      <c r="D65" s="1">
        <v>29.0</v>
      </c>
      <c r="E65" s="1">
        <v>40.0</v>
      </c>
      <c r="F65" s="1">
        <v>4.0</v>
      </c>
      <c r="G65" s="1">
        <v>9.0</v>
      </c>
      <c r="H65" s="1" t="s">
        <v>30</v>
      </c>
      <c r="I65" s="2">
        <v>45839.0</v>
      </c>
      <c r="J65" s="1">
        <v>550000.0</v>
      </c>
      <c r="K65" s="2">
        <v>45839.0</v>
      </c>
      <c r="L65" s="3" t="b">
        <f t="shared" si="1"/>
        <v>0</v>
      </c>
    </row>
    <row r="66">
      <c r="A66" s="1" t="s">
        <v>62</v>
      </c>
      <c r="B66" s="1" t="s">
        <v>63</v>
      </c>
      <c r="C66" s="1" t="s">
        <v>13</v>
      </c>
      <c r="D66" s="1">
        <v>468.0</v>
      </c>
      <c r="E66" s="1">
        <v>80.0</v>
      </c>
      <c r="F66" s="1">
        <v>5.0</v>
      </c>
      <c r="G66" s="1">
        <v>6.0</v>
      </c>
      <c r="H66" s="1" t="s">
        <v>33</v>
      </c>
      <c r="I66" s="2">
        <v>46079.0</v>
      </c>
      <c r="J66" s="1">
        <v>85000.0</v>
      </c>
      <c r="K66" s="2">
        <v>46054.0</v>
      </c>
      <c r="L66" s="3" t="b">
        <f t="shared" si="1"/>
        <v>0</v>
      </c>
    </row>
    <row r="67">
      <c r="A67" s="1" t="s">
        <v>57</v>
      </c>
      <c r="B67" s="1" t="s">
        <v>58</v>
      </c>
      <c r="C67" s="1" t="s">
        <v>42</v>
      </c>
      <c r="D67" s="1">
        <v>16.0</v>
      </c>
      <c r="E67" s="1">
        <v>25.0</v>
      </c>
      <c r="F67" s="1">
        <v>3.0</v>
      </c>
      <c r="G67" s="1">
        <v>6.0</v>
      </c>
      <c r="H67" s="1" t="s">
        <v>59</v>
      </c>
      <c r="I67" s="2">
        <v>45982.0</v>
      </c>
      <c r="J67" s="1">
        <v>450000.0</v>
      </c>
      <c r="K67" s="2">
        <v>45962.0</v>
      </c>
      <c r="L67" s="3" t="b">
        <f t="shared" si="1"/>
        <v>0</v>
      </c>
    </row>
    <row r="68">
      <c r="A68" s="1" t="s">
        <v>62</v>
      </c>
      <c r="B68" s="1" t="s">
        <v>63</v>
      </c>
      <c r="C68" s="1" t="s">
        <v>13</v>
      </c>
      <c r="D68" s="1">
        <v>320.0</v>
      </c>
      <c r="E68" s="1">
        <v>80.0</v>
      </c>
      <c r="F68" s="1">
        <v>5.0</v>
      </c>
      <c r="G68" s="1">
        <v>4.0</v>
      </c>
      <c r="H68" s="1" t="s">
        <v>33</v>
      </c>
      <c r="I68" s="2">
        <v>45909.0</v>
      </c>
      <c r="J68" s="1">
        <v>85000.0</v>
      </c>
      <c r="K68" s="2">
        <v>45901.0</v>
      </c>
      <c r="L68" s="3" t="b">
        <f t="shared" si="1"/>
        <v>0</v>
      </c>
    </row>
    <row r="69">
      <c r="A69" s="1" t="s">
        <v>38</v>
      </c>
      <c r="B69" s="1" t="s">
        <v>39</v>
      </c>
      <c r="C69" s="1" t="s">
        <v>23</v>
      </c>
      <c r="D69" s="1">
        <v>0.0</v>
      </c>
      <c r="E69" s="1">
        <v>45.0</v>
      </c>
      <c r="F69" s="1">
        <v>10.0</v>
      </c>
      <c r="G69" s="1">
        <v>4.0</v>
      </c>
      <c r="H69" s="1" t="s">
        <v>24</v>
      </c>
      <c r="I69" s="2">
        <v>45768.0</v>
      </c>
      <c r="J69" s="1">
        <v>450000.0</v>
      </c>
      <c r="K69" s="2">
        <v>45748.0</v>
      </c>
      <c r="L69" s="3" t="b">
        <f t="shared" si="1"/>
        <v>0</v>
      </c>
    </row>
    <row r="70">
      <c r="A70" s="1" t="s">
        <v>55</v>
      </c>
      <c r="B70" s="1" t="s">
        <v>56</v>
      </c>
      <c r="C70" s="1" t="s">
        <v>36</v>
      </c>
      <c r="D70" s="1">
        <v>29.0</v>
      </c>
      <c r="E70" s="1">
        <v>100.0</v>
      </c>
      <c r="F70" s="1">
        <v>16.0</v>
      </c>
      <c r="G70" s="1">
        <v>5.0</v>
      </c>
      <c r="H70" s="1" t="s">
        <v>37</v>
      </c>
      <c r="I70" s="2">
        <v>45813.0</v>
      </c>
      <c r="J70" s="1">
        <v>85000.0</v>
      </c>
      <c r="K70" s="2">
        <v>45809.0</v>
      </c>
      <c r="L70" s="3" t="b">
        <f t="shared" si="1"/>
        <v>0</v>
      </c>
    </row>
    <row r="71">
      <c r="A71" s="1" t="s">
        <v>19</v>
      </c>
      <c r="B71" s="1" t="s">
        <v>20</v>
      </c>
      <c r="C71" s="1" t="s">
        <v>17</v>
      </c>
      <c r="D71" s="1">
        <v>34.0</v>
      </c>
      <c r="E71" s="1">
        <v>30.0</v>
      </c>
      <c r="F71" s="1">
        <v>4.0</v>
      </c>
      <c r="G71" s="1">
        <v>5.0</v>
      </c>
      <c r="H71" s="1" t="s">
        <v>18</v>
      </c>
      <c r="I71" s="2">
        <v>46083.0</v>
      </c>
      <c r="J71" s="1">
        <v>1200000.0</v>
      </c>
      <c r="K71" s="2">
        <v>46082.0</v>
      </c>
      <c r="L71" s="3" t="b">
        <f t="shared" si="1"/>
        <v>0</v>
      </c>
    </row>
    <row r="72">
      <c r="A72" s="1" t="s">
        <v>55</v>
      </c>
      <c r="B72" s="1" t="s">
        <v>56</v>
      </c>
      <c r="C72" s="1" t="s">
        <v>36</v>
      </c>
      <c r="D72" s="1">
        <v>60.0</v>
      </c>
      <c r="E72" s="1">
        <v>100.0</v>
      </c>
      <c r="F72" s="1">
        <v>12.0</v>
      </c>
      <c r="G72" s="1">
        <v>4.0</v>
      </c>
      <c r="H72" s="1" t="s">
        <v>37</v>
      </c>
      <c r="I72" s="2">
        <v>45928.0</v>
      </c>
      <c r="J72" s="1">
        <v>85000.0</v>
      </c>
      <c r="K72" s="2">
        <v>45901.0</v>
      </c>
      <c r="L72" s="3" t="b">
        <f t="shared" si="1"/>
        <v>0</v>
      </c>
    </row>
    <row r="73">
      <c r="A73" s="1" t="s">
        <v>15</v>
      </c>
      <c r="B73" s="1" t="s">
        <v>16</v>
      </c>
      <c r="C73" s="1" t="s">
        <v>17</v>
      </c>
      <c r="D73" s="1">
        <v>1.0</v>
      </c>
      <c r="E73" s="1">
        <v>15.0</v>
      </c>
      <c r="F73" s="1">
        <v>2.0</v>
      </c>
      <c r="G73" s="1">
        <v>6.0</v>
      </c>
      <c r="H73" s="1" t="s">
        <v>18</v>
      </c>
      <c r="I73" s="2">
        <v>45861.0</v>
      </c>
      <c r="J73" s="1">
        <v>8500000.0</v>
      </c>
      <c r="K73" s="2">
        <v>45839.0</v>
      </c>
      <c r="L73" s="3" t="b">
        <f t="shared" si="1"/>
        <v>0</v>
      </c>
    </row>
    <row r="74">
      <c r="A74" s="1" t="s">
        <v>31</v>
      </c>
      <c r="B74" s="1" t="s">
        <v>32</v>
      </c>
      <c r="C74" s="1" t="s">
        <v>13</v>
      </c>
      <c r="D74" s="1">
        <v>177.0</v>
      </c>
      <c r="E74" s="1">
        <v>40.0</v>
      </c>
      <c r="F74" s="1">
        <v>2.0</v>
      </c>
      <c r="G74" s="1">
        <v>4.0</v>
      </c>
      <c r="H74" s="1" t="s">
        <v>33</v>
      </c>
      <c r="I74" s="2">
        <v>45757.0</v>
      </c>
      <c r="J74" s="1">
        <v>550000.0</v>
      </c>
      <c r="K74" s="2">
        <v>45748.0</v>
      </c>
      <c r="L74" s="3" t="b">
        <f t="shared" si="1"/>
        <v>0</v>
      </c>
    </row>
    <row r="75">
      <c r="A75" s="1" t="s">
        <v>60</v>
      </c>
      <c r="B75" s="1" t="s">
        <v>61</v>
      </c>
      <c r="C75" s="1" t="s">
        <v>17</v>
      </c>
      <c r="D75" s="1">
        <v>28.0</v>
      </c>
      <c r="E75" s="1">
        <v>20.0</v>
      </c>
      <c r="F75" s="1">
        <v>1.0</v>
      </c>
      <c r="G75" s="1">
        <v>11.0</v>
      </c>
      <c r="H75" s="1" t="s">
        <v>27</v>
      </c>
      <c r="I75" s="2">
        <v>45669.0</v>
      </c>
      <c r="J75" s="1">
        <v>3200000.0</v>
      </c>
      <c r="K75" s="2">
        <v>45658.0</v>
      </c>
      <c r="L75" s="3" t="b">
        <f t="shared" si="1"/>
        <v>0</v>
      </c>
    </row>
    <row r="76">
      <c r="A76" s="1" t="s">
        <v>25</v>
      </c>
      <c r="B76" s="1" t="s">
        <v>26</v>
      </c>
      <c r="C76" s="1" t="s">
        <v>17</v>
      </c>
      <c r="D76" s="1">
        <v>42.0</v>
      </c>
      <c r="E76" s="1">
        <v>25.0</v>
      </c>
      <c r="F76" s="1">
        <v>4.0</v>
      </c>
      <c r="G76" s="1">
        <v>19.0</v>
      </c>
      <c r="H76" s="1" t="s">
        <v>27</v>
      </c>
      <c r="I76" s="2">
        <v>45881.0</v>
      </c>
      <c r="J76" s="1">
        <v>4500000.0</v>
      </c>
      <c r="K76" s="2">
        <v>45870.0</v>
      </c>
      <c r="L76" s="3" t="b">
        <f t="shared" si="1"/>
        <v>0</v>
      </c>
    </row>
    <row r="77">
      <c r="A77" s="1" t="s">
        <v>51</v>
      </c>
      <c r="B77" s="1" t="s">
        <v>52</v>
      </c>
      <c r="C77" s="1" t="s">
        <v>36</v>
      </c>
      <c r="D77" s="1">
        <v>18.0</v>
      </c>
      <c r="E77" s="1">
        <v>60.0</v>
      </c>
      <c r="F77" s="1">
        <v>8.0</v>
      </c>
      <c r="G77" s="1">
        <v>5.0</v>
      </c>
      <c r="H77" s="1" t="s">
        <v>50</v>
      </c>
      <c r="I77" s="2">
        <v>45712.0</v>
      </c>
      <c r="J77" s="3"/>
      <c r="K77" s="2">
        <v>45689.0</v>
      </c>
      <c r="L77" s="3" t="b">
        <f t="shared" si="1"/>
        <v>1</v>
      </c>
    </row>
    <row r="78">
      <c r="A78" s="1" t="s">
        <v>19</v>
      </c>
      <c r="B78" s="1" t="s">
        <v>20</v>
      </c>
      <c r="C78" s="1" t="s">
        <v>17</v>
      </c>
      <c r="D78" s="1">
        <v>17.0</v>
      </c>
      <c r="E78" s="1">
        <v>30.0</v>
      </c>
      <c r="F78" s="1">
        <v>6.0</v>
      </c>
      <c r="G78" s="1">
        <v>8.0</v>
      </c>
      <c r="H78" s="1" t="s">
        <v>18</v>
      </c>
      <c r="I78" s="2">
        <v>45996.0</v>
      </c>
      <c r="J78" s="1">
        <v>1200000.0</v>
      </c>
      <c r="K78" s="2">
        <v>45992.0</v>
      </c>
      <c r="L78" s="3" t="b">
        <f t="shared" si="1"/>
        <v>0</v>
      </c>
    </row>
    <row r="79">
      <c r="A79" s="1" t="s">
        <v>11</v>
      </c>
      <c r="B79" s="1" t="s">
        <v>12</v>
      </c>
      <c r="C79" s="1" t="s">
        <v>13</v>
      </c>
      <c r="D79" s="1">
        <v>238.0</v>
      </c>
      <c r="E79" s="1">
        <v>50.0</v>
      </c>
      <c r="F79" s="1">
        <v>2.0</v>
      </c>
      <c r="G79" s="1">
        <v>7.0</v>
      </c>
      <c r="H79" s="1" t="s">
        <v>14</v>
      </c>
      <c r="I79" s="2">
        <v>45671.0</v>
      </c>
      <c r="J79" s="1">
        <v>125000.0</v>
      </c>
      <c r="K79" s="2">
        <v>45658.0</v>
      </c>
      <c r="L79" s="3" t="b">
        <f t="shared" si="1"/>
        <v>0</v>
      </c>
    </row>
    <row r="80">
      <c r="A80" s="1" t="s">
        <v>46</v>
      </c>
      <c r="B80" s="1" t="s">
        <v>47</v>
      </c>
      <c r="C80" s="1" t="s">
        <v>23</v>
      </c>
      <c r="D80" s="1">
        <v>0.0</v>
      </c>
      <c r="E80" s="1">
        <v>40.0</v>
      </c>
      <c r="F80" s="1">
        <v>10.0</v>
      </c>
      <c r="G80" s="1">
        <v>7.0</v>
      </c>
      <c r="H80" s="1" t="s">
        <v>30</v>
      </c>
      <c r="I80" s="2">
        <v>46109.0</v>
      </c>
      <c r="J80" s="1">
        <v>550000.0</v>
      </c>
      <c r="K80" s="2">
        <v>46082.0</v>
      </c>
      <c r="L80" s="3" t="b">
        <f t="shared" si="1"/>
        <v>0</v>
      </c>
    </row>
    <row r="81">
      <c r="A81" s="1" t="s">
        <v>34</v>
      </c>
      <c r="B81" s="1" t="s">
        <v>35</v>
      </c>
      <c r="C81" s="1" t="s">
        <v>36</v>
      </c>
      <c r="D81" s="3"/>
      <c r="E81" s="1">
        <v>80.0</v>
      </c>
      <c r="F81" s="1">
        <v>11.0</v>
      </c>
      <c r="G81" s="1">
        <v>4.0</v>
      </c>
      <c r="H81" s="1" t="s">
        <v>37</v>
      </c>
      <c r="I81" s="2">
        <v>45766.0</v>
      </c>
      <c r="J81" s="1">
        <v>65000.0</v>
      </c>
      <c r="K81" s="2">
        <v>45748.0</v>
      </c>
      <c r="L81" s="3" t="b">
        <f t="shared" si="1"/>
        <v>1</v>
      </c>
    </row>
    <row r="82">
      <c r="A82" s="1" t="s">
        <v>55</v>
      </c>
      <c r="B82" s="1" t="s">
        <v>56</v>
      </c>
      <c r="C82" s="1" t="s">
        <v>36</v>
      </c>
      <c r="D82" s="1">
        <v>26.0</v>
      </c>
      <c r="E82" s="1">
        <v>100.0</v>
      </c>
      <c r="F82" s="1">
        <v>16.0</v>
      </c>
      <c r="G82" s="1">
        <v>4.0</v>
      </c>
      <c r="H82" s="1" t="s">
        <v>37</v>
      </c>
      <c r="I82" s="2">
        <v>45778.0</v>
      </c>
      <c r="J82" s="1">
        <v>85000.0</v>
      </c>
      <c r="K82" s="2">
        <v>45778.0</v>
      </c>
      <c r="L82" s="3" t="b">
        <f t="shared" si="1"/>
        <v>0</v>
      </c>
    </row>
    <row r="83">
      <c r="A83" s="1" t="s">
        <v>62</v>
      </c>
      <c r="B83" s="1" t="s">
        <v>63</v>
      </c>
      <c r="C83" s="1" t="s">
        <v>13</v>
      </c>
      <c r="D83" s="1">
        <v>301.0</v>
      </c>
      <c r="E83" s="1">
        <v>80.0</v>
      </c>
      <c r="F83" s="1">
        <v>3.0</v>
      </c>
      <c r="G83" s="1">
        <v>4.0</v>
      </c>
      <c r="H83" s="1" t="s">
        <v>33</v>
      </c>
      <c r="I83" s="2">
        <v>45936.0</v>
      </c>
      <c r="J83" s="1">
        <v>85000.0</v>
      </c>
      <c r="K83" s="2">
        <v>45931.0</v>
      </c>
      <c r="L83" s="3" t="b">
        <f t="shared" si="1"/>
        <v>0</v>
      </c>
    </row>
    <row r="84">
      <c r="A84" s="1" t="s">
        <v>57</v>
      </c>
      <c r="B84" s="1" t="s">
        <v>58</v>
      </c>
      <c r="C84" s="1" t="s">
        <v>42</v>
      </c>
      <c r="D84" s="1">
        <v>19.0</v>
      </c>
      <c r="E84" s="1">
        <v>25.0</v>
      </c>
      <c r="F84" s="1">
        <v>4.0</v>
      </c>
      <c r="G84" s="1">
        <v>10.0</v>
      </c>
      <c r="H84" s="1" t="s">
        <v>59</v>
      </c>
      <c r="I84" s="2">
        <v>45729.0</v>
      </c>
      <c r="J84" s="1">
        <v>450000.0</v>
      </c>
      <c r="K84" s="2">
        <v>45717.0</v>
      </c>
      <c r="L84" s="3" t="b">
        <f t="shared" si="1"/>
        <v>0</v>
      </c>
    </row>
    <row r="85">
      <c r="A85" s="1" t="s">
        <v>44</v>
      </c>
      <c r="B85" s="1" t="s">
        <v>45</v>
      </c>
      <c r="C85" s="1" t="s">
        <v>42</v>
      </c>
      <c r="D85" s="1">
        <v>51.0</v>
      </c>
      <c r="E85" s="1">
        <v>30.0</v>
      </c>
      <c r="F85" s="1">
        <v>6.0</v>
      </c>
      <c r="G85" s="1">
        <v>9.0</v>
      </c>
      <c r="H85" s="1" t="s">
        <v>43</v>
      </c>
      <c r="I85" s="2">
        <v>45752.0</v>
      </c>
      <c r="J85" s="1">
        <v>350000.0</v>
      </c>
      <c r="K85" s="2">
        <v>45748.0</v>
      </c>
      <c r="L85" s="3" t="b">
        <f t="shared" si="1"/>
        <v>0</v>
      </c>
    </row>
    <row r="86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  <c r="L86" s="3" t="b">
        <f t="shared" si="1"/>
        <v>0</v>
      </c>
    </row>
    <row r="87">
      <c r="A87" s="1" t="s">
        <v>53</v>
      </c>
      <c r="B87" s="1" t="s">
        <v>54</v>
      </c>
      <c r="C87" s="1" t="s">
        <v>13</v>
      </c>
      <c r="D87" s="1">
        <v>223.0</v>
      </c>
      <c r="E87" s="1">
        <v>60.0</v>
      </c>
      <c r="F87" s="1">
        <v>4.0</v>
      </c>
      <c r="G87" s="1">
        <v>8.0</v>
      </c>
      <c r="H87" s="1" t="s">
        <v>14</v>
      </c>
      <c r="I87" s="2">
        <v>46108.0</v>
      </c>
      <c r="J87" s="1">
        <v>165000.0</v>
      </c>
      <c r="K87" s="2">
        <v>46082.0</v>
      </c>
      <c r="L87" s="3" t="b">
        <f t="shared" si="1"/>
        <v>0</v>
      </c>
    </row>
    <row r="88">
      <c r="A88" s="1" t="s">
        <v>21</v>
      </c>
      <c r="B88" s="1" t="s">
        <v>22</v>
      </c>
      <c r="C88" s="1" t="s">
        <v>23</v>
      </c>
      <c r="D88" s="1">
        <v>34.0</v>
      </c>
      <c r="E88" s="1">
        <v>50.0</v>
      </c>
      <c r="F88" s="1">
        <v>6.0</v>
      </c>
      <c r="G88" s="1">
        <v>6.0</v>
      </c>
      <c r="H88" s="1" t="s">
        <v>24</v>
      </c>
      <c r="I88" s="2">
        <v>45849.0</v>
      </c>
      <c r="J88" s="1">
        <v>350000.0</v>
      </c>
      <c r="K88" s="2">
        <v>45839.0</v>
      </c>
      <c r="L88" s="3" t="b">
        <f t="shared" si="1"/>
        <v>0</v>
      </c>
    </row>
    <row r="89">
      <c r="A89" s="1" t="s">
        <v>46</v>
      </c>
      <c r="B89" s="1" t="s">
        <v>47</v>
      </c>
      <c r="C89" s="1" t="s">
        <v>23</v>
      </c>
      <c r="D89" s="1">
        <v>10.0</v>
      </c>
      <c r="E89" s="1">
        <v>40.0</v>
      </c>
      <c r="F89" s="1">
        <v>4.0</v>
      </c>
      <c r="G89" s="1">
        <v>3.0</v>
      </c>
      <c r="H89" s="1" t="s">
        <v>30</v>
      </c>
      <c r="I89" s="2">
        <v>46055.0</v>
      </c>
      <c r="J89" s="1">
        <v>550000.0</v>
      </c>
      <c r="K89" s="2">
        <v>46054.0</v>
      </c>
      <c r="L89" s="3" t="b">
        <f t="shared" si="1"/>
        <v>0</v>
      </c>
    </row>
    <row r="90">
      <c r="A90" s="1" t="s">
        <v>62</v>
      </c>
      <c r="B90" s="1" t="s">
        <v>63</v>
      </c>
      <c r="C90" s="1" t="s">
        <v>13</v>
      </c>
      <c r="D90" s="1">
        <v>436.0</v>
      </c>
      <c r="E90" s="1">
        <v>80.0</v>
      </c>
      <c r="F90" s="1">
        <v>4.0</v>
      </c>
      <c r="G90" s="1">
        <v>4.0</v>
      </c>
      <c r="H90" s="1" t="s">
        <v>33</v>
      </c>
      <c r="I90" s="2">
        <v>45755.0</v>
      </c>
      <c r="J90" s="1">
        <v>85000.0</v>
      </c>
      <c r="K90" s="2">
        <v>45748.0</v>
      </c>
      <c r="L90" s="3" t="b">
        <f t="shared" si="1"/>
        <v>0</v>
      </c>
    </row>
    <row r="91">
      <c r="A91" s="1" t="s">
        <v>25</v>
      </c>
      <c r="B91" s="1" t="s">
        <v>26</v>
      </c>
      <c r="C91" s="1" t="s">
        <v>17</v>
      </c>
      <c r="D91" s="1">
        <v>0.0</v>
      </c>
      <c r="E91" s="1">
        <v>25.0</v>
      </c>
      <c r="F91" s="1">
        <v>8.0</v>
      </c>
      <c r="G91" s="1">
        <v>10.0</v>
      </c>
      <c r="H91" s="1" t="s">
        <v>27</v>
      </c>
      <c r="I91" s="2">
        <v>46013.0</v>
      </c>
      <c r="J91" s="1">
        <v>4500000.0</v>
      </c>
      <c r="K91" s="2">
        <v>45992.0</v>
      </c>
      <c r="L91" s="3" t="b">
        <f t="shared" si="1"/>
        <v>0</v>
      </c>
    </row>
    <row r="92">
      <c r="A92" s="1" t="s">
        <v>25</v>
      </c>
      <c r="B92" s="1" t="s">
        <v>26</v>
      </c>
      <c r="C92" s="1" t="s">
        <v>17</v>
      </c>
      <c r="D92" s="1">
        <v>20.0</v>
      </c>
      <c r="E92" s="1">
        <v>25.0</v>
      </c>
      <c r="F92" s="1">
        <v>4.0</v>
      </c>
      <c r="G92" s="1">
        <v>19.0</v>
      </c>
      <c r="H92" s="1" t="s">
        <v>27</v>
      </c>
      <c r="I92" s="2">
        <v>45786.0</v>
      </c>
      <c r="J92" s="1">
        <v>4500000.0</v>
      </c>
      <c r="K92" s="2">
        <v>45778.0</v>
      </c>
      <c r="L92" s="3" t="b">
        <f t="shared" si="1"/>
        <v>0</v>
      </c>
    </row>
    <row r="93">
      <c r="A93" s="1" t="s">
        <v>57</v>
      </c>
      <c r="B93" s="1" t="s">
        <v>58</v>
      </c>
      <c r="C93" s="1" t="s">
        <v>42</v>
      </c>
      <c r="D93" s="1">
        <v>42.0</v>
      </c>
      <c r="E93" s="1">
        <v>25.0</v>
      </c>
      <c r="F93" s="1">
        <v>4.0</v>
      </c>
      <c r="G93" s="1">
        <v>8.0</v>
      </c>
      <c r="H93" s="1" t="s">
        <v>59</v>
      </c>
      <c r="I93" s="2">
        <v>46029.0</v>
      </c>
      <c r="J93" s="1">
        <v>450000.0</v>
      </c>
      <c r="K93" s="2">
        <v>46023.0</v>
      </c>
      <c r="L93" s="3" t="b">
        <f t="shared" si="1"/>
        <v>0</v>
      </c>
    </row>
    <row r="94">
      <c r="A94" s="1" t="s">
        <v>28</v>
      </c>
      <c r="B94" s="1" t="s">
        <v>29</v>
      </c>
      <c r="C94" s="1" t="s">
        <v>23</v>
      </c>
      <c r="D94" s="1">
        <v>0.0</v>
      </c>
      <c r="E94" s="1">
        <v>35.0</v>
      </c>
      <c r="F94" s="1">
        <v>12.0</v>
      </c>
      <c r="G94" s="1">
        <v>9.0</v>
      </c>
      <c r="H94" s="1" t="s">
        <v>30</v>
      </c>
      <c r="I94" s="2">
        <v>45746.0</v>
      </c>
      <c r="J94" s="1">
        <v>1250000.0</v>
      </c>
      <c r="K94" s="2">
        <v>45717.0</v>
      </c>
      <c r="L94" s="3" t="b">
        <f t="shared" si="1"/>
        <v>0</v>
      </c>
    </row>
    <row r="95">
      <c r="A95" s="1" t="s">
        <v>38</v>
      </c>
      <c r="B95" s="1" t="s">
        <v>39</v>
      </c>
      <c r="C95" s="1" t="s">
        <v>23</v>
      </c>
      <c r="D95" s="1">
        <v>34.0</v>
      </c>
      <c r="E95" s="1">
        <v>45.0</v>
      </c>
      <c r="F95" s="1">
        <v>5.0</v>
      </c>
      <c r="G95" s="1">
        <v>4.0</v>
      </c>
      <c r="H95" s="1" t="s">
        <v>24</v>
      </c>
      <c r="I95" s="2">
        <v>45801.0</v>
      </c>
      <c r="J95" s="1">
        <v>450000.0</v>
      </c>
      <c r="K95" s="2">
        <v>45778.0</v>
      </c>
      <c r="L95" s="3" t="b">
        <f t="shared" si="1"/>
        <v>0</v>
      </c>
    </row>
    <row r="96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10.0</v>
      </c>
      <c r="G96" s="1">
        <v>7.0</v>
      </c>
      <c r="H96" s="1" t="s">
        <v>30</v>
      </c>
      <c r="I96" s="2">
        <v>46008.0</v>
      </c>
      <c r="J96" s="1">
        <v>1250000.0</v>
      </c>
      <c r="K96" s="2">
        <v>45992.0</v>
      </c>
      <c r="L96" s="3" t="b">
        <f t="shared" si="1"/>
        <v>0</v>
      </c>
    </row>
    <row r="97">
      <c r="A97" s="1" t="s">
        <v>31</v>
      </c>
      <c r="B97" s="1" t="s">
        <v>32</v>
      </c>
      <c r="C97" s="1" t="s">
        <v>13</v>
      </c>
      <c r="D97" s="1">
        <v>169.0</v>
      </c>
      <c r="E97" s="1">
        <v>40.0</v>
      </c>
      <c r="F97" s="1">
        <v>3.0</v>
      </c>
      <c r="G97" s="1">
        <v>4.0</v>
      </c>
      <c r="H97" s="1" t="s">
        <v>33</v>
      </c>
      <c r="I97" s="2">
        <v>46074.0</v>
      </c>
      <c r="J97" s="1">
        <v>550000.0</v>
      </c>
      <c r="K97" s="2">
        <v>46054.0</v>
      </c>
      <c r="L97" s="3" t="b">
        <f t="shared" si="1"/>
        <v>0</v>
      </c>
    </row>
    <row r="98">
      <c r="A98" s="1" t="s">
        <v>21</v>
      </c>
      <c r="B98" s="1" t="s">
        <v>22</v>
      </c>
      <c r="C98" s="1" t="s">
        <v>23</v>
      </c>
      <c r="D98" s="1">
        <v>15.0</v>
      </c>
      <c r="E98" s="1">
        <v>50.0</v>
      </c>
      <c r="F98" s="1">
        <v>7.0</v>
      </c>
      <c r="G98" s="1">
        <v>7.0</v>
      </c>
      <c r="H98" s="1" t="s">
        <v>24</v>
      </c>
      <c r="I98" s="2">
        <v>46032.0</v>
      </c>
      <c r="J98" s="1">
        <v>350000.0</v>
      </c>
      <c r="K98" s="2">
        <v>46023.0</v>
      </c>
      <c r="L98" s="3" t="b">
        <f t="shared" si="1"/>
        <v>0</v>
      </c>
    </row>
    <row r="99">
      <c r="A99" s="1" t="s">
        <v>48</v>
      </c>
      <c r="B99" s="1" t="s">
        <v>49</v>
      </c>
      <c r="C99" s="1" t="s">
        <v>36</v>
      </c>
      <c r="D99" s="1">
        <v>48.0</v>
      </c>
      <c r="E99" s="1">
        <v>120.0</v>
      </c>
      <c r="F99" s="1">
        <v>18.0</v>
      </c>
      <c r="G99" s="1">
        <v>6.0</v>
      </c>
      <c r="H99" s="1" t="s">
        <v>50</v>
      </c>
      <c r="I99" s="2">
        <v>46074.0</v>
      </c>
      <c r="J99" s="1">
        <v>55000.0</v>
      </c>
      <c r="K99" s="2">
        <v>46054.0</v>
      </c>
      <c r="L99" s="3" t="b">
        <f t="shared" si="1"/>
        <v>0</v>
      </c>
    </row>
    <row r="100">
      <c r="A100" s="1" t="s">
        <v>25</v>
      </c>
      <c r="B100" s="1" t="s">
        <v>26</v>
      </c>
      <c r="C100" s="1" t="s">
        <v>17</v>
      </c>
      <c r="D100" s="1">
        <v>0.0</v>
      </c>
      <c r="E100" s="1">
        <v>25.0</v>
      </c>
      <c r="F100" s="1">
        <v>3.0</v>
      </c>
      <c r="G100" s="1">
        <v>18.0</v>
      </c>
      <c r="H100" s="1" t="s">
        <v>27</v>
      </c>
      <c r="I100" s="2">
        <v>45663.0</v>
      </c>
      <c r="J100" s="1">
        <v>4500000.0</v>
      </c>
      <c r="K100" s="2">
        <v>45658.0</v>
      </c>
      <c r="L100" s="3" t="b">
        <f t="shared" si="1"/>
        <v>0</v>
      </c>
    </row>
    <row r="101">
      <c r="A101" s="1" t="s">
        <v>15</v>
      </c>
      <c r="B101" s="1" t="s">
        <v>16</v>
      </c>
      <c r="C101" s="1" t="s">
        <v>17</v>
      </c>
      <c r="D101" s="1">
        <v>0.0</v>
      </c>
      <c r="E101" s="1">
        <v>15.0</v>
      </c>
      <c r="F101" s="1">
        <v>3.0</v>
      </c>
      <c r="G101" s="1">
        <v>8.0</v>
      </c>
      <c r="H101" s="1" t="s">
        <v>18</v>
      </c>
      <c r="I101" s="2">
        <v>45979.0</v>
      </c>
      <c r="J101" s="1">
        <v>8500000.0</v>
      </c>
      <c r="K101" s="2">
        <v>45962.0</v>
      </c>
      <c r="L101" s="3" t="b">
        <f t="shared" si="1"/>
        <v>0</v>
      </c>
    </row>
    <row r="102">
      <c r="A102" s="1" t="s">
        <v>44</v>
      </c>
      <c r="B102" s="1" t="s">
        <v>45</v>
      </c>
      <c r="C102" s="1" t="s">
        <v>42</v>
      </c>
      <c r="D102" s="1">
        <v>53.0</v>
      </c>
      <c r="E102" s="1">
        <v>30.0</v>
      </c>
      <c r="F102" s="1">
        <v>5.0</v>
      </c>
      <c r="G102" s="1">
        <v>4.0</v>
      </c>
      <c r="H102" s="1" t="s">
        <v>43</v>
      </c>
      <c r="I102" s="2">
        <v>45730.0</v>
      </c>
      <c r="J102" s="1">
        <v>350000.0</v>
      </c>
      <c r="K102" s="2">
        <v>45717.0</v>
      </c>
      <c r="L102" s="3" t="b">
        <f t="shared" si="1"/>
        <v>0</v>
      </c>
    </row>
    <row r="103">
      <c r="A103" s="1" t="s">
        <v>40</v>
      </c>
      <c r="B103" s="1" t="s">
        <v>41</v>
      </c>
      <c r="C103" s="1" t="s">
        <v>42</v>
      </c>
      <c r="D103" s="1">
        <v>12.0</v>
      </c>
      <c r="E103" s="1">
        <v>15.0</v>
      </c>
      <c r="F103" s="1">
        <v>4.0</v>
      </c>
      <c r="G103" s="1">
        <v>10.0</v>
      </c>
      <c r="H103" s="1" t="s">
        <v>43</v>
      </c>
      <c r="I103" s="2">
        <v>45717.0</v>
      </c>
      <c r="J103" s="1">
        <v>1200000.0</v>
      </c>
      <c r="K103" s="2">
        <v>45717.0</v>
      </c>
      <c r="L103" s="3" t="b">
        <f t="shared" si="1"/>
        <v>0</v>
      </c>
    </row>
    <row r="104">
      <c r="A104" s="1" t="s">
        <v>28</v>
      </c>
      <c r="B104" s="1" t="s">
        <v>29</v>
      </c>
      <c r="C104" s="1" t="s">
        <v>23</v>
      </c>
      <c r="D104" s="1">
        <v>31.0</v>
      </c>
      <c r="E104" s="1">
        <v>35.0</v>
      </c>
      <c r="F104" s="1">
        <v>3.0</v>
      </c>
      <c r="G104" s="1">
        <v>6.0</v>
      </c>
      <c r="H104" s="1" t="s">
        <v>30</v>
      </c>
      <c r="I104" s="2">
        <v>45891.0</v>
      </c>
      <c r="J104" s="1">
        <v>1250000.0</v>
      </c>
      <c r="K104" s="2">
        <v>45870.0</v>
      </c>
      <c r="L104" s="3" t="b">
        <f t="shared" si="1"/>
        <v>0</v>
      </c>
    </row>
    <row r="105">
      <c r="A105" s="1" t="s">
        <v>21</v>
      </c>
      <c r="B105" s="1" t="s">
        <v>22</v>
      </c>
      <c r="C105" s="1" t="s">
        <v>23</v>
      </c>
      <c r="D105" s="1">
        <v>21.0</v>
      </c>
      <c r="E105" s="1">
        <v>50.0</v>
      </c>
      <c r="F105" s="1">
        <v>7.0</v>
      </c>
      <c r="G105" s="1">
        <v>3.0</v>
      </c>
      <c r="H105" s="1" t="s">
        <v>24</v>
      </c>
      <c r="I105" s="2">
        <v>45918.0</v>
      </c>
      <c r="J105" s="1">
        <v>350000.0</v>
      </c>
      <c r="K105" s="2">
        <v>45901.0</v>
      </c>
      <c r="L105" s="3" t="b">
        <f t="shared" si="1"/>
        <v>0</v>
      </c>
    </row>
    <row r="106">
      <c r="A106" s="1" t="s">
        <v>11</v>
      </c>
      <c r="B106" s="1" t="s">
        <v>12</v>
      </c>
      <c r="C106" s="1" t="s">
        <v>13</v>
      </c>
      <c r="D106" s="1">
        <v>250.0</v>
      </c>
      <c r="E106" s="1">
        <v>50.0</v>
      </c>
      <c r="F106" s="1">
        <v>1.0</v>
      </c>
      <c r="G106" s="1">
        <v>7.0</v>
      </c>
      <c r="H106" s="1" t="s">
        <v>14</v>
      </c>
      <c r="I106" s="2">
        <v>46050.0</v>
      </c>
      <c r="J106" s="1">
        <v>125000.0</v>
      </c>
      <c r="K106" s="2">
        <v>46023.0</v>
      </c>
      <c r="L106" s="3" t="b">
        <f t="shared" si="1"/>
        <v>0</v>
      </c>
    </row>
    <row r="107">
      <c r="A107" s="1" t="s">
        <v>60</v>
      </c>
      <c r="B107" s="1" t="s">
        <v>61</v>
      </c>
      <c r="C107" s="1" t="s">
        <v>17</v>
      </c>
      <c r="D107" s="1">
        <v>-19.0</v>
      </c>
      <c r="E107" s="1">
        <v>20.0</v>
      </c>
      <c r="F107" s="1">
        <v>2.0</v>
      </c>
      <c r="G107" s="1">
        <v>18.0</v>
      </c>
      <c r="H107" s="1" t="s">
        <v>27</v>
      </c>
      <c r="I107" s="2">
        <v>45884.0</v>
      </c>
      <c r="J107" s="1">
        <v>3200000.0</v>
      </c>
      <c r="K107" s="2">
        <v>45870.0</v>
      </c>
      <c r="L107" s="3" t="b">
        <f t="shared" si="1"/>
        <v>0</v>
      </c>
    </row>
    <row r="108">
      <c r="A108" s="1" t="s">
        <v>25</v>
      </c>
      <c r="B108" s="1" t="s">
        <v>26</v>
      </c>
      <c r="C108" s="1" t="s">
        <v>17</v>
      </c>
      <c r="D108" s="1">
        <v>32.0</v>
      </c>
      <c r="E108" s="1">
        <v>25.0</v>
      </c>
      <c r="F108" s="1">
        <v>4.0</v>
      </c>
      <c r="G108" s="1">
        <v>9.0</v>
      </c>
      <c r="H108" s="1" t="s">
        <v>27</v>
      </c>
      <c r="I108" s="2">
        <v>45708.0</v>
      </c>
      <c r="J108" s="1">
        <v>4500000.0</v>
      </c>
      <c r="K108" s="2">
        <v>45689.0</v>
      </c>
      <c r="L108" s="3" t="b">
        <f t="shared" si="1"/>
        <v>0</v>
      </c>
    </row>
    <row r="109">
      <c r="A109" s="1" t="s">
        <v>19</v>
      </c>
      <c r="B109" s="1" t="s">
        <v>20</v>
      </c>
      <c r="C109" s="1" t="s">
        <v>17</v>
      </c>
      <c r="D109" s="1">
        <v>-12.0</v>
      </c>
      <c r="E109" s="1">
        <v>30.0</v>
      </c>
      <c r="F109" s="1">
        <v>6.0</v>
      </c>
      <c r="G109" s="1">
        <v>7.0</v>
      </c>
      <c r="H109" s="1" t="s">
        <v>18</v>
      </c>
      <c r="I109" s="2">
        <v>45975.0</v>
      </c>
      <c r="J109" s="1">
        <v>1200000.0</v>
      </c>
      <c r="K109" s="2">
        <v>45962.0</v>
      </c>
      <c r="L109" s="3" t="b">
        <f t="shared" si="1"/>
        <v>0</v>
      </c>
    </row>
    <row r="110">
      <c r="A110" s="1" t="s">
        <v>40</v>
      </c>
      <c r="B110" s="1" t="s">
        <v>41</v>
      </c>
      <c r="C110" s="1" t="s">
        <v>42</v>
      </c>
      <c r="D110" s="1">
        <v>3.0</v>
      </c>
      <c r="E110" s="1">
        <v>15.0</v>
      </c>
      <c r="F110" s="1">
        <v>3.0</v>
      </c>
      <c r="G110" s="1">
        <v>8.0</v>
      </c>
      <c r="H110" s="1" t="s">
        <v>43</v>
      </c>
      <c r="I110" s="2">
        <v>45815.0</v>
      </c>
      <c r="J110" s="1">
        <v>1200000.0</v>
      </c>
      <c r="K110" s="2">
        <v>45809.0</v>
      </c>
      <c r="L110" s="3" t="b">
        <f t="shared" si="1"/>
        <v>0</v>
      </c>
    </row>
    <row r="111">
      <c r="A111" s="1" t="s">
        <v>51</v>
      </c>
      <c r="B111" s="1" t="s">
        <v>52</v>
      </c>
      <c r="C111" s="1" t="s">
        <v>36</v>
      </c>
      <c r="D111" s="1">
        <v>0.0</v>
      </c>
      <c r="E111" s="1">
        <v>60.0</v>
      </c>
      <c r="F111" s="1">
        <v>13.0</v>
      </c>
      <c r="G111" s="1">
        <v>4.0</v>
      </c>
      <c r="H111" s="1" t="s">
        <v>50</v>
      </c>
      <c r="I111" s="2">
        <v>46004.0</v>
      </c>
      <c r="J111" s="1">
        <v>175000.0</v>
      </c>
      <c r="K111" s="2">
        <v>45992.0</v>
      </c>
      <c r="L111" s="3" t="b">
        <f t="shared" si="1"/>
        <v>0</v>
      </c>
    </row>
    <row r="112">
      <c r="A112" s="1" t="s">
        <v>21</v>
      </c>
      <c r="B112" s="1" t="s">
        <v>22</v>
      </c>
      <c r="C112" s="1" t="s">
        <v>23</v>
      </c>
      <c r="D112" s="1">
        <v>26.0</v>
      </c>
      <c r="E112" s="1">
        <v>50.0</v>
      </c>
      <c r="F112" s="1">
        <v>8.0</v>
      </c>
      <c r="G112" s="1">
        <v>3.0</v>
      </c>
      <c r="H112" s="1" t="s">
        <v>24</v>
      </c>
      <c r="I112" s="2">
        <v>45884.0</v>
      </c>
      <c r="J112" s="1">
        <v>350000.0</v>
      </c>
      <c r="K112" s="2">
        <v>45870.0</v>
      </c>
      <c r="L112" s="3" t="b">
        <f t="shared" si="1"/>
        <v>0</v>
      </c>
    </row>
    <row r="113">
      <c r="A113" s="1" t="s">
        <v>46</v>
      </c>
      <c r="B113" s="1" t="s">
        <v>47</v>
      </c>
      <c r="C113" s="1" t="s">
        <v>23</v>
      </c>
      <c r="D113" s="1">
        <v>32.0</v>
      </c>
      <c r="E113" s="1">
        <v>40.0</v>
      </c>
      <c r="F113" s="1">
        <v>5.0</v>
      </c>
      <c r="G113" s="1">
        <v>5.0</v>
      </c>
      <c r="H113" s="1" t="s">
        <v>30</v>
      </c>
      <c r="I113" s="2">
        <v>45915.0</v>
      </c>
      <c r="J113" s="1">
        <v>550000.0</v>
      </c>
      <c r="K113" s="2">
        <v>45901.0</v>
      </c>
      <c r="L113" s="3" t="b">
        <f t="shared" si="1"/>
        <v>0</v>
      </c>
    </row>
    <row r="114">
      <c r="A114" s="1" t="s">
        <v>21</v>
      </c>
      <c r="B114" s="1" t="s">
        <v>22</v>
      </c>
      <c r="C114" s="1" t="s">
        <v>23</v>
      </c>
      <c r="D114" s="1">
        <v>28.0</v>
      </c>
      <c r="E114" s="1">
        <v>50.0</v>
      </c>
      <c r="F114" s="1">
        <v>7.0</v>
      </c>
      <c r="G114" s="1">
        <v>7.0</v>
      </c>
      <c r="H114" s="1" t="s">
        <v>24</v>
      </c>
      <c r="I114" s="2">
        <v>45939.0</v>
      </c>
      <c r="J114" s="1">
        <v>350000.0</v>
      </c>
      <c r="K114" s="2">
        <v>45931.0</v>
      </c>
      <c r="L114" s="3" t="b">
        <f t="shared" si="1"/>
        <v>0</v>
      </c>
    </row>
    <row r="115">
      <c r="A115" s="1" t="s">
        <v>60</v>
      </c>
      <c r="B115" s="1" t="s">
        <v>61</v>
      </c>
      <c r="C115" s="1" t="s">
        <v>17</v>
      </c>
      <c r="D115" s="1">
        <v>0.0</v>
      </c>
      <c r="E115" s="1">
        <v>20.0</v>
      </c>
      <c r="F115" s="1">
        <v>1.0</v>
      </c>
      <c r="G115" s="1">
        <v>23.0</v>
      </c>
      <c r="H115" s="1" t="s">
        <v>27</v>
      </c>
      <c r="I115" s="2">
        <v>45689.0</v>
      </c>
      <c r="J115" s="1">
        <v>3200000.0</v>
      </c>
      <c r="K115" s="2">
        <v>45689.0</v>
      </c>
      <c r="L115" s="3" t="b">
        <f t="shared" si="1"/>
        <v>0</v>
      </c>
    </row>
    <row r="116">
      <c r="A116" s="1" t="s">
        <v>31</v>
      </c>
      <c r="B116" s="1" t="s">
        <v>32</v>
      </c>
      <c r="C116" s="1" t="s">
        <v>13</v>
      </c>
      <c r="D116" s="1">
        <v>221.0</v>
      </c>
      <c r="E116" s="1">
        <v>40.0</v>
      </c>
      <c r="F116" s="1">
        <v>2.0</v>
      </c>
      <c r="G116" s="1">
        <v>5.0</v>
      </c>
      <c r="H116" s="1" t="s">
        <v>33</v>
      </c>
      <c r="I116" s="2">
        <v>45791.0</v>
      </c>
      <c r="J116" s="1">
        <v>550000.0</v>
      </c>
      <c r="K116" s="2">
        <v>45778.0</v>
      </c>
      <c r="L116" s="3" t="b">
        <f t="shared" si="1"/>
        <v>0</v>
      </c>
    </row>
    <row r="117">
      <c r="A117" s="1" t="s">
        <v>40</v>
      </c>
      <c r="B117" s="1" t="s">
        <v>41</v>
      </c>
      <c r="C117" s="1" t="s">
        <v>42</v>
      </c>
      <c r="D117" s="1">
        <v>22.0</v>
      </c>
      <c r="E117" s="1">
        <v>15.0</v>
      </c>
      <c r="F117" s="1">
        <v>3.0</v>
      </c>
      <c r="G117" s="1">
        <v>4.0</v>
      </c>
      <c r="H117" s="1" t="s">
        <v>43</v>
      </c>
      <c r="I117" s="2">
        <v>45919.0</v>
      </c>
      <c r="J117" s="1">
        <v>1200000.0</v>
      </c>
      <c r="K117" s="2">
        <v>45901.0</v>
      </c>
      <c r="L117" s="3" t="b">
        <f t="shared" si="1"/>
        <v>0</v>
      </c>
    </row>
    <row r="118">
      <c r="A118" s="1" t="s">
        <v>11</v>
      </c>
      <c r="B118" s="1" t="s">
        <v>12</v>
      </c>
      <c r="C118" s="1" t="s">
        <v>13</v>
      </c>
      <c r="D118" s="1">
        <v>185.0</v>
      </c>
      <c r="E118" s="1">
        <v>50.0</v>
      </c>
      <c r="F118" s="1">
        <v>2.0</v>
      </c>
      <c r="G118" s="1">
        <v>8.0</v>
      </c>
      <c r="H118" s="1" t="s">
        <v>14</v>
      </c>
      <c r="I118" s="2">
        <v>46078.0</v>
      </c>
      <c r="J118" s="1">
        <v>125000.0</v>
      </c>
      <c r="K118" s="2">
        <v>46054.0</v>
      </c>
      <c r="L118" s="3" t="b">
        <f t="shared" si="1"/>
        <v>0</v>
      </c>
    </row>
    <row r="119">
      <c r="A119" s="1" t="s">
        <v>64</v>
      </c>
      <c r="B119" s="1" t="s">
        <v>65</v>
      </c>
      <c r="C119" s="1" t="s">
        <v>42</v>
      </c>
      <c r="D119" s="1">
        <v>32.0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45865.0</v>
      </c>
      <c r="J119" s="1">
        <v>750000.0</v>
      </c>
      <c r="K119" s="2">
        <v>45839.0</v>
      </c>
      <c r="L119" s="3" t="b">
        <f t="shared" si="1"/>
        <v>0</v>
      </c>
    </row>
    <row r="120">
      <c r="A120" s="1" t="s">
        <v>25</v>
      </c>
      <c r="B120" s="1" t="s">
        <v>26</v>
      </c>
      <c r="C120" s="1" t="s">
        <v>17</v>
      </c>
      <c r="D120" s="1">
        <v>32.0</v>
      </c>
      <c r="E120" s="1">
        <v>25.0</v>
      </c>
      <c r="F120" s="1">
        <v>3.0</v>
      </c>
      <c r="G120" s="1">
        <v>8.0</v>
      </c>
      <c r="H120" s="1" t="s">
        <v>27</v>
      </c>
      <c r="I120" s="2">
        <v>45755.0</v>
      </c>
      <c r="J120" s="1">
        <v>4500000.0</v>
      </c>
      <c r="K120" s="2">
        <v>45748.0</v>
      </c>
      <c r="L120" s="3" t="b">
        <f t="shared" si="1"/>
        <v>0</v>
      </c>
    </row>
    <row r="121">
      <c r="A121" s="1" t="s">
        <v>48</v>
      </c>
      <c r="B121" s="1" t="s">
        <v>49</v>
      </c>
      <c r="C121" s="1" t="s">
        <v>36</v>
      </c>
      <c r="D121" s="1">
        <v>154.0</v>
      </c>
      <c r="E121" s="1">
        <v>120.0</v>
      </c>
      <c r="F121" s="1">
        <v>19.0</v>
      </c>
      <c r="G121" s="1">
        <v>6.0</v>
      </c>
      <c r="H121" s="1" t="s">
        <v>50</v>
      </c>
      <c r="I121" s="2">
        <v>45978.0</v>
      </c>
      <c r="J121" s="1">
        <v>55000.0</v>
      </c>
      <c r="K121" s="2">
        <v>45962.0</v>
      </c>
      <c r="L121" s="3" t="b">
        <f t="shared" si="1"/>
        <v>0</v>
      </c>
    </row>
    <row r="122">
      <c r="A122" s="1" t="s">
        <v>28</v>
      </c>
      <c r="B122" s="1" t="s">
        <v>29</v>
      </c>
      <c r="C122" s="1" t="s">
        <v>23</v>
      </c>
      <c r="D122" s="1">
        <v>18.0</v>
      </c>
      <c r="E122" s="1">
        <v>35.0</v>
      </c>
      <c r="F122" s="1">
        <v>7.0</v>
      </c>
      <c r="G122" s="1">
        <v>5.0</v>
      </c>
      <c r="H122" s="1" t="s">
        <v>30</v>
      </c>
      <c r="I122" s="2">
        <v>45859.0</v>
      </c>
      <c r="J122" s="1">
        <v>1250000.0</v>
      </c>
      <c r="K122" s="2">
        <v>45839.0</v>
      </c>
      <c r="L122" s="3" t="b">
        <f t="shared" si="1"/>
        <v>0</v>
      </c>
    </row>
    <row r="123">
      <c r="A123" s="1" t="s">
        <v>57</v>
      </c>
      <c r="B123" s="1" t="s">
        <v>58</v>
      </c>
      <c r="C123" s="1" t="s">
        <v>42</v>
      </c>
      <c r="D123" s="1">
        <v>14.0</v>
      </c>
      <c r="E123" s="1">
        <v>25.0</v>
      </c>
      <c r="F123" s="1">
        <v>5.0</v>
      </c>
      <c r="G123" s="1">
        <v>9.0</v>
      </c>
      <c r="H123" s="1" t="s">
        <v>59</v>
      </c>
      <c r="I123" s="2">
        <v>45816.0</v>
      </c>
      <c r="J123" s="3"/>
      <c r="K123" s="2">
        <v>45809.0</v>
      </c>
      <c r="L123" s="3" t="b">
        <f t="shared" si="1"/>
        <v>1</v>
      </c>
    </row>
    <row r="124">
      <c r="A124" s="1" t="s">
        <v>44</v>
      </c>
      <c r="B124" s="1" t="s">
        <v>45</v>
      </c>
      <c r="C124" s="1" t="s">
        <v>42</v>
      </c>
      <c r="D124" s="1">
        <v>34.0</v>
      </c>
      <c r="E124" s="1">
        <v>30.0</v>
      </c>
      <c r="F124" s="1">
        <v>5.0</v>
      </c>
      <c r="G124" s="1">
        <v>5.0</v>
      </c>
      <c r="H124" s="1" t="s">
        <v>43</v>
      </c>
      <c r="I124" s="2">
        <v>46007.0</v>
      </c>
      <c r="J124" s="1">
        <v>350000.0</v>
      </c>
      <c r="K124" s="2">
        <v>45992.0</v>
      </c>
      <c r="L124" s="3" t="b">
        <f t="shared" si="1"/>
        <v>0</v>
      </c>
    </row>
    <row r="125">
      <c r="A125" s="1" t="s">
        <v>38</v>
      </c>
      <c r="B125" s="1" t="s">
        <v>39</v>
      </c>
      <c r="C125" s="1" t="s">
        <v>23</v>
      </c>
      <c r="D125" s="1">
        <v>0.0</v>
      </c>
      <c r="E125" s="1">
        <v>45.0</v>
      </c>
      <c r="F125" s="1">
        <v>13.0</v>
      </c>
      <c r="G125" s="1">
        <v>7.0</v>
      </c>
      <c r="H125" s="1" t="s">
        <v>24</v>
      </c>
      <c r="I125" s="2">
        <v>46015.0</v>
      </c>
      <c r="J125" s="1">
        <v>450000.0</v>
      </c>
      <c r="K125" s="2">
        <v>45992.0</v>
      </c>
      <c r="L125" s="3" t="b">
        <f t="shared" si="1"/>
        <v>0</v>
      </c>
    </row>
    <row r="126">
      <c r="A126" s="1" t="s">
        <v>34</v>
      </c>
      <c r="B126" s="1" t="s">
        <v>35</v>
      </c>
      <c r="C126" s="1" t="s">
        <v>36</v>
      </c>
      <c r="D126" s="1">
        <v>17.0</v>
      </c>
      <c r="E126" s="1">
        <v>80.0</v>
      </c>
      <c r="F126" s="1">
        <v>11.0</v>
      </c>
      <c r="G126" s="1">
        <v>5.0</v>
      </c>
      <c r="H126" s="1" t="s">
        <v>37</v>
      </c>
      <c r="I126" s="2">
        <v>45882.0</v>
      </c>
      <c r="J126" s="1">
        <v>65000.0</v>
      </c>
      <c r="K126" s="2">
        <v>45870.0</v>
      </c>
      <c r="L126" s="3" t="b">
        <f t="shared" si="1"/>
        <v>0</v>
      </c>
    </row>
    <row r="127">
      <c r="A127" s="1" t="s">
        <v>51</v>
      </c>
      <c r="B127" s="1" t="s">
        <v>52</v>
      </c>
      <c r="C127" s="1" t="s">
        <v>36</v>
      </c>
      <c r="D127" s="1">
        <v>0.0</v>
      </c>
      <c r="E127" s="1">
        <v>60.0</v>
      </c>
      <c r="F127" s="1">
        <v>14.0</v>
      </c>
      <c r="G127" s="1">
        <v>4.0</v>
      </c>
      <c r="H127" s="1" t="s">
        <v>50</v>
      </c>
      <c r="I127" s="2">
        <v>45741.0</v>
      </c>
      <c r="J127" s="1">
        <v>175000.0</v>
      </c>
      <c r="K127" s="2">
        <v>45717.0</v>
      </c>
      <c r="L127" s="3" t="b">
        <f t="shared" si="1"/>
        <v>0</v>
      </c>
    </row>
    <row r="128">
      <c r="A128" s="1" t="s">
        <v>40</v>
      </c>
      <c r="B128" s="1" t="s">
        <v>41</v>
      </c>
      <c r="C128" s="1" t="s">
        <v>42</v>
      </c>
      <c r="D128" s="1">
        <v>13.0</v>
      </c>
      <c r="E128" s="1">
        <v>15.0</v>
      </c>
      <c r="F128" s="1">
        <v>2.0</v>
      </c>
      <c r="G128" s="1">
        <v>7.0</v>
      </c>
      <c r="H128" s="1" t="s">
        <v>43</v>
      </c>
      <c r="I128" s="2">
        <v>45799.0</v>
      </c>
      <c r="J128" s="1">
        <v>1200000.0</v>
      </c>
      <c r="K128" s="2">
        <v>45778.0</v>
      </c>
      <c r="L128" s="3" t="b">
        <f t="shared" si="1"/>
        <v>0</v>
      </c>
    </row>
    <row r="129">
      <c r="A129" s="1" t="s">
        <v>34</v>
      </c>
      <c r="B129" s="1" t="s">
        <v>35</v>
      </c>
      <c r="C129" s="1" t="s">
        <v>36</v>
      </c>
      <c r="D129" s="1">
        <v>9.0</v>
      </c>
      <c r="E129" s="1">
        <v>80.0</v>
      </c>
      <c r="F129" s="1">
        <v>11.0</v>
      </c>
      <c r="G129" s="1">
        <v>4.0</v>
      </c>
      <c r="H129" s="1" t="s">
        <v>37</v>
      </c>
      <c r="I129" s="2">
        <v>46077.0</v>
      </c>
      <c r="J129" s="1">
        <v>65000.0</v>
      </c>
      <c r="K129" s="2">
        <v>46054.0</v>
      </c>
      <c r="L129" s="3" t="b">
        <f t="shared" si="1"/>
        <v>0</v>
      </c>
    </row>
    <row r="130">
      <c r="A130" s="1" t="s">
        <v>53</v>
      </c>
      <c r="B130" s="1" t="s">
        <v>54</v>
      </c>
      <c r="C130" s="1" t="s">
        <v>13</v>
      </c>
      <c r="D130" s="1">
        <v>202.0</v>
      </c>
      <c r="E130" s="1">
        <v>60.0</v>
      </c>
      <c r="F130" s="1">
        <v>2.0</v>
      </c>
      <c r="G130" s="1">
        <v>4.0</v>
      </c>
      <c r="H130" s="1" t="s">
        <v>14</v>
      </c>
      <c r="I130" s="2">
        <v>46019.0</v>
      </c>
      <c r="J130" s="1">
        <v>165000.0</v>
      </c>
      <c r="K130" s="2">
        <v>45992.0</v>
      </c>
      <c r="L130" s="3" t="b">
        <f t="shared" si="1"/>
        <v>0</v>
      </c>
    </row>
    <row r="131">
      <c r="A131" s="1" t="s">
        <v>53</v>
      </c>
      <c r="B131" s="1" t="s">
        <v>54</v>
      </c>
      <c r="C131" s="1" t="s">
        <v>13</v>
      </c>
      <c r="D131" s="1">
        <v>252.0</v>
      </c>
      <c r="E131" s="1">
        <v>60.0</v>
      </c>
      <c r="F131" s="1">
        <v>4.0</v>
      </c>
      <c r="G131" s="1">
        <v>7.0</v>
      </c>
      <c r="H131" s="1" t="s">
        <v>14</v>
      </c>
      <c r="I131" s="2">
        <v>45930.0</v>
      </c>
      <c r="J131" s="1">
        <v>165000.0</v>
      </c>
      <c r="K131" s="2">
        <v>45901.0</v>
      </c>
      <c r="L131" s="3" t="b">
        <f t="shared" si="1"/>
        <v>0</v>
      </c>
    </row>
    <row r="132">
      <c r="A132" s="1" t="s">
        <v>64</v>
      </c>
      <c r="B132" s="1" t="s">
        <v>65</v>
      </c>
      <c r="C132" s="1" t="s">
        <v>42</v>
      </c>
      <c r="D132" s="1">
        <v>20.0</v>
      </c>
      <c r="E132" s="1">
        <v>20.0</v>
      </c>
      <c r="F132" s="1">
        <v>2.0</v>
      </c>
      <c r="G132" s="1">
        <v>7.0</v>
      </c>
      <c r="H132" s="1" t="s">
        <v>59</v>
      </c>
      <c r="I132" s="2">
        <v>46027.0</v>
      </c>
      <c r="J132" s="1">
        <v>750000.0</v>
      </c>
      <c r="K132" s="2">
        <v>46023.0</v>
      </c>
      <c r="L132" s="3" t="b">
        <f t="shared" si="1"/>
        <v>0</v>
      </c>
    </row>
    <row r="133">
      <c r="A133" s="1" t="s">
        <v>31</v>
      </c>
      <c r="B133" s="1" t="s">
        <v>32</v>
      </c>
      <c r="C133" s="1" t="s">
        <v>13</v>
      </c>
      <c r="D133" s="1">
        <v>153.0</v>
      </c>
      <c r="E133" s="1">
        <v>40.0</v>
      </c>
      <c r="F133" s="1">
        <v>4.0</v>
      </c>
      <c r="G133" s="1">
        <v>5.0</v>
      </c>
      <c r="H133" s="1" t="s">
        <v>33</v>
      </c>
      <c r="I133" s="2">
        <v>46097.0</v>
      </c>
      <c r="J133" s="1">
        <v>550000.0</v>
      </c>
      <c r="K133" s="2">
        <v>46082.0</v>
      </c>
      <c r="L133" s="3" t="b">
        <f t="shared" si="1"/>
        <v>0</v>
      </c>
    </row>
    <row r="134">
      <c r="A134" s="1" t="s">
        <v>57</v>
      </c>
      <c r="B134" s="1" t="s">
        <v>58</v>
      </c>
      <c r="C134" s="1" t="s">
        <v>42</v>
      </c>
      <c r="D134" s="1">
        <v>41.0</v>
      </c>
      <c r="E134" s="1">
        <v>25.0</v>
      </c>
      <c r="F134" s="1">
        <v>4.0</v>
      </c>
      <c r="G134" s="1">
        <v>10.0</v>
      </c>
      <c r="H134" s="1" t="s">
        <v>59</v>
      </c>
      <c r="I134" s="2">
        <v>45801.0</v>
      </c>
      <c r="J134" s="1">
        <v>450000.0</v>
      </c>
      <c r="K134" s="2">
        <v>45778.0</v>
      </c>
      <c r="L134" s="3" t="b">
        <f t="shared" si="1"/>
        <v>0</v>
      </c>
    </row>
    <row r="135">
      <c r="A135" s="1" t="s">
        <v>62</v>
      </c>
      <c r="B135" s="1" t="s">
        <v>63</v>
      </c>
      <c r="C135" s="1" t="s">
        <v>13</v>
      </c>
      <c r="D135" s="1">
        <v>405.0</v>
      </c>
      <c r="E135" s="1">
        <v>80.0</v>
      </c>
      <c r="F135" s="3"/>
      <c r="G135" s="1">
        <v>5.0</v>
      </c>
      <c r="H135" s="1" t="s">
        <v>33</v>
      </c>
      <c r="I135" s="2">
        <v>45663.0</v>
      </c>
      <c r="J135" s="1">
        <v>85000.0</v>
      </c>
      <c r="K135" s="2">
        <v>45658.0</v>
      </c>
      <c r="L135" s="3" t="b">
        <f t="shared" si="1"/>
        <v>1</v>
      </c>
    </row>
    <row r="136">
      <c r="A136" s="1" t="s">
        <v>64</v>
      </c>
      <c r="B136" s="1" t="s">
        <v>65</v>
      </c>
      <c r="C136" s="1" t="s">
        <v>42</v>
      </c>
      <c r="D136" s="1">
        <v>32.0</v>
      </c>
      <c r="E136" s="1">
        <v>20.0</v>
      </c>
      <c r="F136" s="1">
        <v>1.0</v>
      </c>
      <c r="G136" s="1">
        <v>8.0</v>
      </c>
      <c r="H136" s="1" t="s">
        <v>59</v>
      </c>
      <c r="I136" s="2">
        <v>45955.0</v>
      </c>
      <c r="J136" s="1">
        <v>750000.0</v>
      </c>
      <c r="K136" s="2">
        <v>45931.0</v>
      </c>
      <c r="L136" s="3" t="b">
        <f t="shared" si="1"/>
        <v>0</v>
      </c>
    </row>
    <row r="137">
      <c r="A137" s="1" t="s">
        <v>60</v>
      </c>
      <c r="B137" s="1" t="s">
        <v>61</v>
      </c>
      <c r="C137" s="1" t="s">
        <v>17</v>
      </c>
      <c r="D137" s="1">
        <v>0.0</v>
      </c>
      <c r="E137" s="1">
        <v>20.0</v>
      </c>
      <c r="F137" s="1">
        <v>3.0</v>
      </c>
      <c r="G137" s="1">
        <v>7.0</v>
      </c>
      <c r="H137" s="1" t="s">
        <v>27</v>
      </c>
      <c r="I137" s="2">
        <v>45919.0</v>
      </c>
      <c r="J137" s="1">
        <v>3200000.0</v>
      </c>
      <c r="K137" s="2">
        <v>45901.0</v>
      </c>
      <c r="L137" s="3" t="b">
        <f t="shared" si="1"/>
        <v>0</v>
      </c>
    </row>
    <row r="138">
      <c r="A138" s="1" t="s">
        <v>62</v>
      </c>
      <c r="B138" s="1" t="s">
        <v>63</v>
      </c>
      <c r="C138" s="1" t="s">
        <v>13</v>
      </c>
      <c r="D138" s="1">
        <v>255.0</v>
      </c>
      <c r="E138" s="1">
        <v>80.0</v>
      </c>
      <c r="F138" s="1">
        <v>4.0</v>
      </c>
      <c r="G138" s="1">
        <v>6.0</v>
      </c>
      <c r="H138" s="1" t="s">
        <v>33</v>
      </c>
      <c r="I138" s="2">
        <v>46001.0</v>
      </c>
      <c r="J138" s="1">
        <v>85000.0</v>
      </c>
      <c r="K138" s="2">
        <v>45992.0</v>
      </c>
      <c r="L138" s="3" t="b">
        <f t="shared" si="1"/>
        <v>0</v>
      </c>
    </row>
    <row r="139">
      <c r="A139" s="1" t="s">
        <v>31</v>
      </c>
      <c r="B139" s="1" t="s">
        <v>32</v>
      </c>
      <c r="C139" s="1" t="s">
        <v>13</v>
      </c>
      <c r="D139" s="1">
        <v>168.0</v>
      </c>
      <c r="E139" s="1">
        <v>40.0</v>
      </c>
      <c r="F139" s="1">
        <v>3.0</v>
      </c>
      <c r="G139" s="1">
        <v>5.0</v>
      </c>
      <c r="H139" s="1" t="s">
        <v>33</v>
      </c>
      <c r="I139" s="2">
        <v>45709.0</v>
      </c>
      <c r="J139" s="1">
        <v>550000.0</v>
      </c>
      <c r="K139" s="2">
        <v>45689.0</v>
      </c>
      <c r="L139" s="3" t="b">
        <f t="shared" si="1"/>
        <v>0</v>
      </c>
    </row>
    <row r="140">
      <c r="A140" s="1" t="s">
        <v>57</v>
      </c>
      <c r="B140" s="1" t="s">
        <v>58</v>
      </c>
      <c r="C140" s="1" t="s">
        <v>42</v>
      </c>
      <c r="D140" s="1">
        <v>58.0</v>
      </c>
      <c r="E140" s="1">
        <v>25.0</v>
      </c>
      <c r="F140" s="1">
        <v>1.0</v>
      </c>
      <c r="G140" s="1">
        <v>10.0</v>
      </c>
      <c r="H140" s="1" t="s">
        <v>59</v>
      </c>
      <c r="I140" s="2">
        <v>45952.0</v>
      </c>
      <c r="J140" s="1">
        <v>450000.0</v>
      </c>
      <c r="K140" s="2">
        <v>45931.0</v>
      </c>
      <c r="L140" s="3" t="b">
        <f t="shared" si="1"/>
        <v>0</v>
      </c>
    </row>
    <row r="141">
      <c r="A141" s="1" t="s">
        <v>46</v>
      </c>
      <c r="B141" s="1" t="s">
        <v>47</v>
      </c>
      <c r="C141" s="1" t="s">
        <v>23</v>
      </c>
      <c r="D141" s="1">
        <v>42.0</v>
      </c>
      <c r="E141" s="1">
        <v>40.0</v>
      </c>
      <c r="F141" s="1">
        <v>4.0</v>
      </c>
      <c r="G141" s="1">
        <v>7.0</v>
      </c>
      <c r="H141" s="1" t="s">
        <v>30</v>
      </c>
      <c r="I141" s="2">
        <v>45889.0</v>
      </c>
      <c r="J141" s="1">
        <v>550000.0</v>
      </c>
      <c r="K141" s="2">
        <v>45870.0</v>
      </c>
      <c r="L141" s="3" t="b">
        <f t="shared" si="1"/>
        <v>0</v>
      </c>
    </row>
    <row r="142">
      <c r="A142" s="1" t="s">
        <v>44</v>
      </c>
      <c r="B142" s="1" t="s">
        <v>45</v>
      </c>
      <c r="C142" s="1" t="s">
        <v>42</v>
      </c>
      <c r="D142" s="1">
        <v>35.0</v>
      </c>
      <c r="E142" s="1">
        <v>30.0</v>
      </c>
      <c r="F142" s="1">
        <v>5.0</v>
      </c>
      <c r="G142" s="1">
        <v>6.0</v>
      </c>
      <c r="H142" s="1" t="s">
        <v>43</v>
      </c>
      <c r="I142" s="2">
        <v>46048.0</v>
      </c>
      <c r="J142" s="1">
        <v>350000.0</v>
      </c>
      <c r="K142" s="2">
        <v>46023.0</v>
      </c>
      <c r="L142" s="3" t="b">
        <f t="shared" si="1"/>
        <v>0</v>
      </c>
    </row>
    <row r="143">
      <c r="A143" s="1" t="s">
        <v>46</v>
      </c>
      <c r="B143" s="1" t="s">
        <v>47</v>
      </c>
      <c r="C143" s="1" t="s">
        <v>23</v>
      </c>
      <c r="D143" s="1">
        <v>36.0</v>
      </c>
      <c r="E143" s="1">
        <v>40.0</v>
      </c>
      <c r="F143" s="1">
        <v>6.0</v>
      </c>
      <c r="G143" s="1">
        <v>4.0</v>
      </c>
      <c r="H143" s="1" t="s">
        <v>30</v>
      </c>
      <c r="I143" s="2">
        <v>46044.0</v>
      </c>
      <c r="J143" s="1">
        <v>550000.0</v>
      </c>
      <c r="K143" s="2">
        <v>46023.0</v>
      </c>
      <c r="L143" s="3" t="b">
        <f t="shared" si="1"/>
        <v>0</v>
      </c>
    </row>
    <row r="144">
      <c r="A144" s="1" t="s">
        <v>48</v>
      </c>
      <c r="B144" s="1" t="s">
        <v>49</v>
      </c>
      <c r="C144" s="1" t="s">
        <v>36</v>
      </c>
      <c r="D144" s="1">
        <v>87.0</v>
      </c>
      <c r="E144" s="1">
        <v>120.0</v>
      </c>
      <c r="F144" s="1">
        <v>18.0</v>
      </c>
      <c r="G144" s="1">
        <v>7.0</v>
      </c>
      <c r="H144" s="1" t="s">
        <v>50</v>
      </c>
      <c r="I144" s="2">
        <v>45748.0</v>
      </c>
      <c r="J144" s="1">
        <v>55000.0</v>
      </c>
      <c r="K144" s="2">
        <v>45748.0</v>
      </c>
      <c r="L144" s="3" t="b">
        <f t="shared" si="1"/>
        <v>0</v>
      </c>
    </row>
    <row r="145">
      <c r="A145" s="1" t="s">
        <v>51</v>
      </c>
      <c r="B145" s="1" t="s">
        <v>52</v>
      </c>
      <c r="C145" s="1" t="s">
        <v>36</v>
      </c>
      <c r="D145" s="1">
        <v>35.0</v>
      </c>
      <c r="E145" s="1">
        <v>60.0</v>
      </c>
      <c r="F145" s="1">
        <v>6.0</v>
      </c>
      <c r="G145" s="1">
        <v>7.0</v>
      </c>
      <c r="H145" s="1" t="s">
        <v>50</v>
      </c>
      <c r="I145" s="2">
        <v>46221.0</v>
      </c>
      <c r="J145" s="1">
        <v>175000.0</v>
      </c>
      <c r="K145" s="2">
        <v>46023.0</v>
      </c>
      <c r="L145" s="3" t="b">
        <f t="shared" si="1"/>
        <v>0</v>
      </c>
    </row>
    <row r="146">
      <c r="A146" s="1" t="s">
        <v>40</v>
      </c>
      <c r="B146" s="1" t="s">
        <v>41</v>
      </c>
      <c r="C146" s="1" t="s">
        <v>42</v>
      </c>
      <c r="D146" s="1">
        <v>32.0</v>
      </c>
      <c r="E146" s="1">
        <v>15.0</v>
      </c>
      <c r="F146" s="1">
        <v>1.0</v>
      </c>
      <c r="G146" s="1">
        <v>8.0</v>
      </c>
      <c r="H146" s="1" t="s">
        <v>43</v>
      </c>
      <c r="I146" s="2">
        <v>46079.0</v>
      </c>
      <c r="J146" s="1">
        <v>1200000.0</v>
      </c>
      <c r="K146" s="2">
        <v>46054.0</v>
      </c>
      <c r="L146" s="3" t="b">
        <f t="shared" si="1"/>
        <v>0</v>
      </c>
    </row>
    <row r="147">
      <c r="A147" s="1" t="s">
        <v>31</v>
      </c>
      <c r="B147" s="1" t="s">
        <v>32</v>
      </c>
      <c r="C147" s="1" t="s">
        <v>13</v>
      </c>
      <c r="D147" s="1">
        <v>139.0</v>
      </c>
      <c r="E147" s="1">
        <v>40.0</v>
      </c>
      <c r="F147" s="1">
        <v>2.0</v>
      </c>
      <c r="G147" s="1">
        <v>6.0</v>
      </c>
      <c r="H147" s="1" t="s">
        <v>33</v>
      </c>
      <c r="I147" s="2">
        <v>45845.0</v>
      </c>
      <c r="J147" s="1">
        <v>550000.0</v>
      </c>
      <c r="K147" s="2">
        <v>45839.0</v>
      </c>
      <c r="L147" s="3" t="b">
        <f t="shared" si="1"/>
        <v>0</v>
      </c>
    </row>
    <row r="148">
      <c r="A148" s="1" t="s">
        <v>31</v>
      </c>
      <c r="B148" s="1" t="s">
        <v>32</v>
      </c>
      <c r="C148" s="1" t="s">
        <v>13</v>
      </c>
      <c r="D148" s="1">
        <v>169.0</v>
      </c>
      <c r="E148" s="1">
        <v>40.0</v>
      </c>
      <c r="F148" s="1">
        <v>3.0</v>
      </c>
      <c r="G148" s="1">
        <v>4.0</v>
      </c>
      <c r="H148" s="1" t="s">
        <v>33</v>
      </c>
      <c r="I148" s="2">
        <v>46074.0</v>
      </c>
      <c r="J148" s="1">
        <v>550000.0</v>
      </c>
      <c r="K148" s="2">
        <v>46054.0</v>
      </c>
      <c r="L148" s="3" t="b">
        <f t="shared" si="1"/>
        <v>0</v>
      </c>
    </row>
    <row r="149">
      <c r="A149" s="1" t="s">
        <v>15</v>
      </c>
      <c r="B149" s="1" t="s">
        <v>16</v>
      </c>
      <c r="C149" s="1" t="s">
        <v>17</v>
      </c>
      <c r="D149" s="1">
        <v>25.0</v>
      </c>
      <c r="E149" s="1">
        <v>15.0</v>
      </c>
      <c r="F149" s="1">
        <v>2.0</v>
      </c>
      <c r="G149" s="1">
        <v>8.0</v>
      </c>
      <c r="H149" s="1" t="s">
        <v>18</v>
      </c>
      <c r="I149" s="2">
        <v>45718.0</v>
      </c>
      <c r="J149" s="1">
        <v>8500000.0</v>
      </c>
      <c r="K149" s="2">
        <v>45717.0</v>
      </c>
      <c r="L149" s="3" t="b">
        <f t="shared" si="1"/>
        <v>0</v>
      </c>
    </row>
    <row r="150">
      <c r="A150" s="1" t="s">
        <v>46</v>
      </c>
      <c r="B150" s="1" t="s">
        <v>47</v>
      </c>
      <c r="C150" s="1" t="s">
        <v>23</v>
      </c>
      <c r="D150" s="1">
        <v>0.0</v>
      </c>
      <c r="E150" s="1">
        <v>40.0</v>
      </c>
      <c r="F150" s="1">
        <v>8.0</v>
      </c>
      <c r="G150" s="1">
        <v>8.0</v>
      </c>
      <c r="H150" s="1" t="s">
        <v>30</v>
      </c>
      <c r="I150" s="2">
        <v>45964.0</v>
      </c>
      <c r="J150" s="1">
        <v>550000.0</v>
      </c>
      <c r="K150" s="2">
        <v>45962.0</v>
      </c>
      <c r="L150" s="3" t="b">
        <f t="shared" si="1"/>
        <v>0</v>
      </c>
    </row>
    <row r="151">
      <c r="A151" s="1" t="s">
        <v>21</v>
      </c>
      <c r="B151" s="1" t="s">
        <v>22</v>
      </c>
      <c r="C151" s="1" t="s">
        <v>23</v>
      </c>
      <c r="D151" s="1">
        <v>28.0</v>
      </c>
      <c r="E151" s="1">
        <v>50.0</v>
      </c>
      <c r="F151" s="1">
        <v>7.0</v>
      </c>
      <c r="G151" s="1">
        <v>7.0</v>
      </c>
      <c r="H151" s="1" t="s">
        <v>24</v>
      </c>
      <c r="I151" s="2">
        <v>45939.0</v>
      </c>
      <c r="J151" s="1">
        <v>350000.0</v>
      </c>
      <c r="K151" s="2">
        <v>45931.0</v>
      </c>
      <c r="L151" s="3" t="b">
        <f t="shared" si="1"/>
        <v>0</v>
      </c>
    </row>
    <row r="152">
      <c r="A152" s="1" t="s">
        <v>11</v>
      </c>
      <c r="B152" s="1" t="s">
        <v>12</v>
      </c>
      <c r="C152" s="1" t="s">
        <v>13</v>
      </c>
      <c r="D152" s="1">
        <v>230.0</v>
      </c>
      <c r="E152" s="1">
        <v>50.0</v>
      </c>
      <c r="F152" s="1">
        <v>1.0</v>
      </c>
      <c r="G152" s="1">
        <v>4.0</v>
      </c>
      <c r="H152" s="1" t="s">
        <v>14</v>
      </c>
      <c r="I152" s="2">
        <v>45939.0</v>
      </c>
      <c r="J152" s="1">
        <v>125000.0</v>
      </c>
      <c r="K152" s="2">
        <v>45931.0</v>
      </c>
      <c r="L152" s="3" t="b">
        <f t="shared" si="1"/>
        <v>0</v>
      </c>
    </row>
    <row r="153">
      <c r="A153" s="1" t="s">
        <v>64</v>
      </c>
      <c r="B153" s="1" t="s">
        <v>65</v>
      </c>
      <c r="C153" s="1" t="s">
        <v>42</v>
      </c>
      <c r="D153" s="1">
        <v>27.0</v>
      </c>
      <c r="E153" s="1">
        <v>20.0</v>
      </c>
      <c r="F153" s="1">
        <v>3.0</v>
      </c>
      <c r="G153" s="1">
        <v>9.0</v>
      </c>
      <c r="H153" s="1" t="s">
        <v>59</v>
      </c>
      <c r="I153" s="2">
        <v>45673.0</v>
      </c>
      <c r="J153" s="1">
        <v>750000.0</v>
      </c>
      <c r="K153" s="2">
        <v>45658.0</v>
      </c>
      <c r="L153" s="3" t="b">
        <f t="shared" si="1"/>
        <v>0</v>
      </c>
    </row>
    <row r="154">
      <c r="A154" s="1" t="s">
        <v>53</v>
      </c>
      <c r="B154" s="1" t="s">
        <v>54</v>
      </c>
      <c r="C154" s="1" t="s">
        <v>13</v>
      </c>
      <c r="D154" s="1">
        <v>305.0</v>
      </c>
      <c r="E154" s="1">
        <v>60.0</v>
      </c>
      <c r="F154" s="1">
        <v>4.0</v>
      </c>
      <c r="G154" s="1">
        <v>4.0</v>
      </c>
      <c r="H154" s="1" t="s">
        <v>14</v>
      </c>
      <c r="I154" s="2">
        <v>46068.0</v>
      </c>
      <c r="J154" s="1">
        <v>165000.0</v>
      </c>
      <c r="K154" s="2">
        <v>46054.0</v>
      </c>
      <c r="L154" s="3" t="b">
        <f t="shared" si="1"/>
        <v>0</v>
      </c>
    </row>
    <row r="155">
      <c r="A155" s="1" t="s">
        <v>34</v>
      </c>
      <c r="B155" s="1" t="s">
        <v>35</v>
      </c>
      <c r="C155" s="1" t="s">
        <v>36</v>
      </c>
      <c r="D155" s="1">
        <v>56.0</v>
      </c>
      <c r="E155" s="1">
        <v>80.0</v>
      </c>
      <c r="F155" s="1">
        <v>18.0</v>
      </c>
      <c r="G155" s="1">
        <v>5.0</v>
      </c>
      <c r="H155" s="1" t="s">
        <v>37</v>
      </c>
      <c r="I155" s="2">
        <v>46110.0</v>
      </c>
      <c r="J155" s="1">
        <v>65000.0</v>
      </c>
      <c r="K155" s="2">
        <v>46082.0</v>
      </c>
      <c r="L155" s="3" t="b">
        <f t="shared" si="1"/>
        <v>0</v>
      </c>
    </row>
    <row r="156">
      <c r="A156" s="1" t="s">
        <v>64</v>
      </c>
      <c r="B156" s="1" t="s">
        <v>65</v>
      </c>
      <c r="C156" s="1" t="s">
        <v>42</v>
      </c>
      <c r="D156" s="1">
        <v>42.0</v>
      </c>
      <c r="E156" s="1">
        <v>20.0</v>
      </c>
      <c r="F156" s="1">
        <v>1.0</v>
      </c>
      <c r="G156" s="1">
        <v>10.0</v>
      </c>
      <c r="H156" s="1" t="s">
        <v>59</v>
      </c>
      <c r="I156" s="2">
        <v>45884.0</v>
      </c>
      <c r="J156" s="1">
        <v>750000.0</v>
      </c>
      <c r="K156" s="2">
        <v>45870.0</v>
      </c>
      <c r="L156" s="3" t="b">
        <f t="shared" si="1"/>
        <v>0</v>
      </c>
    </row>
    <row r="157">
      <c r="A157" s="1" t="s">
        <v>21</v>
      </c>
      <c r="B157" s="1" t="s">
        <v>22</v>
      </c>
      <c r="C157" s="1" t="s">
        <v>23</v>
      </c>
      <c r="D157" s="1">
        <v>0.0</v>
      </c>
      <c r="E157" s="1">
        <v>50.0</v>
      </c>
      <c r="F157" s="1">
        <v>14.0</v>
      </c>
      <c r="G157" s="1">
        <v>5.0</v>
      </c>
      <c r="H157" s="1" t="s">
        <v>24</v>
      </c>
      <c r="I157" s="2">
        <v>46101.0</v>
      </c>
      <c r="J157" s="1">
        <v>350000.0</v>
      </c>
      <c r="K157" s="2">
        <v>46082.0</v>
      </c>
      <c r="L157" s="3" t="b">
        <f t="shared" si="1"/>
        <v>0</v>
      </c>
    </row>
    <row r="158">
      <c r="A158" s="1" t="s">
        <v>25</v>
      </c>
      <c r="B158" s="1" t="s">
        <v>26</v>
      </c>
      <c r="C158" s="1" t="s">
        <v>17</v>
      </c>
      <c r="D158" s="1">
        <v>23.0</v>
      </c>
      <c r="E158" s="1">
        <v>25.0</v>
      </c>
      <c r="F158" s="1">
        <v>6.0</v>
      </c>
      <c r="G158" s="1">
        <v>10.0</v>
      </c>
      <c r="H158" s="1" t="s">
        <v>27</v>
      </c>
      <c r="I158" s="2">
        <v>46109.0</v>
      </c>
      <c r="J158" s="1">
        <v>4500000.0</v>
      </c>
      <c r="K158" s="2">
        <v>46082.0</v>
      </c>
      <c r="L158" s="3" t="b">
        <f t="shared" si="1"/>
        <v>0</v>
      </c>
    </row>
    <row r="159">
      <c r="A159" s="1" t="s">
        <v>38</v>
      </c>
      <c r="B159" s="1" t="s">
        <v>39</v>
      </c>
      <c r="C159" s="1" t="s">
        <v>23</v>
      </c>
      <c r="D159" s="1">
        <v>17.0</v>
      </c>
      <c r="E159" s="1">
        <v>45.0</v>
      </c>
      <c r="F159" s="1">
        <v>7.0</v>
      </c>
      <c r="G159" s="1">
        <v>3.0</v>
      </c>
      <c r="H159" s="1" t="s">
        <v>24</v>
      </c>
      <c r="I159" s="2">
        <v>45910.0</v>
      </c>
      <c r="J159" s="1">
        <v>450000.0</v>
      </c>
      <c r="K159" s="2">
        <v>45901.0</v>
      </c>
      <c r="L159" s="3" t="b">
        <f t="shared" si="1"/>
        <v>0</v>
      </c>
    </row>
    <row r="160">
      <c r="A160" s="1" t="s">
        <v>48</v>
      </c>
      <c r="B160" s="1" t="s">
        <v>49</v>
      </c>
      <c r="C160" s="1" t="s">
        <v>36</v>
      </c>
      <c r="D160" s="1">
        <v>30.0</v>
      </c>
      <c r="E160" s="1">
        <v>120.0</v>
      </c>
      <c r="F160" s="1">
        <v>18.0</v>
      </c>
      <c r="G160" s="1">
        <v>4.0</v>
      </c>
      <c r="H160" s="1" t="s">
        <v>50</v>
      </c>
      <c r="I160" s="2">
        <v>46053.0</v>
      </c>
      <c r="J160" s="1">
        <v>55000.0</v>
      </c>
      <c r="K160" s="2">
        <v>46023.0</v>
      </c>
      <c r="L160" s="3" t="b">
        <f t="shared" si="1"/>
        <v>0</v>
      </c>
    </row>
    <row r="161">
      <c r="A161" s="1" t="s">
        <v>46</v>
      </c>
      <c r="B161" s="1" t="s">
        <v>47</v>
      </c>
      <c r="C161" s="1" t="s">
        <v>23</v>
      </c>
      <c r="D161" s="1">
        <v>0.0</v>
      </c>
      <c r="E161" s="1">
        <v>40.0</v>
      </c>
      <c r="F161" s="1">
        <v>9.0</v>
      </c>
      <c r="G161" s="1">
        <v>8.0</v>
      </c>
      <c r="H161" s="1" t="s">
        <v>30</v>
      </c>
      <c r="I161" s="2">
        <v>45730.0</v>
      </c>
      <c r="J161" s="1">
        <v>550000.0</v>
      </c>
      <c r="K161" s="2">
        <v>45717.0</v>
      </c>
      <c r="L161" s="3" t="b">
        <f t="shared" si="1"/>
        <v>0</v>
      </c>
    </row>
    <row r="162">
      <c r="A162" s="1" t="s">
        <v>55</v>
      </c>
      <c r="B162" s="1" t="s">
        <v>56</v>
      </c>
      <c r="C162" s="1" t="s">
        <v>36</v>
      </c>
      <c r="D162" s="1">
        <v>92.0</v>
      </c>
      <c r="E162" s="1">
        <v>100.0</v>
      </c>
      <c r="F162" s="1">
        <v>15.0</v>
      </c>
      <c r="G162" s="1">
        <v>5.0</v>
      </c>
      <c r="H162" s="1" t="s">
        <v>37</v>
      </c>
      <c r="I162" s="2">
        <v>45897.0</v>
      </c>
      <c r="J162" s="1">
        <v>85000.0</v>
      </c>
      <c r="K162" s="2">
        <v>45870.0</v>
      </c>
      <c r="L162" s="3" t="b">
        <f t="shared" si="1"/>
        <v>0</v>
      </c>
    </row>
    <row r="163">
      <c r="A163" s="1" t="s">
        <v>48</v>
      </c>
      <c r="B163" s="1" t="s">
        <v>49</v>
      </c>
      <c r="C163" s="1" t="s">
        <v>36</v>
      </c>
      <c r="D163" s="1">
        <v>39.0</v>
      </c>
      <c r="E163" s="1">
        <v>120.0</v>
      </c>
      <c r="F163" s="1">
        <v>19.0</v>
      </c>
      <c r="G163" s="1">
        <v>3.0</v>
      </c>
      <c r="H163" s="1" t="s">
        <v>50</v>
      </c>
      <c r="I163" s="2">
        <v>45936.0</v>
      </c>
      <c r="J163" s="1">
        <v>55000.0</v>
      </c>
      <c r="K163" s="2">
        <v>45931.0</v>
      </c>
      <c r="L163" s="3" t="b">
        <f t="shared" si="1"/>
        <v>0</v>
      </c>
    </row>
    <row r="164">
      <c r="A164" s="1" t="s">
        <v>64</v>
      </c>
      <c r="B164" s="1" t="s">
        <v>65</v>
      </c>
      <c r="C164" s="1" t="s">
        <v>42</v>
      </c>
      <c r="D164" s="1">
        <v>29.0</v>
      </c>
      <c r="E164" s="1">
        <v>20.0</v>
      </c>
      <c r="F164" s="1">
        <v>3.0</v>
      </c>
      <c r="G164" s="1">
        <v>9.0</v>
      </c>
      <c r="H164" s="1" t="s">
        <v>59</v>
      </c>
      <c r="I164" s="2">
        <v>46076.0</v>
      </c>
      <c r="J164" s="1">
        <v>750000.0</v>
      </c>
      <c r="K164" s="2">
        <v>46054.0</v>
      </c>
      <c r="L164" s="3" t="b">
        <f t="shared" si="1"/>
        <v>0</v>
      </c>
    </row>
    <row r="165">
      <c r="A165" s="1" t="s">
        <v>34</v>
      </c>
      <c r="B165" s="1" t="s">
        <v>35</v>
      </c>
      <c r="C165" s="1" t="s">
        <v>36</v>
      </c>
      <c r="D165" s="1">
        <v>40.0</v>
      </c>
      <c r="E165" s="1">
        <v>80.0</v>
      </c>
      <c r="F165" s="1">
        <v>12.0</v>
      </c>
      <c r="G165" s="1">
        <v>3.0</v>
      </c>
      <c r="H165" s="1" t="s">
        <v>37</v>
      </c>
      <c r="I165" s="2">
        <v>45673.0</v>
      </c>
      <c r="J165" s="1">
        <v>65000.0</v>
      </c>
      <c r="K165" s="2">
        <v>45658.0</v>
      </c>
      <c r="L165" s="3" t="b">
        <f t="shared" si="1"/>
        <v>0</v>
      </c>
    </row>
    <row r="166">
      <c r="A166" s="1" t="s">
        <v>11</v>
      </c>
      <c r="B166" s="1" t="s">
        <v>12</v>
      </c>
      <c r="C166" s="1" t="s">
        <v>13</v>
      </c>
      <c r="D166" s="1">
        <v>261.0</v>
      </c>
      <c r="E166" s="1">
        <v>50.0</v>
      </c>
      <c r="F166" s="1">
        <v>2.0</v>
      </c>
      <c r="G166" s="1">
        <v>5.0</v>
      </c>
      <c r="H166" s="1" t="s">
        <v>14</v>
      </c>
      <c r="I166" s="2">
        <v>45787.0</v>
      </c>
      <c r="J166" s="1">
        <v>125000.0</v>
      </c>
      <c r="K166" s="2">
        <v>45778.0</v>
      </c>
      <c r="L166" s="3" t="b">
        <f t="shared" si="1"/>
        <v>0</v>
      </c>
    </row>
    <row r="167">
      <c r="A167" s="1" t="s">
        <v>21</v>
      </c>
      <c r="B167" s="1" t="s">
        <v>22</v>
      </c>
      <c r="C167" s="1" t="s">
        <v>23</v>
      </c>
      <c r="D167" s="1">
        <v>42.0</v>
      </c>
      <c r="E167" s="1">
        <v>50.0</v>
      </c>
      <c r="F167" s="1">
        <v>6.0</v>
      </c>
      <c r="G167" s="1">
        <v>4.0</v>
      </c>
      <c r="H167" s="1" t="s">
        <v>24</v>
      </c>
      <c r="I167" s="2">
        <v>45817.0</v>
      </c>
      <c r="J167" s="1">
        <v>350000.0</v>
      </c>
      <c r="K167" s="2">
        <v>45809.0</v>
      </c>
      <c r="L167" s="3" t="b">
        <f t="shared" si="1"/>
        <v>0</v>
      </c>
    </row>
    <row r="168">
      <c r="A168" s="1" t="s">
        <v>53</v>
      </c>
      <c r="B168" s="1" t="s">
        <v>54</v>
      </c>
      <c r="C168" s="1" t="s">
        <v>13</v>
      </c>
      <c r="D168" s="1">
        <v>188.0</v>
      </c>
      <c r="E168" s="1">
        <v>60.0</v>
      </c>
      <c r="F168" s="1">
        <v>3.0</v>
      </c>
      <c r="G168" s="1">
        <v>4.0</v>
      </c>
      <c r="H168" s="1" t="s">
        <v>14</v>
      </c>
      <c r="I168" s="2">
        <v>45659.0</v>
      </c>
      <c r="J168" s="1">
        <v>165000.0</v>
      </c>
      <c r="K168" s="2">
        <v>45658.0</v>
      </c>
      <c r="L168" s="3" t="b">
        <f t="shared" si="1"/>
        <v>0</v>
      </c>
    </row>
    <row r="169">
      <c r="A169" s="1" t="s">
        <v>38</v>
      </c>
      <c r="B169" s="1" t="s">
        <v>39</v>
      </c>
      <c r="C169" s="1" t="s">
        <v>23</v>
      </c>
      <c r="D169" s="1">
        <v>0.0</v>
      </c>
      <c r="E169" s="1">
        <v>45.0</v>
      </c>
      <c r="F169" s="1">
        <v>12.0</v>
      </c>
      <c r="G169" s="1">
        <v>4.0</v>
      </c>
      <c r="H169" s="1" t="s">
        <v>24</v>
      </c>
      <c r="I169" s="2">
        <v>45983.0</v>
      </c>
      <c r="J169" s="1">
        <v>450000.0</v>
      </c>
      <c r="K169" s="2">
        <v>45962.0</v>
      </c>
      <c r="L169" s="3" t="b">
        <f t="shared" si="1"/>
        <v>0</v>
      </c>
    </row>
    <row r="170">
      <c r="A170" s="1" t="s">
        <v>11</v>
      </c>
      <c r="B170" s="1" t="s">
        <v>12</v>
      </c>
      <c r="C170" s="1" t="s">
        <v>13</v>
      </c>
      <c r="D170" s="1">
        <v>252.0</v>
      </c>
      <c r="E170" s="1">
        <v>50.0</v>
      </c>
      <c r="F170" s="1">
        <v>3.0</v>
      </c>
      <c r="G170" s="1">
        <v>7.0</v>
      </c>
      <c r="H170" s="1" t="s">
        <v>14</v>
      </c>
      <c r="I170" s="2">
        <v>45713.0</v>
      </c>
      <c r="J170" s="1">
        <v>125000.0</v>
      </c>
      <c r="K170" s="2">
        <v>45689.0</v>
      </c>
      <c r="L170" s="3" t="b">
        <f t="shared" si="1"/>
        <v>0</v>
      </c>
    </row>
    <row r="171">
      <c r="A171" s="1" t="s">
        <v>40</v>
      </c>
      <c r="B171" s="1" t="s">
        <v>41</v>
      </c>
      <c r="C171" s="1" t="s">
        <v>42</v>
      </c>
      <c r="D171" s="1">
        <v>13.0</v>
      </c>
      <c r="E171" s="1">
        <v>15.0</v>
      </c>
      <c r="F171" s="1">
        <v>3.0</v>
      </c>
      <c r="G171" s="1">
        <v>6.0</v>
      </c>
      <c r="H171" s="1" t="s">
        <v>43</v>
      </c>
      <c r="I171" s="2">
        <v>45949.0</v>
      </c>
      <c r="J171" s="1">
        <v>1200000.0</v>
      </c>
      <c r="K171" s="2">
        <v>45931.0</v>
      </c>
      <c r="L171" s="3" t="b">
        <f t="shared" si="1"/>
        <v>0</v>
      </c>
    </row>
    <row r="172">
      <c r="A172" s="1" t="s">
        <v>15</v>
      </c>
      <c r="B172" s="1" t="s">
        <v>16</v>
      </c>
      <c r="C172" s="1" t="s">
        <v>17</v>
      </c>
      <c r="D172" s="1">
        <v>28.0</v>
      </c>
      <c r="E172" s="1">
        <v>15.0</v>
      </c>
      <c r="F172" s="1">
        <v>1.0</v>
      </c>
      <c r="G172" s="1">
        <v>7.0</v>
      </c>
      <c r="H172" s="1" t="s">
        <v>18</v>
      </c>
      <c r="I172" s="2">
        <v>46041.0</v>
      </c>
      <c r="J172" s="1">
        <v>8500000.0</v>
      </c>
      <c r="K172" s="2">
        <v>46023.0</v>
      </c>
      <c r="L172" s="3" t="b">
        <f t="shared" si="1"/>
        <v>0</v>
      </c>
    </row>
    <row r="173">
      <c r="A173" s="1" t="s">
        <v>60</v>
      </c>
      <c r="B173" s="1" t="s">
        <v>61</v>
      </c>
      <c r="C173" s="1" t="s">
        <v>17</v>
      </c>
      <c r="D173" s="1">
        <v>33.0</v>
      </c>
      <c r="E173" s="1">
        <v>20.0</v>
      </c>
      <c r="F173" s="1">
        <v>1.0</v>
      </c>
      <c r="G173" s="1">
        <v>12.0</v>
      </c>
      <c r="H173" s="1" t="s">
        <v>27</v>
      </c>
      <c r="I173" s="2">
        <v>45817.0</v>
      </c>
      <c r="J173" s="1">
        <v>3200000.0</v>
      </c>
      <c r="K173" s="2">
        <v>45809.0</v>
      </c>
      <c r="L173" s="3" t="b">
        <f t="shared" si="1"/>
        <v>0</v>
      </c>
    </row>
    <row r="174">
      <c r="A174" s="1" t="s">
        <v>25</v>
      </c>
      <c r="B174" s="1" t="s">
        <v>26</v>
      </c>
      <c r="C174" s="1" t="s">
        <v>17</v>
      </c>
      <c r="D174" s="1">
        <v>15.0</v>
      </c>
      <c r="E174" s="1">
        <v>25.0</v>
      </c>
      <c r="F174" s="1">
        <v>4.0</v>
      </c>
      <c r="G174" s="1">
        <v>15.0</v>
      </c>
      <c r="H174" s="1" t="s">
        <v>27</v>
      </c>
      <c r="I174" s="2">
        <v>46070.0</v>
      </c>
      <c r="J174" s="1">
        <v>4500000.0</v>
      </c>
      <c r="K174" s="2">
        <v>46054.0</v>
      </c>
      <c r="L174" s="3" t="b">
        <f t="shared" si="1"/>
        <v>0</v>
      </c>
    </row>
    <row r="175">
      <c r="A175" s="1" t="s">
        <v>44</v>
      </c>
      <c r="B175" s="1" t="s">
        <v>45</v>
      </c>
      <c r="C175" s="1" t="s">
        <v>42</v>
      </c>
      <c r="D175" s="1">
        <v>39.0</v>
      </c>
      <c r="E175" s="1">
        <v>30.0</v>
      </c>
      <c r="F175" s="1">
        <v>6.0</v>
      </c>
      <c r="G175" s="1">
        <v>10.0</v>
      </c>
      <c r="H175" s="1" t="s">
        <v>43</v>
      </c>
      <c r="I175" s="2">
        <v>45838.0</v>
      </c>
      <c r="J175" s="1">
        <v>350000.0</v>
      </c>
      <c r="K175" s="2">
        <v>45809.0</v>
      </c>
      <c r="L175" s="3" t="b">
        <f t="shared" si="1"/>
        <v>0</v>
      </c>
    </row>
    <row r="176">
      <c r="A176" s="1" t="s">
        <v>57</v>
      </c>
      <c r="B176" s="1" t="s">
        <v>58</v>
      </c>
      <c r="C176" s="1" t="s">
        <v>42</v>
      </c>
      <c r="D176" s="1">
        <v>43.0</v>
      </c>
      <c r="E176" s="1">
        <v>25.0</v>
      </c>
      <c r="F176" s="1">
        <v>4.0</v>
      </c>
      <c r="G176" s="1">
        <v>7.0</v>
      </c>
      <c r="H176" s="1" t="s">
        <v>59</v>
      </c>
      <c r="I176" s="2">
        <v>45896.0</v>
      </c>
      <c r="J176" s="1">
        <v>450000.0</v>
      </c>
      <c r="K176" s="2">
        <v>45870.0</v>
      </c>
      <c r="L176" s="3" t="b">
        <f t="shared" si="1"/>
        <v>0</v>
      </c>
    </row>
    <row r="177">
      <c r="A177" s="1" t="s">
        <v>62</v>
      </c>
      <c r="B177" s="1" t="s">
        <v>63</v>
      </c>
      <c r="C177" s="1" t="s">
        <v>13</v>
      </c>
      <c r="D177" s="1">
        <v>472.0</v>
      </c>
      <c r="E177" s="1">
        <v>80.0</v>
      </c>
      <c r="F177" s="1">
        <v>3.0</v>
      </c>
      <c r="G177" s="1">
        <v>4.0</v>
      </c>
      <c r="H177" s="1" t="s">
        <v>33</v>
      </c>
      <c r="I177" s="2">
        <v>45900.0</v>
      </c>
      <c r="J177" s="1">
        <v>85000.0</v>
      </c>
      <c r="K177" s="2">
        <v>45870.0</v>
      </c>
      <c r="L177" s="3" t="b">
        <f t="shared" si="1"/>
        <v>0</v>
      </c>
    </row>
    <row r="178">
      <c r="A178" s="1" t="s">
        <v>64</v>
      </c>
      <c r="B178" s="1" t="s">
        <v>65</v>
      </c>
      <c r="C178" s="1" t="s">
        <v>42</v>
      </c>
      <c r="D178" s="1">
        <v>14.0</v>
      </c>
      <c r="E178" s="1">
        <v>20.0</v>
      </c>
      <c r="F178" s="1">
        <v>2.0</v>
      </c>
      <c r="G178" s="1">
        <v>8.0</v>
      </c>
      <c r="H178" s="1" t="s">
        <v>59</v>
      </c>
      <c r="I178" s="2">
        <v>45999.0</v>
      </c>
      <c r="J178" s="1">
        <v>750000.0</v>
      </c>
      <c r="K178" s="2">
        <v>45992.0</v>
      </c>
      <c r="L178" s="3" t="b">
        <f t="shared" si="1"/>
        <v>0</v>
      </c>
    </row>
    <row r="179">
      <c r="A179" s="1" t="s">
        <v>44</v>
      </c>
      <c r="B179" s="1" t="s">
        <v>45</v>
      </c>
      <c r="C179" s="1" t="s">
        <v>42</v>
      </c>
      <c r="D179" s="1">
        <v>57.0</v>
      </c>
      <c r="E179" s="1">
        <v>30.0</v>
      </c>
      <c r="F179" s="1">
        <v>5.0</v>
      </c>
      <c r="G179" s="1">
        <v>4.0</v>
      </c>
      <c r="H179" s="1" t="s">
        <v>43</v>
      </c>
      <c r="I179" s="2">
        <v>46098.0</v>
      </c>
      <c r="J179" s="1">
        <v>350000.0</v>
      </c>
      <c r="K179" s="2">
        <v>46082.0</v>
      </c>
      <c r="L179" s="3" t="b">
        <f t="shared" si="1"/>
        <v>0</v>
      </c>
    </row>
    <row r="180">
      <c r="A180" s="1" t="s">
        <v>19</v>
      </c>
      <c r="B180" s="1" t="s">
        <v>20</v>
      </c>
      <c r="C180" s="1" t="s">
        <v>17</v>
      </c>
      <c r="D180" s="1">
        <v>1.0</v>
      </c>
      <c r="E180" s="1">
        <v>30.0</v>
      </c>
      <c r="F180" s="1">
        <v>4.0</v>
      </c>
      <c r="G180" s="1">
        <v>5.0</v>
      </c>
      <c r="H180" s="1" t="s">
        <v>18</v>
      </c>
      <c r="I180" s="2">
        <v>45868.0</v>
      </c>
      <c r="J180" s="1">
        <v>1200000.0</v>
      </c>
      <c r="K180" s="2">
        <v>45839.0</v>
      </c>
      <c r="L180" s="3" t="b">
        <f t="shared" si="1"/>
        <v>0</v>
      </c>
    </row>
    <row r="181">
      <c r="A181" s="1" t="s">
        <v>28</v>
      </c>
      <c r="B181" s="1" t="s">
        <v>29</v>
      </c>
      <c r="C181" s="1" t="s">
        <v>23</v>
      </c>
      <c r="D181" s="1">
        <v>27.0</v>
      </c>
      <c r="E181" s="1">
        <v>35.0</v>
      </c>
      <c r="F181" s="1">
        <v>4.0</v>
      </c>
      <c r="G181" s="1">
        <v>5.0</v>
      </c>
      <c r="H181" s="1" t="s">
        <v>30</v>
      </c>
      <c r="I181" s="2">
        <v>45817.0</v>
      </c>
      <c r="J181" s="1">
        <v>1250000.0</v>
      </c>
      <c r="K181" s="2">
        <v>45809.0</v>
      </c>
      <c r="L181" s="3" t="b">
        <f t="shared" si="1"/>
        <v>0</v>
      </c>
    </row>
    <row r="182">
      <c r="A182" s="1" t="s">
        <v>53</v>
      </c>
      <c r="B182" s="1" t="s">
        <v>54</v>
      </c>
      <c r="C182" s="1" t="s">
        <v>13</v>
      </c>
      <c r="D182" s="1">
        <v>240.0</v>
      </c>
      <c r="E182" s="1">
        <v>60.0</v>
      </c>
      <c r="F182" s="1">
        <v>2.0</v>
      </c>
      <c r="G182" s="1">
        <v>6.0</v>
      </c>
      <c r="H182" s="1" t="s">
        <v>14</v>
      </c>
      <c r="I182" s="2">
        <v>46187.0</v>
      </c>
      <c r="J182" s="1">
        <v>165000.0</v>
      </c>
      <c r="K182" s="2">
        <v>45962.0</v>
      </c>
      <c r="L182" s="3" t="b">
        <f t="shared" si="1"/>
        <v>0</v>
      </c>
    </row>
    <row r="183">
      <c r="A183" s="1" t="s">
        <v>44</v>
      </c>
      <c r="B183" s="1" t="s">
        <v>45</v>
      </c>
      <c r="C183" s="1" t="s">
        <v>42</v>
      </c>
      <c r="D183" s="1">
        <v>60.0</v>
      </c>
      <c r="E183" s="1">
        <v>30.0</v>
      </c>
      <c r="F183" s="1">
        <v>4.0</v>
      </c>
      <c r="G183" s="1">
        <v>9.0</v>
      </c>
      <c r="H183" s="1" t="s">
        <v>43</v>
      </c>
      <c r="I183" s="2">
        <v>46062.0</v>
      </c>
      <c r="J183" s="1">
        <v>350000.0</v>
      </c>
      <c r="K183" s="2">
        <v>46054.0</v>
      </c>
      <c r="L183" s="3" t="b">
        <f t="shared" si="1"/>
        <v>0</v>
      </c>
    </row>
    <row r="184">
      <c r="A184" s="1" t="s">
        <v>11</v>
      </c>
      <c r="B184" s="1" t="s">
        <v>12</v>
      </c>
      <c r="C184" s="1" t="s">
        <v>13</v>
      </c>
      <c r="D184" s="1">
        <v>216.0</v>
      </c>
      <c r="E184" s="1">
        <v>50.0</v>
      </c>
      <c r="F184" s="1">
        <v>1.0</v>
      </c>
      <c r="G184" s="1">
        <v>8.0</v>
      </c>
      <c r="H184" s="1" t="s">
        <v>14</v>
      </c>
      <c r="I184" s="2">
        <v>45905.0</v>
      </c>
      <c r="J184" s="1">
        <v>125000.0</v>
      </c>
      <c r="K184" s="2">
        <v>45901.0</v>
      </c>
      <c r="L184" s="3" t="b">
        <f t="shared" si="1"/>
        <v>0</v>
      </c>
    </row>
    <row r="185">
      <c r="A185" s="1" t="s">
        <v>60</v>
      </c>
      <c r="B185" s="1" t="s">
        <v>61</v>
      </c>
      <c r="C185" s="1" t="s">
        <v>17</v>
      </c>
      <c r="D185" s="1">
        <v>-17.0</v>
      </c>
      <c r="E185" s="1">
        <v>20.0</v>
      </c>
      <c r="F185" s="1">
        <v>5.0</v>
      </c>
      <c r="G185" s="1">
        <v>22.0</v>
      </c>
      <c r="H185" s="1" t="s">
        <v>27</v>
      </c>
      <c r="I185" s="2">
        <v>45998.0</v>
      </c>
      <c r="J185" s="1">
        <v>3200000.0</v>
      </c>
      <c r="K185" s="2">
        <v>45992.0</v>
      </c>
      <c r="L185" s="3" t="b">
        <f t="shared" si="1"/>
        <v>0</v>
      </c>
    </row>
    <row r="186">
      <c r="A186" s="1" t="s">
        <v>38</v>
      </c>
      <c r="B186" s="1" t="s">
        <v>39</v>
      </c>
      <c r="C186" s="1" t="s">
        <v>23</v>
      </c>
      <c r="D186" s="1">
        <v>0.0</v>
      </c>
      <c r="E186" s="1">
        <v>45.0</v>
      </c>
      <c r="F186" s="1">
        <v>14.0</v>
      </c>
      <c r="G186" s="1">
        <v>6.0</v>
      </c>
      <c r="H186" s="1" t="s">
        <v>24</v>
      </c>
      <c r="I186" s="2">
        <v>46107.0</v>
      </c>
      <c r="J186" s="1">
        <v>450000.0</v>
      </c>
      <c r="K186" s="2">
        <v>46082.0</v>
      </c>
      <c r="L186" s="3" t="b">
        <f t="shared" si="1"/>
        <v>0</v>
      </c>
    </row>
    <row r="187">
      <c r="A187" s="1" t="s">
        <v>11</v>
      </c>
      <c r="B187" s="1" t="s">
        <v>12</v>
      </c>
      <c r="C187" s="1" t="s">
        <v>13</v>
      </c>
      <c r="D187" s="1">
        <v>157.0</v>
      </c>
      <c r="E187" s="1">
        <v>50.0</v>
      </c>
      <c r="F187" s="1">
        <v>1.0</v>
      </c>
      <c r="G187" s="1">
        <v>4.0</v>
      </c>
      <c r="H187" s="1" t="s">
        <v>14</v>
      </c>
      <c r="I187" s="2">
        <v>45823.0</v>
      </c>
      <c r="J187" s="1">
        <v>125000.0</v>
      </c>
      <c r="K187" s="2">
        <v>45809.0</v>
      </c>
      <c r="L187" s="3" t="b">
        <f t="shared" si="1"/>
        <v>0</v>
      </c>
    </row>
    <row r="188">
      <c r="A188" s="1" t="s">
        <v>57</v>
      </c>
      <c r="B188" s="1" t="s">
        <v>58</v>
      </c>
      <c r="C188" s="1" t="s">
        <v>42</v>
      </c>
      <c r="D188" s="1">
        <v>42.0</v>
      </c>
      <c r="E188" s="1">
        <v>25.0</v>
      </c>
      <c r="F188" s="1">
        <v>5.0</v>
      </c>
      <c r="G188" s="1">
        <v>10.0</v>
      </c>
      <c r="H188" s="1" t="s">
        <v>59</v>
      </c>
      <c r="I188" s="2">
        <v>45711.0</v>
      </c>
      <c r="J188" s="1">
        <v>450000.0</v>
      </c>
      <c r="K188" s="2">
        <v>45689.0</v>
      </c>
      <c r="L188" s="3" t="b">
        <f t="shared" si="1"/>
        <v>0</v>
      </c>
    </row>
    <row r="189">
      <c r="A189" s="1" t="s">
        <v>25</v>
      </c>
      <c r="B189" s="1" t="s">
        <v>26</v>
      </c>
      <c r="C189" s="1" t="s">
        <v>17</v>
      </c>
      <c r="D189" s="1">
        <v>0.0</v>
      </c>
      <c r="E189" s="1">
        <v>25.0</v>
      </c>
      <c r="F189" s="1">
        <v>8.0</v>
      </c>
      <c r="G189" s="1">
        <v>10.0</v>
      </c>
      <c r="H189" s="1" t="s">
        <v>27</v>
      </c>
      <c r="I189" s="2">
        <v>46013.0</v>
      </c>
      <c r="J189" s="1">
        <v>4500000.0</v>
      </c>
      <c r="K189" s="2">
        <v>45992.0</v>
      </c>
      <c r="L189" s="3" t="b">
        <f t="shared" si="1"/>
        <v>0</v>
      </c>
    </row>
    <row r="190">
      <c r="A190" s="1" t="s">
        <v>40</v>
      </c>
      <c r="B190" s="1" t="s">
        <v>41</v>
      </c>
      <c r="C190" s="1" t="s">
        <v>42</v>
      </c>
      <c r="D190" s="1">
        <v>22.0</v>
      </c>
      <c r="E190" s="1">
        <v>15.0</v>
      </c>
      <c r="F190" s="1">
        <v>3.0</v>
      </c>
      <c r="G190" s="1">
        <v>4.0</v>
      </c>
      <c r="H190" s="1" t="s">
        <v>43</v>
      </c>
      <c r="I190" s="2">
        <v>45919.0</v>
      </c>
      <c r="J190" s="1">
        <v>1200000.0</v>
      </c>
      <c r="K190" s="2">
        <v>45901.0</v>
      </c>
      <c r="L190" s="3" t="b">
        <f t="shared" si="1"/>
        <v>0</v>
      </c>
    </row>
    <row r="191">
      <c r="A191" s="1" t="s">
        <v>57</v>
      </c>
      <c r="B191" s="1" t="s">
        <v>58</v>
      </c>
      <c r="C191" s="1" t="s">
        <v>42</v>
      </c>
      <c r="D191" s="1">
        <v>21.0</v>
      </c>
      <c r="E191" s="1">
        <v>25.0</v>
      </c>
      <c r="F191" s="1">
        <v>3.0</v>
      </c>
      <c r="G191" s="1">
        <v>9.0</v>
      </c>
      <c r="H191" s="1" t="s">
        <v>59</v>
      </c>
      <c r="I191" s="2">
        <v>45854.0</v>
      </c>
      <c r="J191" s="1">
        <v>450000.0</v>
      </c>
      <c r="K191" s="2">
        <v>45839.0</v>
      </c>
      <c r="L191" s="3" t="b">
        <f t="shared" si="1"/>
        <v>0</v>
      </c>
    </row>
    <row r="192">
      <c r="A192" s="1" t="s">
        <v>51</v>
      </c>
      <c r="B192" s="1" t="s">
        <v>52</v>
      </c>
      <c r="C192" s="1" t="s">
        <v>36</v>
      </c>
      <c r="D192" s="1">
        <v>12.0</v>
      </c>
      <c r="E192" s="1">
        <v>60.0</v>
      </c>
      <c r="F192" s="1">
        <v>10.0</v>
      </c>
      <c r="G192" s="3"/>
      <c r="H192" s="1" t="s">
        <v>50</v>
      </c>
      <c r="I192" s="2">
        <v>45965.0</v>
      </c>
      <c r="J192" s="1">
        <v>175000.0</v>
      </c>
      <c r="K192" s="2">
        <v>45962.0</v>
      </c>
      <c r="L192" s="3" t="b">
        <f t="shared" si="1"/>
        <v>1</v>
      </c>
    </row>
    <row r="193">
      <c r="A193" s="1" t="s">
        <v>15</v>
      </c>
      <c r="B193" s="1" t="s">
        <v>16</v>
      </c>
      <c r="C193" s="1" t="s">
        <v>17</v>
      </c>
      <c r="D193" s="1">
        <v>17.0</v>
      </c>
      <c r="E193" s="1">
        <v>15.0</v>
      </c>
      <c r="F193" s="1">
        <v>1.0</v>
      </c>
      <c r="G193" s="1">
        <v>6.0</v>
      </c>
      <c r="H193" s="1" t="s">
        <v>18</v>
      </c>
      <c r="I193" s="2">
        <v>45665.0</v>
      </c>
      <c r="J193" s="1">
        <v>8500000.0</v>
      </c>
      <c r="K193" s="2">
        <v>45658.0</v>
      </c>
      <c r="L193" s="3" t="b">
        <f t="shared" si="1"/>
        <v>0</v>
      </c>
    </row>
    <row r="194">
      <c r="A194" s="1" t="s">
        <v>51</v>
      </c>
      <c r="B194" s="1" t="s">
        <v>52</v>
      </c>
      <c r="C194" s="1" t="s">
        <v>36</v>
      </c>
      <c r="D194" s="1">
        <v>34.0</v>
      </c>
      <c r="E194" s="1">
        <v>60.0</v>
      </c>
      <c r="F194" s="1">
        <v>7.0</v>
      </c>
      <c r="G194" s="1">
        <v>6.0</v>
      </c>
      <c r="H194" s="1" t="s">
        <v>50</v>
      </c>
      <c r="I194" s="2">
        <v>45934.0</v>
      </c>
      <c r="J194" s="1">
        <v>175000.0</v>
      </c>
      <c r="K194" s="2">
        <v>45931.0</v>
      </c>
      <c r="L194" s="3" t="b">
        <f t="shared" si="1"/>
        <v>0</v>
      </c>
    </row>
    <row r="195">
      <c r="A195" s="1" t="s">
        <v>51</v>
      </c>
      <c r="B195" s="1" t="s">
        <v>52</v>
      </c>
      <c r="C195" s="1" t="s">
        <v>36</v>
      </c>
      <c r="D195" s="1">
        <v>21.0</v>
      </c>
      <c r="E195" s="1">
        <v>60.0</v>
      </c>
      <c r="F195" s="1">
        <v>9.0</v>
      </c>
      <c r="G195" s="1">
        <v>4.0</v>
      </c>
      <c r="H195" s="1" t="s">
        <v>50</v>
      </c>
      <c r="I195" s="2">
        <v>46067.0</v>
      </c>
      <c r="J195" s="1">
        <v>175000.0</v>
      </c>
      <c r="K195" s="2">
        <v>46054.0</v>
      </c>
      <c r="L195" s="3" t="b">
        <f t="shared" si="1"/>
        <v>0</v>
      </c>
    </row>
    <row r="196">
      <c r="A196" s="1" t="s">
        <v>28</v>
      </c>
      <c r="B196" s="1" t="s">
        <v>29</v>
      </c>
      <c r="C196" s="1" t="s">
        <v>23</v>
      </c>
      <c r="D196" s="1">
        <v>0.0</v>
      </c>
      <c r="E196" s="1">
        <v>35.0</v>
      </c>
      <c r="F196" s="1">
        <v>9.0</v>
      </c>
      <c r="G196" s="1">
        <v>6.0</v>
      </c>
      <c r="H196" s="1" t="s">
        <v>30</v>
      </c>
      <c r="I196" s="2">
        <v>45973.0</v>
      </c>
      <c r="J196" s="1">
        <v>1250000.0</v>
      </c>
      <c r="K196" s="2">
        <v>45962.0</v>
      </c>
      <c r="L196" s="3" t="b">
        <f t="shared" si="1"/>
        <v>0</v>
      </c>
    </row>
    <row r="197">
      <c r="A197" s="1" t="s">
        <v>31</v>
      </c>
      <c r="B197" s="1" t="s">
        <v>32</v>
      </c>
      <c r="C197" s="1" t="s">
        <v>13</v>
      </c>
      <c r="D197" s="1">
        <v>150.0</v>
      </c>
      <c r="E197" s="1">
        <v>40.0</v>
      </c>
      <c r="F197" s="1">
        <v>4.0</v>
      </c>
      <c r="G197" s="1">
        <v>4.0</v>
      </c>
      <c r="H197" s="1" t="s">
        <v>33</v>
      </c>
      <c r="I197" s="2">
        <v>46040.0</v>
      </c>
      <c r="J197" s="1">
        <v>550000.0</v>
      </c>
      <c r="K197" s="2">
        <v>46023.0</v>
      </c>
      <c r="L197" s="3" t="b">
        <f t="shared" si="1"/>
        <v>0</v>
      </c>
    </row>
    <row r="198">
      <c r="A198" s="1" t="s">
        <v>34</v>
      </c>
      <c r="B198" s="1" t="s">
        <v>35</v>
      </c>
      <c r="C198" s="1" t="s">
        <v>36</v>
      </c>
      <c r="D198" s="1">
        <v>18.0</v>
      </c>
      <c r="E198" s="1">
        <v>80.0</v>
      </c>
      <c r="F198" s="1">
        <v>10.0</v>
      </c>
      <c r="G198" s="1">
        <v>4.0</v>
      </c>
      <c r="H198" s="1" t="s">
        <v>37</v>
      </c>
      <c r="I198" s="2">
        <v>46024.0</v>
      </c>
      <c r="J198" s="1">
        <v>65000.0</v>
      </c>
      <c r="K198" s="2">
        <v>46023.0</v>
      </c>
      <c r="L198" s="3" t="b">
        <f t="shared" si="1"/>
        <v>0</v>
      </c>
    </row>
    <row r="199">
      <c r="A199" s="1" t="s">
        <v>28</v>
      </c>
      <c r="B199" s="1" t="s">
        <v>29</v>
      </c>
      <c r="C199" s="1" t="s">
        <v>23</v>
      </c>
      <c r="D199" s="1">
        <v>27.0</v>
      </c>
      <c r="E199" s="1">
        <v>35.0</v>
      </c>
      <c r="F199" s="1">
        <v>8.0</v>
      </c>
      <c r="G199" s="1">
        <v>6.0</v>
      </c>
      <c r="H199" s="1" t="s">
        <v>30</v>
      </c>
      <c r="I199" s="2">
        <v>46054.0</v>
      </c>
      <c r="J199" s="1">
        <v>1250000.0</v>
      </c>
      <c r="K199" s="2">
        <v>46054.0</v>
      </c>
      <c r="L199" s="3" t="b">
        <f t="shared" si="1"/>
        <v>0</v>
      </c>
    </row>
    <row r="200">
      <c r="A200" s="1" t="s">
        <v>44</v>
      </c>
      <c r="B200" s="1" t="s">
        <v>45</v>
      </c>
      <c r="C200" s="1" t="s">
        <v>42</v>
      </c>
      <c r="D200" s="1">
        <v>39.0</v>
      </c>
      <c r="E200" s="1">
        <v>30.0</v>
      </c>
      <c r="F200" s="1">
        <v>6.0</v>
      </c>
      <c r="G200" s="1">
        <v>10.0</v>
      </c>
      <c r="H200" s="1" t="s">
        <v>43</v>
      </c>
      <c r="I200" s="2">
        <v>45854.0</v>
      </c>
      <c r="J200" s="1">
        <v>350000.0</v>
      </c>
      <c r="K200" s="2">
        <v>45839.0</v>
      </c>
      <c r="L200" s="3" t="b">
        <f t="shared" si="1"/>
        <v>0</v>
      </c>
    </row>
    <row r="201">
      <c r="A201" s="1" t="s">
        <v>28</v>
      </c>
      <c r="B201" s="1" t="s">
        <v>29</v>
      </c>
      <c r="C201" s="1" t="s">
        <v>23</v>
      </c>
      <c r="D201" s="1">
        <v>10.0</v>
      </c>
      <c r="E201" s="1">
        <v>35.0</v>
      </c>
      <c r="F201" s="1">
        <v>7.0</v>
      </c>
      <c r="G201" s="1">
        <v>3.0</v>
      </c>
      <c r="H201" s="1" t="s">
        <v>30</v>
      </c>
      <c r="I201" s="2">
        <v>45929.0</v>
      </c>
      <c r="J201" s="1">
        <v>1250000.0</v>
      </c>
      <c r="K201" s="2">
        <v>45901.0</v>
      </c>
      <c r="L201" s="3" t="b">
        <f t="shared" si="1"/>
        <v>0</v>
      </c>
    </row>
    <row r="202">
      <c r="A202" s="1" t="s">
        <v>60</v>
      </c>
      <c r="B202" s="1" t="s">
        <v>61</v>
      </c>
      <c r="C202" s="1" t="s">
        <v>17</v>
      </c>
      <c r="D202" s="1">
        <v>7.0</v>
      </c>
      <c r="E202" s="1">
        <v>20.0</v>
      </c>
      <c r="F202" s="1">
        <v>2.0</v>
      </c>
      <c r="G202" s="1">
        <v>13.0</v>
      </c>
      <c r="H202" s="1" t="s">
        <v>27</v>
      </c>
      <c r="I202" s="2">
        <v>45861.0</v>
      </c>
      <c r="J202" s="1">
        <v>3200000.0</v>
      </c>
      <c r="K202" s="2">
        <v>45839.0</v>
      </c>
      <c r="L202" s="3" t="b">
        <f t="shared" si="1"/>
        <v>0</v>
      </c>
    </row>
    <row r="203">
      <c r="A203" s="1" t="s">
        <v>21</v>
      </c>
      <c r="B203" s="1" t="s">
        <v>22</v>
      </c>
      <c r="C203" s="1" t="s">
        <v>23</v>
      </c>
      <c r="D203" s="1">
        <v>13.0</v>
      </c>
      <c r="E203" s="1">
        <v>50.0</v>
      </c>
      <c r="F203" s="1">
        <v>8.0</v>
      </c>
      <c r="G203" s="1">
        <v>4.0</v>
      </c>
      <c r="H203" s="1" t="s">
        <v>24</v>
      </c>
      <c r="I203" s="2">
        <v>45691.0</v>
      </c>
      <c r="J203" s="1">
        <v>350000.0</v>
      </c>
      <c r="K203" s="2">
        <v>45689.0</v>
      </c>
      <c r="L203" s="3" t="b">
        <f t="shared" si="1"/>
        <v>0</v>
      </c>
    </row>
    <row r="204">
      <c r="A204" s="1" t="s">
        <v>40</v>
      </c>
      <c r="B204" s="1" t="s">
        <v>41</v>
      </c>
      <c r="C204" s="1" t="s">
        <v>42</v>
      </c>
      <c r="D204" s="3"/>
      <c r="E204" s="1">
        <v>15.0</v>
      </c>
      <c r="F204" s="1">
        <v>2.0</v>
      </c>
      <c r="G204" s="1">
        <v>4.0</v>
      </c>
      <c r="H204" s="1" t="s">
        <v>43</v>
      </c>
      <c r="I204" s="2">
        <v>45688.0</v>
      </c>
      <c r="J204" s="1">
        <v>1200000.0</v>
      </c>
      <c r="K204" s="2">
        <v>45658.0</v>
      </c>
      <c r="L204" s="3" t="b">
        <f t="shared" si="1"/>
        <v>1</v>
      </c>
    </row>
    <row r="205">
      <c r="A205" s="1" t="s">
        <v>55</v>
      </c>
      <c r="B205" s="1" t="s">
        <v>56</v>
      </c>
      <c r="C205" s="1" t="s">
        <v>36</v>
      </c>
      <c r="D205" s="1">
        <v>19.0</v>
      </c>
      <c r="E205" s="1">
        <v>100.0</v>
      </c>
      <c r="F205" s="1">
        <v>16.0</v>
      </c>
      <c r="G205" s="1">
        <v>4.0</v>
      </c>
      <c r="H205" s="1" t="s">
        <v>37</v>
      </c>
      <c r="I205" s="2">
        <v>45965.0</v>
      </c>
      <c r="J205" s="1">
        <v>85000.0</v>
      </c>
      <c r="K205" s="2">
        <v>45962.0</v>
      </c>
      <c r="L205" s="3" t="b">
        <f t="shared" si="1"/>
        <v>0</v>
      </c>
    </row>
    <row r="206">
      <c r="A206" s="1" t="s">
        <v>55</v>
      </c>
      <c r="B206" s="1" t="s">
        <v>56</v>
      </c>
      <c r="C206" s="1" t="s">
        <v>36</v>
      </c>
      <c r="D206" s="1">
        <v>36.0</v>
      </c>
      <c r="E206" s="1">
        <v>100.0</v>
      </c>
      <c r="F206" s="1">
        <v>16.0</v>
      </c>
      <c r="G206" s="1">
        <v>5.0</v>
      </c>
      <c r="H206" s="1" t="s">
        <v>37</v>
      </c>
      <c r="I206" s="2">
        <v>45851.0</v>
      </c>
      <c r="J206" s="1">
        <v>85000.0</v>
      </c>
      <c r="K206" s="2">
        <v>45839.0</v>
      </c>
      <c r="L206" s="3" t="b">
        <f t="shared" si="1"/>
        <v>0</v>
      </c>
    </row>
    <row r="207">
      <c r="A207" s="1" t="s">
        <v>34</v>
      </c>
      <c r="B207" s="1" t="s">
        <v>35</v>
      </c>
      <c r="C207" s="1" t="s">
        <v>36</v>
      </c>
      <c r="D207" s="1">
        <v>33.0</v>
      </c>
      <c r="E207" s="1">
        <v>80.0</v>
      </c>
      <c r="F207" s="1">
        <v>13.0</v>
      </c>
      <c r="G207" s="1">
        <v>4.0</v>
      </c>
      <c r="H207" s="1" t="s">
        <v>37</v>
      </c>
      <c r="I207" s="2">
        <v>45697.0</v>
      </c>
      <c r="J207" s="1">
        <v>65000.0</v>
      </c>
      <c r="K207" s="2">
        <v>45689.0</v>
      </c>
      <c r="L207" s="3" t="b">
        <f t="shared" si="1"/>
        <v>0</v>
      </c>
    </row>
    <row r="208">
      <c r="A208" s="1" t="s">
        <v>15</v>
      </c>
      <c r="B208" s="1" t="s">
        <v>16</v>
      </c>
      <c r="C208" s="1" t="s">
        <v>17</v>
      </c>
      <c r="D208" s="1">
        <v>0.0</v>
      </c>
      <c r="E208" s="1">
        <v>15.0</v>
      </c>
      <c r="F208" s="1">
        <v>2.0</v>
      </c>
      <c r="G208" s="1">
        <v>8.0</v>
      </c>
      <c r="H208" s="1" t="s">
        <v>18</v>
      </c>
      <c r="I208" s="2">
        <v>45994.0</v>
      </c>
      <c r="J208" s="1">
        <v>8500000.0</v>
      </c>
      <c r="K208" s="2">
        <v>45992.0</v>
      </c>
      <c r="L208" s="3" t="b">
        <f t="shared" si="1"/>
        <v>0</v>
      </c>
    </row>
    <row r="209">
      <c r="A209" s="1" t="s">
        <v>19</v>
      </c>
      <c r="B209" s="1" t="s">
        <v>20</v>
      </c>
      <c r="C209" s="1" t="s">
        <v>17</v>
      </c>
      <c r="D209" s="1">
        <v>34.0</v>
      </c>
      <c r="E209" s="1">
        <v>30.0</v>
      </c>
      <c r="F209" s="1">
        <v>4.0</v>
      </c>
      <c r="G209" s="1">
        <v>5.0</v>
      </c>
      <c r="H209" s="1" t="s">
        <v>18</v>
      </c>
      <c r="I209" s="2">
        <v>46083.0</v>
      </c>
      <c r="J209" s="1">
        <v>1200000.0</v>
      </c>
      <c r="K209" s="2">
        <v>46082.0</v>
      </c>
      <c r="L209" s="3" t="b">
        <f t="shared" si="1"/>
        <v>0</v>
      </c>
    </row>
    <row r="210">
      <c r="A210" s="1" t="s">
        <v>62</v>
      </c>
      <c r="B210" s="1" t="s">
        <v>63</v>
      </c>
      <c r="C210" s="1" t="s">
        <v>13</v>
      </c>
      <c r="D210" s="1">
        <v>427.0</v>
      </c>
      <c r="E210" s="1">
        <v>80.0</v>
      </c>
      <c r="F210" s="1">
        <v>2.0</v>
      </c>
      <c r="G210" s="1">
        <v>5.0</v>
      </c>
      <c r="H210" s="1" t="s">
        <v>33</v>
      </c>
      <c r="I210" s="2">
        <v>45838.0</v>
      </c>
      <c r="J210" s="1">
        <v>85000.0</v>
      </c>
      <c r="K210" s="2">
        <v>45809.0</v>
      </c>
      <c r="L210" s="3" t="b">
        <f t="shared" si="1"/>
        <v>0</v>
      </c>
    </row>
    <row r="211">
      <c r="A211" s="1" t="s">
        <v>51</v>
      </c>
      <c r="B211" s="1" t="s">
        <v>52</v>
      </c>
      <c r="C211" s="1" t="s">
        <v>36</v>
      </c>
      <c r="D211" s="1">
        <v>14.0</v>
      </c>
      <c r="E211" s="1">
        <v>60.0</v>
      </c>
      <c r="F211" s="1">
        <v>8.0</v>
      </c>
      <c r="G211" s="1">
        <v>6.0</v>
      </c>
      <c r="H211" s="1" t="s">
        <v>50</v>
      </c>
      <c r="I211" s="2">
        <v>45930.0</v>
      </c>
      <c r="J211" s="1">
        <v>175000.0</v>
      </c>
      <c r="K211" s="2">
        <v>45901.0</v>
      </c>
      <c r="L211" s="3" t="b">
        <f t="shared" si="1"/>
        <v>0</v>
      </c>
    </row>
    <row r="212">
      <c r="A212" s="1" t="s">
        <v>25</v>
      </c>
      <c r="B212" s="1" t="s">
        <v>26</v>
      </c>
      <c r="C212" s="1" t="s">
        <v>17</v>
      </c>
      <c r="D212" s="1">
        <v>32.0</v>
      </c>
      <c r="E212" s="1">
        <v>25.0</v>
      </c>
      <c r="F212" s="1">
        <v>6.0</v>
      </c>
      <c r="G212" s="1">
        <v>17.0</v>
      </c>
      <c r="H212" s="1" t="s">
        <v>27</v>
      </c>
      <c r="I212" s="2">
        <v>46026.0</v>
      </c>
      <c r="J212" s="1">
        <v>4500000.0</v>
      </c>
      <c r="K212" s="2">
        <v>46023.0</v>
      </c>
      <c r="L212" s="3" t="b">
        <f t="shared" si="1"/>
        <v>0</v>
      </c>
    </row>
    <row r="213">
      <c r="A213" s="1" t="s">
        <v>11</v>
      </c>
      <c r="B213" s="1" t="s">
        <v>12</v>
      </c>
      <c r="C213" s="1" t="s">
        <v>13</v>
      </c>
      <c r="D213" s="3"/>
      <c r="E213" s="1">
        <v>50.0</v>
      </c>
      <c r="F213" s="1">
        <v>1.0</v>
      </c>
      <c r="G213" s="1">
        <v>7.0</v>
      </c>
      <c r="H213" s="1" t="s">
        <v>14</v>
      </c>
      <c r="I213" s="2">
        <v>45885.0</v>
      </c>
      <c r="J213" s="1">
        <v>125000.0</v>
      </c>
      <c r="K213" s="2">
        <v>45870.0</v>
      </c>
      <c r="L213" s="3" t="b">
        <f t="shared" si="1"/>
        <v>1</v>
      </c>
    </row>
    <row r="214">
      <c r="A214" s="1" t="s">
        <v>15</v>
      </c>
      <c r="B214" s="1" t="s">
        <v>16</v>
      </c>
      <c r="C214" s="1" t="s">
        <v>17</v>
      </c>
      <c r="D214" s="1">
        <v>28.0</v>
      </c>
      <c r="E214" s="1">
        <v>15.0</v>
      </c>
      <c r="F214" s="1">
        <v>1.0</v>
      </c>
      <c r="G214" s="1">
        <v>6.0</v>
      </c>
      <c r="H214" s="1" t="s">
        <v>18</v>
      </c>
      <c r="I214" s="2">
        <v>45800.0</v>
      </c>
      <c r="J214" s="1">
        <v>8500000.0</v>
      </c>
      <c r="K214" s="2">
        <v>45778.0</v>
      </c>
      <c r="L214" s="3" t="b">
        <f t="shared" si="1"/>
        <v>0</v>
      </c>
    </row>
    <row r="215">
      <c r="A215" s="1" t="s">
        <v>64</v>
      </c>
      <c r="B215" s="1" t="s">
        <v>65</v>
      </c>
      <c r="C215" s="1" t="s">
        <v>42</v>
      </c>
      <c r="D215" s="1">
        <v>21.0</v>
      </c>
      <c r="E215" s="1">
        <v>20.0</v>
      </c>
      <c r="F215" s="1">
        <v>2.0</v>
      </c>
      <c r="G215" s="1">
        <v>9.0</v>
      </c>
      <c r="H215" s="1" t="s">
        <v>59</v>
      </c>
      <c r="I215" s="2">
        <v>45724.0</v>
      </c>
      <c r="J215" s="1">
        <v>750000.0</v>
      </c>
      <c r="K215" s="2">
        <v>45717.0</v>
      </c>
      <c r="L215" s="3" t="b">
        <f t="shared" si="1"/>
        <v>0</v>
      </c>
    </row>
    <row r="216">
      <c r="A216" s="1" t="s">
        <v>60</v>
      </c>
      <c r="B216" s="1" t="s">
        <v>61</v>
      </c>
      <c r="C216" s="1" t="s">
        <v>17</v>
      </c>
      <c r="D216" s="1">
        <v>12.0</v>
      </c>
      <c r="E216" s="1">
        <v>20.0</v>
      </c>
      <c r="F216" s="1">
        <v>2.0</v>
      </c>
      <c r="G216" s="1">
        <v>16.0</v>
      </c>
      <c r="H216" s="1" t="s">
        <v>27</v>
      </c>
      <c r="I216" s="2">
        <v>45724.0</v>
      </c>
      <c r="J216" s="1">
        <v>3200000.0</v>
      </c>
      <c r="K216" s="2">
        <v>45717.0</v>
      </c>
      <c r="L216" s="3" t="b">
        <f t="shared" si="1"/>
        <v>0</v>
      </c>
    </row>
    <row r="217">
      <c r="A217" s="1" t="s">
        <v>48</v>
      </c>
      <c r="B217" s="1" t="s">
        <v>49</v>
      </c>
      <c r="C217" s="1" t="s">
        <v>36</v>
      </c>
      <c r="D217" s="1">
        <v>72.0</v>
      </c>
      <c r="E217" s="1">
        <v>120.0</v>
      </c>
      <c r="F217" s="1">
        <v>18.0</v>
      </c>
      <c r="G217" s="1">
        <v>7.0</v>
      </c>
      <c r="H217" s="1" t="s">
        <v>50</v>
      </c>
      <c r="I217" s="2">
        <v>45815.0</v>
      </c>
      <c r="J217" s="1">
        <v>55000.0</v>
      </c>
      <c r="K217" s="2">
        <v>45809.0</v>
      </c>
      <c r="L217" s="3" t="b">
        <f t="shared" si="1"/>
        <v>0</v>
      </c>
    </row>
    <row r="218">
      <c r="A218" s="1" t="s">
        <v>40</v>
      </c>
      <c r="B218" s="1" t="s">
        <v>41</v>
      </c>
      <c r="C218" s="1" t="s">
        <v>42</v>
      </c>
      <c r="D218" s="1">
        <v>33.0</v>
      </c>
      <c r="E218" s="1">
        <v>15.0</v>
      </c>
      <c r="F218" s="1">
        <v>2.0</v>
      </c>
      <c r="G218" s="1">
        <v>10.0</v>
      </c>
      <c r="H218" s="1" t="s">
        <v>43</v>
      </c>
      <c r="I218" s="2">
        <v>46032.0</v>
      </c>
      <c r="J218" s="1">
        <v>1200000.0</v>
      </c>
      <c r="K218" s="2">
        <v>46023.0</v>
      </c>
      <c r="L218" s="3" t="b">
        <f t="shared" si="1"/>
        <v>0</v>
      </c>
    </row>
    <row r="219">
      <c r="A219" s="1" t="s">
        <v>53</v>
      </c>
      <c r="B219" s="1" t="s">
        <v>54</v>
      </c>
      <c r="C219" s="1" t="s">
        <v>13</v>
      </c>
      <c r="D219" s="1">
        <v>246.0</v>
      </c>
      <c r="E219" s="1">
        <v>60.0</v>
      </c>
      <c r="F219" s="1">
        <v>3.0</v>
      </c>
      <c r="G219" s="1">
        <v>7.0</v>
      </c>
      <c r="H219" s="1" t="s">
        <v>14</v>
      </c>
      <c r="I219" s="2">
        <v>46049.0</v>
      </c>
      <c r="J219" s="1">
        <v>165000.0</v>
      </c>
      <c r="K219" s="2">
        <v>46023.0</v>
      </c>
      <c r="L219" s="3" t="b">
        <f t="shared" si="1"/>
        <v>0</v>
      </c>
    </row>
    <row r="220">
      <c r="A220" s="1" t="s">
        <v>34</v>
      </c>
      <c r="B220" s="1" t="s">
        <v>35</v>
      </c>
      <c r="C220" s="1" t="s">
        <v>36</v>
      </c>
      <c r="D220" s="1">
        <v>64.0</v>
      </c>
      <c r="E220" s="1">
        <v>80.0</v>
      </c>
      <c r="F220" s="1">
        <v>13.0</v>
      </c>
      <c r="G220" s="1">
        <v>5.0</v>
      </c>
      <c r="H220" s="1" t="s">
        <v>37</v>
      </c>
      <c r="I220" s="2">
        <v>45970.0</v>
      </c>
      <c r="J220" s="1">
        <v>65000.0</v>
      </c>
      <c r="K220" s="2">
        <v>45962.0</v>
      </c>
      <c r="L220" s="3" t="b">
        <f t="shared" si="1"/>
        <v>0</v>
      </c>
    </row>
    <row r="221">
      <c r="A221" s="1" t="s">
        <v>57</v>
      </c>
      <c r="B221" s="1" t="s">
        <v>58</v>
      </c>
      <c r="C221" s="1" t="s">
        <v>42</v>
      </c>
      <c r="D221" s="1">
        <v>37.0</v>
      </c>
      <c r="E221" s="1">
        <v>25.0</v>
      </c>
      <c r="F221" s="1">
        <v>1.0</v>
      </c>
      <c r="G221" s="1">
        <v>9.0</v>
      </c>
      <c r="H221" s="1" t="s">
        <v>59</v>
      </c>
      <c r="I221" s="2">
        <v>45775.0</v>
      </c>
      <c r="J221" s="1">
        <v>450000.0</v>
      </c>
      <c r="K221" s="2">
        <v>45748.0</v>
      </c>
      <c r="L221" s="3" t="b">
        <f t="shared" si="1"/>
        <v>0</v>
      </c>
    </row>
    <row r="222">
      <c r="A222" s="1" t="s">
        <v>21</v>
      </c>
      <c r="B222" s="1" t="s">
        <v>22</v>
      </c>
      <c r="C222" s="1" t="s">
        <v>23</v>
      </c>
      <c r="D222" s="1">
        <v>0.0</v>
      </c>
      <c r="E222" s="1">
        <v>50.0</v>
      </c>
      <c r="F222" s="1">
        <v>13.0</v>
      </c>
      <c r="G222" s="1">
        <v>3.0</v>
      </c>
      <c r="H222" s="1" t="s">
        <v>24</v>
      </c>
      <c r="I222" s="2">
        <v>45747.0</v>
      </c>
      <c r="J222" s="1">
        <v>350000.0</v>
      </c>
      <c r="K222" s="2">
        <v>45717.0</v>
      </c>
      <c r="L222" s="3" t="b">
        <f t="shared" si="1"/>
        <v>0</v>
      </c>
    </row>
    <row r="223">
      <c r="A223" s="1" t="s">
        <v>53</v>
      </c>
      <c r="B223" s="1" t="s">
        <v>54</v>
      </c>
      <c r="C223" s="1" t="s">
        <v>13</v>
      </c>
      <c r="D223" s="1">
        <v>230.0</v>
      </c>
      <c r="E223" s="1">
        <v>60.0</v>
      </c>
      <c r="F223" s="1">
        <v>2.0</v>
      </c>
      <c r="G223" s="1">
        <v>8.0</v>
      </c>
      <c r="H223" s="1" t="s">
        <v>14</v>
      </c>
      <c r="I223" s="2">
        <v>45817.0</v>
      </c>
      <c r="J223" s="1">
        <v>165000.0</v>
      </c>
      <c r="K223" s="2">
        <v>45809.0</v>
      </c>
      <c r="L223" s="3" t="b">
        <f t="shared" si="1"/>
        <v>0</v>
      </c>
    </row>
    <row r="224">
      <c r="A224" s="1" t="s">
        <v>57</v>
      </c>
      <c r="B224" s="1" t="s">
        <v>58</v>
      </c>
      <c r="C224" s="1" t="s">
        <v>42</v>
      </c>
      <c r="D224" s="1">
        <v>52.0</v>
      </c>
      <c r="E224" s="1">
        <v>25.0</v>
      </c>
      <c r="F224" s="1">
        <v>4.0</v>
      </c>
      <c r="G224" s="1">
        <v>9.0</v>
      </c>
      <c r="H224" s="1" t="s">
        <v>59</v>
      </c>
      <c r="I224" s="2">
        <v>45671.0</v>
      </c>
      <c r="J224" s="1">
        <v>450000.0</v>
      </c>
      <c r="K224" s="2">
        <v>45658.0</v>
      </c>
      <c r="L224" s="3" t="b">
        <f t="shared" si="1"/>
        <v>0</v>
      </c>
    </row>
    <row r="225">
      <c r="A225" s="1" t="s">
        <v>64</v>
      </c>
      <c r="B225" s="1" t="s">
        <v>65</v>
      </c>
      <c r="C225" s="1" t="s">
        <v>42</v>
      </c>
      <c r="D225" s="1">
        <v>47.0</v>
      </c>
      <c r="E225" s="1">
        <v>20.0</v>
      </c>
      <c r="F225" s="1">
        <v>4.0</v>
      </c>
      <c r="G225" s="1">
        <v>9.0</v>
      </c>
      <c r="H225" s="1" t="s">
        <v>59</v>
      </c>
      <c r="I225" s="2">
        <v>45909.0</v>
      </c>
      <c r="J225" s="1">
        <v>750000.0</v>
      </c>
      <c r="K225" s="2">
        <v>45901.0</v>
      </c>
      <c r="L225" s="3" t="b">
        <f t="shared" si="1"/>
        <v>0</v>
      </c>
    </row>
    <row r="226">
      <c r="A226" s="1" t="s">
        <v>31</v>
      </c>
      <c r="B226" s="1" t="s">
        <v>32</v>
      </c>
      <c r="C226" s="1" t="s">
        <v>13</v>
      </c>
      <c r="D226" s="1">
        <v>153.0</v>
      </c>
      <c r="E226" s="1">
        <v>40.0</v>
      </c>
      <c r="F226" s="1">
        <v>4.0</v>
      </c>
      <c r="G226" s="1">
        <v>5.0</v>
      </c>
      <c r="H226" s="1" t="s">
        <v>33</v>
      </c>
      <c r="I226" s="2">
        <v>46097.0</v>
      </c>
      <c r="J226" s="1">
        <v>550000.0</v>
      </c>
      <c r="K226" s="2">
        <v>46082.0</v>
      </c>
      <c r="L226" s="3" t="b">
        <f t="shared" si="1"/>
        <v>0</v>
      </c>
    </row>
    <row r="227">
      <c r="A227" s="1" t="s">
        <v>15</v>
      </c>
      <c r="B227" s="1" t="s">
        <v>16</v>
      </c>
      <c r="C227" s="1" t="s">
        <v>17</v>
      </c>
      <c r="D227" s="1">
        <v>19.0</v>
      </c>
      <c r="E227" s="1">
        <v>15.0</v>
      </c>
      <c r="F227" s="1">
        <v>3.0</v>
      </c>
      <c r="G227" s="1">
        <v>5.0</v>
      </c>
      <c r="H227" s="1" t="s">
        <v>18</v>
      </c>
      <c r="I227" s="2">
        <v>45903.0</v>
      </c>
      <c r="J227" s="1">
        <v>8500000.0</v>
      </c>
      <c r="K227" s="2">
        <v>45901.0</v>
      </c>
      <c r="L227" s="3" t="b">
        <f t="shared" si="1"/>
        <v>0</v>
      </c>
    </row>
    <row r="228">
      <c r="A228" s="1" t="s">
        <v>21</v>
      </c>
      <c r="B228" s="1" t="s">
        <v>22</v>
      </c>
      <c r="C228" s="1" t="s">
        <v>23</v>
      </c>
      <c r="D228" s="1">
        <v>0.0</v>
      </c>
      <c r="E228" s="1">
        <v>50.0</v>
      </c>
      <c r="F228" s="1">
        <v>12.0</v>
      </c>
      <c r="G228" s="1">
        <v>5.0</v>
      </c>
      <c r="H228" s="1" t="s">
        <v>24</v>
      </c>
      <c r="I228" s="2">
        <v>45971.0</v>
      </c>
      <c r="J228" s="1">
        <v>350000.0</v>
      </c>
      <c r="K228" s="2">
        <v>45962.0</v>
      </c>
      <c r="L228" s="3" t="b">
        <f t="shared" si="1"/>
        <v>0</v>
      </c>
    </row>
    <row r="229">
      <c r="A229" s="1" t="s">
        <v>51</v>
      </c>
      <c r="B229" s="1" t="s">
        <v>52</v>
      </c>
      <c r="C229" s="1" t="s">
        <v>36</v>
      </c>
      <c r="D229" s="1">
        <v>37.0</v>
      </c>
      <c r="E229" s="1">
        <v>60.0</v>
      </c>
      <c r="F229" s="1">
        <v>8.0</v>
      </c>
      <c r="G229" s="1">
        <v>5.0</v>
      </c>
      <c r="H229" s="1" t="s">
        <v>50</v>
      </c>
      <c r="I229" s="2">
        <v>45795.0</v>
      </c>
      <c r="J229" s="1">
        <v>175000.0</v>
      </c>
      <c r="K229" s="2">
        <v>45778.0</v>
      </c>
      <c r="L229" s="3" t="b">
        <f t="shared" si="1"/>
        <v>0</v>
      </c>
    </row>
    <row r="230">
      <c r="A230" s="1" t="s">
        <v>21</v>
      </c>
      <c r="B230" s="1" t="s">
        <v>22</v>
      </c>
      <c r="C230" s="1" t="s">
        <v>23</v>
      </c>
      <c r="D230" s="1">
        <v>49.0</v>
      </c>
      <c r="E230" s="1">
        <v>50.0</v>
      </c>
      <c r="F230" s="1">
        <v>5.0</v>
      </c>
      <c r="G230" s="3"/>
      <c r="H230" s="1" t="s">
        <v>24</v>
      </c>
      <c r="I230" s="2">
        <v>45784.0</v>
      </c>
      <c r="J230" s="1">
        <v>350000.0</v>
      </c>
      <c r="K230" s="2">
        <v>45778.0</v>
      </c>
      <c r="L230" s="3" t="b">
        <f t="shared" si="1"/>
        <v>1</v>
      </c>
    </row>
    <row r="231">
      <c r="A231" s="1" t="s">
        <v>60</v>
      </c>
      <c r="B231" s="1" t="s">
        <v>61</v>
      </c>
      <c r="C231" s="1" t="s">
        <v>17</v>
      </c>
      <c r="D231" s="1">
        <v>22.0</v>
      </c>
      <c r="E231" s="1">
        <v>20.0</v>
      </c>
      <c r="F231" s="1">
        <v>4.0</v>
      </c>
      <c r="G231" s="1">
        <v>8.0</v>
      </c>
      <c r="H231" s="1" t="s">
        <v>27</v>
      </c>
      <c r="I231" s="2">
        <v>46103.0</v>
      </c>
      <c r="J231" s="1">
        <v>3200000.0</v>
      </c>
      <c r="K231" s="2">
        <v>46082.0</v>
      </c>
      <c r="L231" s="3" t="b">
        <f t="shared" si="1"/>
        <v>0</v>
      </c>
    </row>
    <row r="232">
      <c r="A232" s="1" t="s">
        <v>55</v>
      </c>
      <c r="B232" s="1" t="s">
        <v>56</v>
      </c>
      <c r="C232" s="1" t="s">
        <v>36</v>
      </c>
      <c r="D232" s="1">
        <v>58.0</v>
      </c>
      <c r="E232" s="1">
        <v>100.0</v>
      </c>
      <c r="F232" s="1">
        <v>14.0</v>
      </c>
      <c r="G232" s="1">
        <v>3.0</v>
      </c>
      <c r="H232" s="1" t="s">
        <v>37</v>
      </c>
      <c r="I232" s="2">
        <v>45951.0</v>
      </c>
      <c r="J232" s="1">
        <v>85000.0</v>
      </c>
      <c r="K232" s="2">
        <v>45931.0</v>
      </c>
      <c r="L232" s="3" t="b">
        <f t="shared" si="1"/>
        <v>0</v>
      </c>
    </row>
    <row r="233">
      <c r="A233" s="1" t="s">
        <v>40</v>
      </c>
      <c r="B233" s="1" t="s">
        <v>41</v>
      </c>
      <c r="C233" s="1" t="s">
        <v>42</v>
      </c>
      <c r="D233" s="1">
        <v>14.0</v>
      </c>
      <c r="E233" s="1">
        <v>15.0</v>
      </c>
      <c r="F233" s="1">
        <v>2.0</v>
      </c>
      <c r="G233" s="1">
        <v>5.0</v>
      </c>
      <c r="H233" s="1" t="s">
        <v>43</v>
      </c>
      <c r="I233" s="2">
        <v>45858.0</v>
      </c>
      <c r="J233" s="1">
        <v>1200000.0</v>
      </c>
      <c r="K233" s="2">
        <v>45839.0</v>
      </c>
      <c r="L233" s="3" t="b">
        <f t="shared" si="1"/>
        <v>0</v>
      </c>
    </row>
    <row r="234">
      <c r="A234" s="1" t="s">
        <v>60</v>
      </c>
      <c r="B234" s="1" t="s">
        <v>61</v>
      </c>
      <c r="C234" s="1" t="s">
        <v>17</v>
      </c>
      <c r="D234" s="1">
        <v>0.0</v>
      </c>
      <c r="E234" s="1">
        <v>20.0</v>
      </c>
      <c r="F234" s="1">
        <v>4.0</v>
      </c>
      <c r="G234" s="1">
        <v>17.0</v>
      </c>
      <c r="H234" s="1" t="s">
        <v>27</v>
      </c>
      <c r="I234" s="2">
        <v>45964.0</v>
      </c>
      <c r="J234" s="1">
        <v>3200000.0</v>
      </c>
      <c r="K234" s="2">
        <v>45962.0</v>
      </c>
      <c r="L234" s="3" t="b">
        <f t="shared" si="1"/>
        <v>0</v>
      </c>
    </row>
    <row r="235">
      <c r="A235" s="1" t="s">
        <v>64</v>
      </c>
      <c r="B235" s="1" t="s">
        <v>65</v>
      </c>
      <c r="C235" s="1" t="s">
        <v>42</v>
      </c>
      <c r="D235" s="1">
        <v>26.0</v>
      </c>
      <c r="E235" s="1">
        <v>20.0</v>
      </c>
      <c r="F235" s="1">
        <v>2.0</v>
      </c>
      <c r="G235" s="1">
        <v>10.0</v>
      </c>
      <c r="H235" s="1" t="s">
        <v>59</v>
      </c>
      <c r="I235" s="2">
        <v>45762.0</v>
      </c>
      <c r="J235" s="1">
        <v>750000.0</v>
      </c>
      <c r="K235" s="2">
        <v>45748.0</v>
      </c>
      <c r="L235" s="3" t="b">
        <f t="shared" si="1"/>
        <v>0</v>
      </c>
    </row>
    <row r="236">
      <c r="A236" s="1" t="s">
        <v>48</v>
      </c>
      <c r="B236" s="1" t="s">
        <v>49</v>
      </c>
      <c r="C236" s="1" t="s">
        <v>36</v>
      </c>
      <c r="D236" s="1">
        <v>12.0</v>
      </c>
      <c r="E236" s="1">
        <v>120.0</v>
      </c>
      <c r="F236" s="1">
        <v>21.0</v>
      </c>
      <c r="G236" s="1">
        <v>5.0</v>
      </c>
      <c r="H236" s="1" t="s">
        <v>50</v>
      </c>
      <c r="I236" s="2">
        <v>45706.0</v>
      </c>
      <c r="J236" s="1">
        <v>55000.0</v>
      </c>
      <c r="K236" s="2">
        <v>45689.0</v>
      </c>
      <c r="L236" s="3" t="b">
        <f t="shared" si="1"/>
        <v>0</v>
      </c>
    </row>
    <row r="237">
      <c r="A237" s="1" t="s">
        <v>53</v>
      </c>
      <c r="B237" s="1" t="s">
        <v>54</v>
      </c>
      <c r="C237" s="1" t="s">
        <v>13</v>
      </c>
      <c r="D237" s="1">
        <v>292.0</v>
      </c>
      <c r="E237" s="1">
        <v>60.0</v>
      </c>
      <c r="F237" s="1">
        <v>3.0</v>
      </c>
      <c r="G237" s="1">
        <v>8.0</v>
      </c>
      <c r="H237" s="1" t="s">
        <v>14</v>
      </c>
      <c r="I237" s="2">
        <v>45869.0</v>
      </c>
      <c r="J237" s="1">
        <v>165000.0</v>
      </c>
      <c r="K237" s="2">
        <v>45839.0</v>
      </c>
      <c r="L237" s="3" t="b">
        <f t="shared" si="1"/>
        <v>0</v>
      </c>
    </row>
    <row r="238">
      <c r="A238" s="1" t="s">
        <v>40</v>
      </c>
      <c r="B238" s="1" t="s">
        <v>41</v>
      </c>
      <c r="C238" s="1" t="s">
        <v>42</v>
      </c>
      <c r="D238" s="1">
        <v>18.0</v>
      </c>
      <c r="E238" s="1">
        <v>15.0</v>
      </c>
      <c r="F238" s="1">
        <v>3.0</v>
      </c>
      <c r="G238" s="1">
        <v>5.0</v>
      </c>
      <c r="H238" s="1" t="s">
        <v>43</v>
      </c>
      <c r="I238" s="2">
        <v>45774.0</v>
      </c>
      <c r="J238" s="1">
        <v>1200000.0</v>
      </c>
      <c r="K238" s="2">
        <v>45748.0</v>
      </c>
      <c r="L238" s="3" t="b">
        <f t="shared" si="1"/>
        <v>0</v>
      </c>
    </row>
    <row r="239">
      <c r="A239" s="1" t="s">
        <v>25</v>
      </c>
      <c r="B239" s="1" t="s">
        <v>26</v>
      </c>
      <c r="C239" s="1" t="s">
        <v>17</v>
      </c>
      <c r="D239" s="1">
        <v>29.0</v>
      </c>
      <c r="E239" s="1">
        <v>25.0</v>
      </c>
      <c r="F239" s="1">
        <v>4.0</v>
      </c>
      <c r="G239" s="1">
        <v>11.0</v>
      </c>
      <c r="H239" s="1" t="s">
        <v>27</v>
      </c>
      <c r="I239" s="2">
        <v>45917.0</v>
      </c>
      <c r="J239" s="1">
        <v>4500000.0</v>
      </c>
      <c r="K239" s="2">
        <v>45901.0</v>
      </c>
      <c r="L239" s="3" t="b">
        <f t="shared" si="1"/>
        <v>0</v>
      </c>
    </row>
    <row r="240">
      <c r="A240" s="1" t="s">
        <v>48</v>
      </c>
      <c r="B240" s="1" t="s">
        <v>49</v>
      </c>
      <c r="C240" s="1" t="s">
        <v>36</v>
      </c>
      <c r="D240" s="1">
        <v>68.0</v>
      </c>
      <c r="E240" s="1">
        <v>120.0</v>
      </c>
      <c r="F240" s="1">
        <v>16.0</v>
      </c>
      <c r="G240" s="1">
        <v>6.0</v>
      </c>
      <c r="H240" s="1" t="s">
        <v>50</v>
      </c>
      <c r="I240" s="2">
        <v>45672.0</v>
      </c>
      <c r="J240" s="1">
        <v>55000.0</v>
      </c>
      <c r="K240" s="2">
        <v>45658.0</v>
      </c>
      <c r="L240" s="3" t="b">
        <f t="shared" si="1"/>
        <v>0</v>
      </c>
    </row>
    <row r="241">
      <c r="A241" s="1" t="s">
        <v>46</v>
      </c>
      <c r="B241" s="1" t="s">
        <v>47</v>
      </c>
      <c r="C241" s="1" t="s">
        <v>23</v>
      </c>
      <c r="D241" s="1">
        <v>35.0</v>
      </c>
      <c r="E241" s="1">
        <v>40.0</v>
      </c>
      <c r="F241" s="1">
        <v>4.0</v>
      </c>
      <c r="G241" s="1">
        <v>5.0</v>
      </c>
      <c r="H241" s="1" t="s">
        <v>30</v>
      </c>
      <c r="I241" s="2">
        <v>46161.0</v>
      </c>
      <c r="J241" s="1">
        <v>550000.0</v>
      </c>
      <c r="K241" s="2">
        <v>45809.0</v>
      </c>
      <c r="L241" s="3" t="b">
        <f t="shared" si="1"/>
        <v>0</v>
      </c>
    </row>
    <row r="242">
      <c r="A242" s="1" t="s">
        <v>38</v>
      </c>
      <c r="B242" s="1" t="s">
        <v>39</v>
      </c>
      <c r="C242" s="1" t="s">
        <v>23</v>
      </c>
      <c r="D242" s="1">
        <v>15.0</v>
      </c>
      <c r="E242" s="1">
        <v>45.0</v>
      </c>
      <c r="F242" s="1">
        <v>7.0</v>
      </c>
      <c r="G242" s="1">
        <v>4.0</v>
      </c>
      <c r="H242" s="1" t="s">
        <v>24</v>
      </c>
      <c r="I242" s="2">
        <v>45856.0</v>
      </c>
      <c r="J242" s="1">
        <v>450000.0</v>
      </c>
      <c r="K242" s="2">
        <v>45839.0</v>
      </c>
      <c r="L242" s="3" t="b">
        <f t="shared" si="1"/>
        <v>0</v>
      </c>
    </row>
    <row r="243">
      <c r="A243" s="1" t="s">
        <v>11</v>
      </c>
      <c r="B243" s="1" t="s">
        <v>12</v>
      </c>
      <c r="C243" s="1" t="s">
        <v>13</v>
      </c>
      <c r="D243" s="1">
        <v>172.0</v>
      </c>
      <c r="E243" s="1">
        <v>50.0</v>
      </c>
      <c r="F243" s="1">
        <v>2.0</v>
      </c>
      <c r="G243" s="1">
        <v>6.0</v>
      </c>
      <c r="H243" s="1" t="s">
        <v>14</v>
      </c>
      <c r="I243" s="2">
        <v>46018.0</v>
      </c>
      <c r="J243" s="1">
        <v>125000.0</v>
      </c>
      <c r="K243" s="2">
        <v>45992.0</v>
      </c>
      <c r="L243" s="3" t="b">
        <f t="shared" si="1"/>
        <v>0</v>
      </c>
    </row>
    <row r="244">
      <c r="A244" s="1" t="s">
        <v>62</v>
      </c>
      <c r="B244" s="1" t="s">
        <v>63</v>
      </c>
      <c r="C244" s="1" t="s">
        <v>13</v>
      </c>
      <c r="D244" s="1">
        <v>392.0</v>
      </c>
      <c r="E244" s="1">
        <v>80.0</v>
      </c>
      <c r="F244" s="1">
        <v>3.0</v>
      </c>
      <c r="G244" s="1">
        <v>6.0</v>
      </c>
      <c r="H244" s="1" t="s">
        <v>33</v>
      </c>
      <c r="I244" s="2">
        <v>46030.0</v>
      </c>
      <c r="J244" s="1">
        <v>85000.0</v>
      </c>
      <c r="K244" s="2">
        <v>46023.0</v>
      </c>
      <c r="L244" s="3" t="b">
        <f t="shared" si="1"/>
        <v>0</v>
      </c>
    </row>
    <row r="245">
      <c r="A245" s="1" t="s">
        <v>53</v>
      </c>
      <c r="B245" s="1" t="s">
        <v>54</v>
      </c>
      <c r="C245" s="1" t="s">
        <v>13</v>
      </c>
      <c r="D245" s="1">
        <v>205.0</v>
      </c>
      <c r="E245" s="1">
        <v>60.0</v>
      </c>
      <c r="F245" s="1">
        <v>4.0</v>
      </c>
      <c r="G245" s="1">
        <v>7.0</v>
      </c>
      <c r="H245" s="1" t="s">
        <v>14</v>
      </c>
      <c r="I245" s="2">
        <v>45739.0</v>
      </c>
      <c r="J245" s="1">
        <v>165000.0</v>
      </c>
      <c r="K245" s="2">
        <v>45717.0</v>
      </c>
      <c r="L245" s="3" t="b">
        <f t="shared" si="1"/>
        <v>0</v>
      </c>
    </row>
    <row r="246">
      <c r="A246" s="1" t="s">
        <v>60</v>
      </c>
      <c r="B246" s="1" t="s">
        <v>61</v>
      </c>
      <c r="C246" s="1" t="s">
        <v>17</v>
      </c>
      <c r="D246" s="1">
        <v>7.0</v>
      </c>
      <c r="E246" s="1">
        <v>20.0</v>
      </c>
      <c r="F246" s="1">
        <v>2.0</v>
      </c>
      <c r="G246" s="1">
        <v>7.0</v>
      </c>
      <c r="H246" s="1" t="s">
        <v>27</v>
      </c>
      <c r="I246" s="2">
        <v>45933.0</v>
      </c>
      <c r="J246" s="1">
        <v>3200000.0</v>
      </c>
      <c r="K246" s="2">
        <v>45931.0</v>
      </c>
      <c r="L246" s="3" t="b">
        <f t="shared" si="1"/>
        <v>0</v>
      </c>
    </row>
    <row r="247">
      <c r="A247" s="1" t="s">
        <v>55</v>
      </c>
      <c r="B247" s="1" t="s">
        <v>56</v>
      </c>
      <c r="C247" s="1" t="s">
        <v>36</v>
      </c>
      <c r="D247" s="1">
        <v>60.0</v>
      </c>
      <c r="E247" s="1">
        <v>100.0</v>
      </c>
      <c r="F247" s="1">
        <v>22.0</v>
      </c>
      <c r="G247" s="1">
        <v>5.0</v>
      </c>
      <c r="H247" s="1" t="s">
        <v>37</v>
      </c>
      <c r="I247" s="2">
        <v>46109.0</v>
      </c>
      <c r="J247" s="1">
        <v>85000.0</v>
      </c>
      <c r="K247" s="2">
        <v>46082.0</v>
      </c>
      <c r="L247" s="3" t="b">
        <f t="shared" si="1"/>
        <v>0</v>
      </c>
    </row>
    <row r="248">
      <c r="A248" s="1" t="s">
        <v>11</v>
      </c>
      <c r="B248" s="1" t="s">
        <v>12</v>
      </c>
      <c r="C248" s="1" t="s">
        <v>13</v>
      </c>
      <c r="D248" s="1">
        <v>230.0</v>
      </c>
      <c r="E248" s="1">
        <v>50.0</v>
      </c>
      <c r="F248" s="1">
        <v>1.0</v>
      </c>
      <c r="G248" s="1">
        <v>4.0</v>
      </c>
      <c r="H248" s="1" t="s">
        <v>14</v>
      </c>
      <c r="I248" s="2">
        <v>45939.0</v>
      </c>
      <c r="J248" s="1">
        <v>125000.0</v>
      </c>
      <c r="K248" s="2">
        <v>45931.0</v>
      </c>
      <c r="L248" s="3" t="b">
        <f t="shared" si="1"/>
        <v>0</v>
      </c>
    </row>
    <row r="249">
      <c r="A249" s="1" t="s">
        <v>34</v>
      </c>
      <c r="B249" s="1" t="s">
        <v>35</v>
      </c>
      <c r="C249" s="1" t="s">
        <v>36</v>
      </c>
      <c r="D249" s="1">
        <v>0.0</v>
      </c>
      <c r="E249" s="1">
        <v>80.0</v>
      </c>
      <c r="F249" s="1">
        <v>17.0</v>
      </c>
      <c r="G249" s="1">
        <v>5.0</v>
      </c>
      <c r="H249" s="1" t="s">
        <v>37</v>
      </c>
      <c r="I249" s="2">
        <v>46012.0</v>
      </c>
      <c r="J249" s="1">
        <v>65000.0</v>
      </c>
      <c r="K249" s="2">
        <v>45992.0</v>
      </c>
      <c r="L249" s="3" t="b">
        <f t="shared" si="1"/>
        <v>0</v>
      </c>
    </row>
    <row r="250">
      <c r="A250" s="1" t="s">
        <v>62</v>
      </c>
      <c r="B250" s="1" t="s">
        <v>63</v>
      </c>
      <c r="C250" s="1" t="s">
        <v>13</v>
      </c>
      <c r="D250" s="1">
        <v>302.0</v>
      </c>
      <c r="E250" s="1">
        <v>80.0</v>
      </c>
      <c r="F250" s="1">
        <v>3.0</v>
      </c>
      <c r="G250" s="1">
        <v>5.0</v>
      </c>
      <c r="H250" s="1" t="s">
        <v>33</v>
      </c>
      <c r="I250" s="2">
        <v>45797.0</v>
      </c>
      <c r="J250" s="1">
        <v>85000.0</v>
      </c>
      <c r="K250" s="2">
        <v>45778.0</v>
      </c>
      <c r="L250" s="3" t="b">
        <f t="shared" si="1"/>
        <v>0</v>
      </c>
    </row>
    <row r="251">
      <c r="A251" s="1" t="s">
        <v>15</v>
      </c>
      <c r="B251" s="1" t="s">
        <v>16</v>
      </c>
      <c r="C251" s="1" t="s">
        <v>17</v>
      </c>
      <c r="D251" s="1">
        <v>9.0</v>
      </c>
      <c r="E251" s="1">
        <v>15.0</v>
      </c>
      <c r="F251" s="1">
        <v>1.0</v>
      </c>
      <c r="G251" s="1">
        <v>6.0</v>
      </c>
      <c r="H251" s="1" t="s">
        <v>18</v>
      </c>
      <c r="I251" s="2">
        <v>46109.0</v>
      </c>
      <c r="J251" s="1">
        <v>8500000.0</v>
      </c>
      <c r="K251" s="2">
        <v>46082.0</v>
      </c>
      <c r="L251" s="3" t="b">
        <f t="shared" si="1"/>
        <v>0</v>
      </c>
    </row>
    <row r="252">
      <c r="A252" s="1" t="s">
        <v>19</v>
      </c>
      <c r="B252" s="1" t="s">
        <v>20</v>
      </c>
      <c r="C252" s="1" t="s">
        <v>17</v>
      </c>
      <c r="D252" s="1">
        <v>26.0</v>
      </c>
      <c r="E252" s="1">
        <v>30.0</v>
      </c>
      <c r="F252" s="1">
        <v>2.0</v>
      </c>
      <c r="G252" s="1">
        <v>9.0</v>
      </c>
      <c r="H252" s="1" t="s">
        <v>18</v>
      </c>
      <c r="I252" s="2">
        <v>45731.0</v>
      </c>
      <c r="J252" s="1">
        <v>1200000.0</v>
      </c>
      <c r="K252" s="2">
        <v>45717.0</v>
      </c>
      <c r="L252" s="3" t="b">
        <f t="shared" si="1"/>
        <v>0</v>
      </c>
    </row>
    <row r="253">
      <c r="A253" s="1" t="s">
        <v>28</v>
      </c>
      <c r="B253" s="1" t="s">
        <v>29</v>
      </c>
      <c r="C253" s="1" t="s">
        <v>23</v>
      </c>
      <c r="D253" s="1">
        <v>20.0</v>
      </c>
      <c r="E253" s="1">
        <v>35.0</v>
      </c>
      <c r="F253" s="1">
        <v>5.0</v>
      </c>
      <c r="G253" s="1">
        <v>8.0</v>
      </c>
      <c r="H253" s="1" t="s">
        <v>30</v>
      </c>
      <c r="I253" s="2">
        <v>45784.0</v>
      </c>
      <c r="J253" s="1">
        <v>1250000.0</v>
      </c>
      <c r="K253" s="2">
        <v>45778.0</v>
      </c>
      <c r="L253" s="3" t="b">
        <f t="shared" si="1"/>
        <v>0</v>
      </c>
    </row>
    <row r="254">
      <c r="A254" s="1" t="s">
        <v>51</v>
      </c>
      <c r="B254" s="1" t="s">
        <v>52</v>
      </c>
      <c r="C254" s="1" t="s">
        <v>36</v>
      </c>
      <c r="D254" s="1">
        <v>15.0</v>
      </c>
      <c r="E254" s="1">
        <v>60.0</v>
      </c>
      <c r="F254" s="1">
        <v>7.0</v>
      </c>
      <c r="G254" s="1">
        <v>5.0</v>
      </c>
      <c r="H254" s="1" t="s">
        <v>50</v>
      </c>
      <c r="I254" s="2">
        <v>45827.0</v>
      </c>
      <c r="J254" s="1">
        <v>175000.0</v>
      </c>
      <c r="K254" s="2">
        <v>45809.0</v>
      </c>
      <c r="L254" s="3" t="b">
        <f t="shared" si="1"/>
        <v>0</v>
      </c>
    </row>
    <row r="255">
      <c r="A255" s="1" t="s">
        <v>11</v>
      </c>
      <c r="B255" s="1" t="s">
        <v>12</v>
      </c>
      <c r="C255" s="1" t="s">
        <v>13</v>
      </c>
      <c r="D255" s="1">
        <v>-15.0</v>
      </c>
      <c r="E255" s="1">
        <v>50.0</v>
      </c>
      <c r="F255" s="1">
        <v>3.0</v>
      </c>
      <c r="G255" s="1">
        <v>6.0</v>
      </c>
      <c r="H255" s="1" t="s">
        <v>14</v>
      </c>
      <c r="I255" s="2">
        <v>45734.0</v>
      </c>
      <c r="J255" s="1">
        <v>125000.0</v>
      </c>
      <c r="K255" s="2">
        <v>45717.0</v>
      </c>
      <c r="L255" s="3" t="b">
        <f t="shared" si="1"/>
        <v>0</v>
      </c>
    </row>
    <row r="256">
      <c r="A256" s="1" t="s">
        <v>51</v>
      </c>
      <c r="B256" s="1" t="s">
        <v>52</v>
      </c>
      <c r="C256" s="1" t="s">
        <v>36</v>
      </c>
      <c r="D256" s="1">
        <v>0.0</v>
      </c>
      <c r="E256" s="1">
        <v>60.0</v>
      </c>
      <c r="F256" s="1">
        <v>11.0</v>
      </c>
      <c r="G256" s="1">
        <v>5.0</v>
      </c>
      <c r="H256" s="1" t="s">
        <v>50</v>
      </c>
      <c r="I256" s="2">
        <v>46083.0</v>
      </c>
      <c r="J256" s="1">
        <v>175000.0</v>
      </c>
      <c r="K256" s="2">
        <v>46082.0</v>
      </c>
      <c r="L256" s="3" t="b">
        <f t="shared" si="1"/>
        <v>0</v>
      </c>
    </row>
    <row r="257">
      <c r="A257" s="1" t="s">
        <v>62</v>
      </c>
      <c r="B257" s="1" t="s">
        <v>63</v>
      </c>
      <c r="C257" s="1" t="s">
        <v>13</v>
      </c>
      <c r="D257" s="1">
        <v>386.0</v>
      </c>
      <c r="E257" s="1">
        <v>80.0</v>
      </c>
      <c r="F257" s="1">
        <v>3.0</v>
      </c>
      <c r="G257" s="1">
        <v>6.0</v>
      </c>
      <c r="H257" s="1" t="s">
        <v>33</v>
      </c>
      <c r="I257" s="2">
        <v>45852.0</v>
      </c>
      <c r="J257" s="1">
        <v>85000.0</v>
      </c>
      <c r="K257" s="2">
        <v>45839.0</v>
      </c>
      <c r="L257" s="3" t="b">
        <f t="shared" si="1"/>
        <v>0</v>
      </c>
    </row>
    <row r="258">
      <c r="A258" s="1" t="s">
        <v>40</v>
      </c>
      <c r="B258" s="1" t="s">
        <v>41</v>
      </c>
      <c r="C258" s="1" t="s">
        <v>42</v>
      </c>
      <c r="D258" s="1">
        <v>9.0</v>
      </c>
      <c r="E258" s="1">
        <v>15.0</v>
      </c>
      <c r="F258" s="1">
        <v>1.0</v>
      </c>
      <c r="G258" s="1">
        <v>8.0</v>
      </c>
      <c r="H258" s="1" t="s">
        <v>43</v>
      </c>
      <c r="I258" s="2">
        <v>46014.0</v>
      </c>
      <c r="J258" s="1">
        <v>1200000.0</v>
      </c>
      <c r="K258" s="2">
        <v>45992.0</v>
      </c>
      <c r="L258" s="3" t="b">
        <f t="shared" si="1"/>
        <v>0</v>
      </c>
    </row>
    <row r="259">
      <c r="A259" s="1" t="s">
        <v>60</v>
      </c>
      <c r="B259" s="1" t="s">
        <v>61</v>
      </c>
      <c r="C259" s="1" t="s">
        <v>17</v>
      </c>
      <c r="D259" s="1">
        <v>27.0</v>
      </c>
      <c r="E259" s="1">
        <v>20.0</v>
      </c>
      <c r="F259" s="1">
        <v>2.0</v>
      </c>
      <c r="G259" s="1">
        <v>13.0</v>
      </c>
      <c r="H259" s="1" t="s">
        <v>27</v>
      </c>
      <c r="I259" s="2">
        <v>46057.0</v>
      </c>
      <c r="J259" s="1">
        <v>3200000.0</v>
      </c>
      <c r="K259" s="2">
        <v>46054.0</v>
      </c>
      <c r="L259" s="3" t="b">
        <f t="shared" si="1"/>
        <v>0</v>
      </c>
    </row>
    <row r="260">
      <c r="A260" s="1" t="s">
        <v>53</v>
      </c>
      <c r="B260" s="1" t="s">
        <v>54</v>
      </c>
      <c r="C260" s="1" t="s">
        <v>13</v>
      </c>
      <c r="D260" s="1">
        <v>292.0</v>
      </c>
      <c r="E260" s="1">
        <v>60.0</v>
      </c>
      <c r="F260" s="1">
        <v>3.0</v>
      </c>
      <c r="G260" s="1">
        <v>6.0</v>
      </c>
      <c r="H260" s="1" t="s">
        <v>14</v>
      </c>
      <c r="I260" s="2">
        <v>45888.0</v>
      </c>
      <c r="J260" s="1">
        <v>165000.0</v>
      </c>
      <c r="K260" s="2">
        <v>45870.0</v>
      </c>
      <c r="L260" s="3" t="b">
        <f t="shared" si="1"/>
        <v>0</v>
      </c>
    </row>
    <row r="261">
      <c r="A261" s="1" t="s">
        <v>31</v>
      </c>
      <c r="B261" s="1" t="s">
        <v>32</v>
      </c>
      <c r="C261" s="1" t="s">
        <v>13</v>
      </c>
      <c r="D261" s="1">
        <v>186.0</v>
      </c>
      <c r="E261" s="1">
        <v>40.0</v>
      </c>
      <c r="F261" s="1">
        <v>2.0</v>
      </c>
      <c r="G261" s="1">
        <v>4.0</v>
      </c>
      <c r="H261" s="1" t="s">
        <v>33</v>
      </c>
      <c r="I261" s="2">
        <v>45971.0</v>
      </c>
      <c r="J261" s="1">
        <v>550000.0</v>
      </c>
      <c r="K261" s="2">
        <v>45962.0</v>
      </c>
      <c r="L261" s="3" t="b">
        <f t="shared" si="1"/>
        <v>0</v>
      </c>
    </row>
    <row r="262">
      <c r="A262" s="1" t="s">
        <v>34</v>
      </c>
      <c r="B262" s="1" t="s">
        <v>35</v>
      </c>
      <c r="C262" s="1" t="s">
        <v>36</v>
      </c>
      <c r="D262" s="1">
        <v>35.0</v>
      </c>
      <c r="E262" s="1">
        <v>80.0</v>
      </c>
      <c r="F262" s="1">
        <v>13.0</v>
      </c>
      <c r="G262" s="1">
        <v>4.0</v>
      </c>
      <c r="H262" s="1" t="s">
        <v>37</v>
      </c>
      <c r="I262" s="2">
        <v>45800.0</v>
      </c>
      <c r="J262" s="1">
        <v>65000.0</v>
      </c>
      <c r="K262" s="2">
        <v>45778.0</v>
      </c>
      <c r="L262" s="3" t="b">
        <f t="shared" si="1"/>
        <v>0</v>
      </c>
    </row>
    <row r="263">
      <c r="A263" s="1" t="s">
        <v>46</v>
      </c>
      <c r="B263" s="1" t="s">
        <v>47</v>
      </c>
      <c r="C263" s="1" t="s">
        <v>23</v>
      </c>
      <c r="D263" s="1">
        <v>14.0</v>
      </c>
      <c r="E263" s="1">
        <v>40.0</v>
      </c>
      <c r="F263" s="1">
        <v>4.0</v>
      </c>
      <c r="G263" s="1">
        <v>8.0</v>
      </c>
      <c r="H263" s="1" t="s">
        <v>30</v>
      </c>
      <c r="I263" s="2">
        <v>45687.0</v>
      </c>
      <c r="J263" s="1">
        <v>550000.0</v>
      </c>
      <c r="K263" s="2">
        <v>45658.0</v>
      </c>
      <c r="L263" s="3" t="b">
        <f t="shared" si="1"/>
        <v>0</v>
      </c>
    </row>
    <row r="264">
      <c r="A264" s="1" t="s">
        <v>19</v>
      </c>
      <c r="B264" s="1" t="s">
        <v>20</v>
      </c>
      <c r="C264" s="1" t="s">
        <v>17</v>
      </c>
      <c r="D264" s="1">
        <v>31.0</v>
      </c>
      <c r="E264" s="1">
        <v>30.0</v>
      </c>
      <c r="F264" s="1">
        <v>3.0</v>
      </c>
      <c r="G264" s="1">
        <v>8.0</v>
      </c>
      <c r="H264" s="1" t="s">
        <v>18</v>
      </c>
      <c r="I264" s="2">
        <v>45929.0</v>
      </c>
      <c r="J264" s="1">
        <v>1200000.0</v>
      </c>
      <c r="K264" s="2">
        <v>45901.0</v>
      </c>
      <c r="L264" s="3" t="b">
        <f t="shared" si="1"/>
        <v>0</v>
      </c>
    </row>
    <row r="265">
      <c r="A265" s="1" t="s">
        <v>15</v>
      </c>
      <c r="B265" s="1" t="s">
        <v>16</v>
      </c>
      <c r="C265" s="1" t="s">
        <v>17</v>
      </c>
      <c r="D265" s="1">
        <v>13.0</v>
      </c>
      <c r="E265" s="1">
        <v>15.0</v>
      </c>
      <c r="F265" s="1">
        <v>1.0</v>
      </c>
      <c r="G265" s="1">
        <v>5.0</v>
      </c>
      <c r="H265" s="1" t="s">
        <v>18</v>
      </c>
      <c r="I265" s="2">
        <v>45710.0</v>
      </c>
      <c r="J265" s="1">
        <v>8500000.0</v>
      </c>
      <c r="K265" s="2">
        <v>45689.0</v>
      </c>
      <c r="L265" s="3" t="b">
        <f t="shared" si="1"/>
        <v>0</v>
      </c>
    </row>
    <row r="266">
      <c r="A266" s="1" t="s">
        <v>19</v>
      </c>
      <c r="B266" s="1" t="s">
        <v>20</v>
      </c>
      <c r="C266" s="1" t="s">
        <v>17</v>
      </c>
      <c r="D266" s="1">
        <v>26.0</v>
      </c>
      <c r="E266" s="1">
        <v>30.0</v>
      </c>
      <c r="F266" s="1">
        <v>4.0</v>
      </c>
      <c r="G266" s="1">
        <v>8.0</v>
      </c>
      <c r="H266" s="1" t="s">
        <v>18</v>
      </c>
      <c r="I266" s="2">
        <v>45803.0</v>
      </c>
      <c r="J266" s="1">
        <v>1200000.0</v>
      </c>
      <c r="K266" s="2">
        <v>45778.0</v>
      </c>
      <c r="L266" s="3" t="b">
        <f t="shared" si="1"/>
        <v>0</v>
      </c>
    </row>
    <row r="267">
      <c r="A267" s="1" t="s">
        <v>38</v>
      </c>
      <c r="B267" s="1" t="s">
        <v>39</v>
      </c>
      <c r="C267" s="1" t="s">
        <v>23</v>
      </c>
      <c r="D267" s="1">
        <v>36.0</v>
      </c>
      <c r="E267" s="1">
        <v>45.0</v>
      </c>
      <c r="F267" s="1">
        <v>4.0</v>
      </c>
      <c r="G267" s="1">
        <v>3.0</v>
      </c>
      <c r="H267" s="1" t="s">
        <v>24</v>
      </c>
      <c r="I267" s="2">
        <v>45812.0</v>
      </c>
      <c r="J267" s="1">
        <v>450000.0</v>
      </c>
      <c r="K267" s="2">
        <v>45809.0</v>
      </c>
      <c r="L267" s="3" t="b">
        <f t="shared" si="1"/>
        <v>0</v>
      </c>
    </row>
    <row r="268">
      <c r="A268" s="1" t="s">
        <v>62</v>
      </c>
      <c r="B268" s="1" t="s">
        <v>63</v>
      </c>
      <c r="C268" s="1" t="s">
        <v>13</v>
      </c>
      <c r="D268" s="1">
        <v>264.0</v>
      </c>
      <c r="E268" s="1">
        <v>80.0</v>
      </c>
      <c r="F268" s="1">
        <v>3.0</v>
      </c>
      <c r="G268" s="1">
        <v>5.0</v>
      </c>
      <c r="H268" s="1" t="s">
        <v>33</v>
      </c>
      <c r="I268" s="2">
        <v>45984.0</v>
      </c>
      <c r="J268" s="1">
        <v>85000.0</v>
      </c>
      <c r="K268" s="2">
        <v>45962.0</v>
      </c>
      <c r="L268" s="3" t="b">
        <f t="shared" si="1"/>
        <v>0</v>
      </c>
    </row>
    <row r="269">
      <c r="A269" s="1" t="s">
        <v>60</v>
      </c>
      <c r="B269" s="1" t="s">
        <v>61</v>
      </c>
      <c r="C269" s="1" t="s">
        <v>17</v>
      </c>
      <c r="D269" s="1">
        <v>38.0</v>
      </c>
      <c r="E269" s="1">
        <v>20.0</v>
      </c>
      <c r="F269" s="1">
        <v>2.0</v>
      </c>
      <c r="G269" s="1">
        <v>11.0</v>
      </c>
      <c r="H269" s="1" t="s">
        <v>27</v>
      </c>
      <c r="I269" s="2">
        <v>45782.0</v>
      </c>
      <c r="J269" s="1">
        <v>3200000.0</v>
      </c>
      <c r="K269" s="2">
        <v>45778.0</v>
      </c>
      <c r="L269" s="3" t="b">
        <f t="shared" si="1"/>
        <v>0</v>
      </c>
    </row>
    <row r="270">
      <c r="A270" s="1" t="s">
        <v>34</v>
      </c>
      <c r="B270" s="1" t="s">
        <v>35</v>
      </c>
      <c r="C270" s="1" t="s">
        <v>36</v>
      </c>
      <c r="D270" s="1">
        <v>46.0</v>
      </c>
      <c r="E270" s="1">
        <v>80.0</v>
      </c>
      <c r="F270" s="1">
        <v>13.0</v>
      </c>
      <c r="G270" s="1">
        <v>5.0</v>
      </c>
      <c r="H270" s="1" t="s">
        <v>37</v>
      </c>
      <c r="I270" s="2">
        <v>45924.0</v>
      </c>
      <c r="J270" s="1">
        <v>65000.0</v>
      </c>
      <c r="K270" s="2">
        <v>45901.0</v>
      </c>
      <c r="L270" s="3" t="b">
        <f t="shared" si="1"/>
        <v>0</v>
      </c>
    </row>
    <row r="271">
      <c r="A271" s="1" t="s">
        <v>28</v>
      </c>
      <c r="B271" s="1" t="s">
        <v>29</v>
      </c>
      <c r="C271" s="1" t="s">
        <v>23</v>
      </c>
      <c r="D271" s="1">
        <v>27.0</v>
      </c>
      <c r="E271" s="1">
        <v>35.0</v>
      </c>
      <c r="F271" s="1">
        <v>5.0</v>
      </c>
      <c r="G271" s="1">
        <v>3.0</v>
      </c>
      <c r="H271" s="1" t="s">
        <v>30</v>
      </c>
      <c r="I271" s="2">
        <v>45701.0</v>
      </c>
      <c r="J271" s="1">
        <v>1250000.0</v>
      </c>
      <c r="K271" s="2">
        <v>45689.0</v>
      </c>
      <c r="L271" s="3" t="b">
        <f t="shared" si="1"/>
        <v>0</v>
      </c>
    </row>
    <row r="272">
      <c r="A272" s="1" t="s">
        <v>19</v>
      </c>
      <c r="B272" s="1" t="s">
        <v>20</v>
      </c>
      <c r="C272" s="1" t="s">
        <v>17</v>
      </c>
      <c r="D272" s="1">
        <v>44.0</v>
      </c>
      <c r="E272" s="1">
        <v>30.0</v>
      </c>
      <c r="F272" s="1">
        <v>4.0</v>
      </c>
      <c r="G272" s="1">
        <v>8.0</v>
      </c>
      <c r="H272" s="1" t="s">
        <v>18</v>
      </c>
      <c r="I272" s="2">
        <v>45885.0</v>
      </c>
      <c r="J272" s="1">
        <v>1200000.0</v>
      </c>
      <c r="K272" s="2">
        <v>45870.0</v>
      </c>
      <c r="L272" s="3" t="b">
        <f t="shared" si="1"/>
        <v>0</v>
      </c>
    </row>
    <row r="273">
      <c r="A273" s="1" t="s">
        <v>34</v>
      </c>
      <c r="B273" s="1" t="s">
        <v>35</v>
      </c>
      <c r="C273" s="1" t="s">
        <v>36</v>
      </c>
      <c r="D273" s="1">
        <v>34.0</v>
      </c>
      <c r="E273" s="1">
        <v>80.0</v>
      </c>
      <c r="F273" s="1">
        <v>9.0</v>
      </c>
      <c r="G273" s="1">
        <v>3.0</v>
      </c>
      <c r="H273" s="1" t="s">
        <v>37</v>
      </c>
      <c r="I273" s="2">
        <v>45950.0</v>
      </c>
      <c r="J273" s="1">
        <v>65000.0</v>
      </c>
      <c r="K273" s="2">
        <v>45931.0</v>
      </c>
      <c r="L273" s="3" t="b">
        <f t="shared" si="1"/>
        <v>0</v>
      </c>
    </row>
    <row r="274">
      <c r="A274" s="1" t="s">
        <v>55</v>
      </c>
      <c r="B274" s="1" t="s">
        <v>56</v>
      </c>
      <c r="C274" s="1" t="s">
        <v>36</v>
      </c>
      <c r="D274" s="1">
        <v>145.0</v>
      </c>
      <c r="E274" s="1">
        <v>100.0</v>
      </c>
      <c r="F274" s="1">
        <v>17.0</v>
      </c>
      <c r="G274" s="1">
        <v>4.0</v>
      </c>
      <c r="H274" s="1" t="s">
        <v>37</v>
      </c>
      <c r="I274" s="2">
        <v>45711.0</v>
      </c>
      <c r="J274" s="1">
        <v>85000.0</v>
      </c>
      <c r="K274" s="2">
        <v>45689.0</v>
      </c>
      <c r="L274" s="3" t="b">
        <f t="shared" si="1"/>
        <v>0</v>
      </c>
    </row>
    <row r="275">
      <c r="A275" s="1" t="s">
        <v>15</v>
      </c>
      <c r="B275" s="1" t="s">
        <v>16</v>
      </c>
      <c r="C275" s="1" t="s">
        <v>17</v>
      </c>
      <c r="D275" s="1">
        <v>15.0</v>
      </c>
      <c r="E275" s="1">
        <v>15.0</v>
      </c>
      <c r="F275" s="1">
        <v>1.0</v>
      </c>
      <c r="G275" s="1">
        <v>5.0</v>
      </c>
      <c r="H275" s="1" t="s">
        <v>18</v>
      </c>
      <c r="I275" s="2">
        <v>46055.0</v>
      </c>
      <c r="J275" s="1">
        <v>8500000.0</v>
      </c>
      <c r="K275" s="2">
        <v>46054.0</v>
      </c>
      <c r="L275" s="3" t="b">
        <f t="shared" si="1"/>
        <v>0</v>
      </c>
    </row>
    <row r="276">
      <c r="A276" s="1" t="s">
        <v>38</v>
      </c>
      <c r="B276" s="1" t="s">
        <v>39</v>
      </c>
      <c r="C276" s="1" t="s">
        <v>23</v>
      </c>
      <c r="D276" s="1">
        <v>12.0</v>
      </c>
      <c r="E276" s="1">
        <v>45.0</v>
      </c>
      <c r="F276" s="1">
        <v>8.0</v>
      </c>
      <c r="G276" s="1">
        <v>6.0</v>
      </c>
      <c r="H276" s="1" t="s">
        <v>24</v>
      </c>
      <c r="I276" s="2">
        <v>46054.0</v>
      </c>
      <c r="J276" s="1">
        <v>450000.0</v>
      </c>
      <c r="K276" s="2">
        <v>46054.0</v>
      </c>
      <c r="L276" s="3" t="b">
        <f t="shared" si="1"/>
        <v>0</v>
      </c>
    </row>
    <row r="277">
      <c r="A277" s="1" t="s">
        <v>51</v>
      </c>
      <c r="B277" s="1" t="s">
        <v>52</v>
      </c>
      <c r="C277" s="1" t="s">
        <v>36</v>
      </c>
      <c r="D277" s="1">
        <v>19.0</v>
      </c>
      <c r="E277" s="1">
        <v>60.0</v>
      </c>
      <c r="F277" s="1">
        <v>6.0</v>
      </c>
      <c r="G277" s="1">
        <v>6.0</v>
      </c>
      <c r="H277" s="1" t="s">
        <v>50</v>
      </c>
      <c r="I277" s="2">
        <v>45775.0</v>
      </c>
      <c r="J277" s="1">
        <v>175000.0</v>
      </c>
      <c r="K277" s="2">
        <v>45748.0</v>
      </c>
      <c r="L277" s="3" t="b">
        <f t="shared" si="1"/>
        <v>0</v>
      </c>
    </row>
    <row r="278">
      <c r="A278" s="1" t="s">
        <v>44</v>
      </c>
      <c r="B278" s="1" t="s">
        <v>45</v>
      </c>
      <c r="C278" s="1" t="s">
        <v>42</v>
      </c>
      <c r="D278" s="1">
        <v>22.0</v>
      </c>
      <c r="E278" s="1">
        <v>30.0</v>
      </c>
      <c r="F278" s="1">
        <v>6.0</v>
      </c>
      <c r="G278" s="3"/>
      <c r="H278" s="1" t="s">
        <v>43</v>
      </c>
      <c r="I278" s="2">
        <v>45702.0</v>
      </c>
      <c r="J278" s="1">
        <v>350000.0</v>
      </c>
      <c r="K278" s="2">
        <v>45689.0</v>
      </c>
      <c r="L278" s="3" t="b">
        <f t="shared" si="1"/>
        <v>1</v>
      </c>
    </row>
    <row r="279">
      <c r="A279" s="1" t="s">
        <v>44</v>
      </c>
      <c r="B279" s="1" t="s">
        <v>45</v>
      </c>
      <c r="C279" s="1" t="s">
        <v>42</v>
      </c>
      <c r="D279" s="1">
        <v>59.0</v>
      </c>
      <c r="E279" s="1">
        <v>30.0</v>
      </c>
      <c r="F279" s="1">
        <v>3.0</v>
      </c>
      <c r="G279" s="1">
        <v>6.0</v>
      </c>
      <c r="H279" s="1" t="s">
        <v>43</v>
      </c>
      <c r="I279" s="2">
        <v>45880.0</v>
      </c>
      <c r="J279" s="1">
        <v>350000.0</v>
      </c>
      <c r="K279" s="2">
        <v>45870.0</v>
      </c>
      <c r="L279" s="3" t="b">
        <f t="shared" si="1"/>
        <v>0</v>
      </c>
    </row>
    <row r="280">
      <c r="A280" s="1" t="s">
        <v>64</v>
      </c>
      <c r="B280" s="1" t="s">
        <v>65</v>
      </c>
      <c r="C280" s="1" t="s">
        <v>42</v>
      </c>
      <c r="D280" s="1">
        <v>41.0</v>
      </c>
      <c r="E280" s="1">
        <v>20.0</v>
      </c>
      <c r="F280" s="1">
        <v>3.0</v>
      </c>
      <c r="G280" s="1">
        <v>9.0</v>
      </c>
      <c r="H280" s="1" t="s">
        <v>59</v>
      </c>
      <c r="I280" s="2">
        <v>46092.0</v>
      </c>
      <c r="J280" s="1">
        <v>750000.0</v>
      </c>
      <c r="K280" s="2">
        <v>46082.0</v>
      </c>
      <c r="L280" s="3" t="b">
        <f t="shared" si="1"/>
        <v>0</v>
      </c>
    </row>
    <row r="281">
      <c r="A281" s="1" t="s">
        <v>48</v>
      </c>
      <c r="B281" s="1" t="s">
        <v>49</v>
      </c>
      <c r="C281" s="1" t="s">
        <v>36</v>
      </c>
      <c r="D281" s="1">
        <v>121.0</v>
      </c>
      <c r="E281" s="1">
        <v>120.0</v>
      </c>
      <c r="F281" s="1">
        <v>27.0</v>
      </c>
      <c r="G281" s="3"/>
      <c r="H281" s="1" t="s">
        <v>50</v>
      </c>
      <c r="I281" s="2">
        <v>46095.0</v>
      </c>
      <c r="J281" s="1">
        <v>55000.0</v>
      </c>
      <c r="K281" s="2">
        <v>46082.0</v>
      </c>
      <c r="L281" s="3" t="b">
        <f t="shared" si="1"/>
        <v>1</v>
      </c>
    </row>
    <row r="282">
      <c r="A282" s="1" t="s">
        <v>55</v>
      </c>
      <c r="B282" s="1" t="s">
        <v>56</v>
      </c>
      <c r="C282" s="1" t="s">
        <v>36</v>
      </c>
      <c r="D282" s="1">
        <v>125.0</v>
      </c>
      <c r="E282" s="1">
        <v>100.0</v>
      </c>
      <c r="F282" s="1">
        <v>14.0</v>
      </c>
      <c r="G282" s="1">
        <v>4.0</v>
      </c>
      <c r="H282" s="1" t="s">
        <v>37</v>
      </c>
      <c r="I282" s="2">
        <v>45775.0</v>
      </c>
      <c r="J282" s="1">
        <v>85000.0</v>
      </c>
      <c r="K282" s="2">
        <v>45748.0</v>
      </c>
      <c r="L282" s="3" t="b">
        <f t="shared" si="1"/>
        <v>0</v>
      </c>
    </row>
    <row r="283">
      <c r="A283" s="1" t="s">
        <v>19</v>
      </c>
      <c r="B283" s="1" t="s">
        <v>20</v>
      </c>
      <c r="C283" s="1" t="s">
        <v>17</v>
      </c>
      <c r="D283" s="1">
        <v>42.0</v>
      </c>
      <c r="E283" s="1">
        <v>30.0</v>
      </c>
      <c r="F283" s="1">
        <v>4.0</v>
      </c>
      <c r="G283" s="1">
        <v>7.0</v>
      </c>
      <c r="H283" s="1" t="s">
        <v>18</v>
      </c>
      <c r="I283" s="2">
        <v>45960.0</v>
      </c>
      <c r="J283" s="1">
        <v>1200000.0</v>
      </c>
      <c r="K283" s="2">
        <v>45931.0</v>
      </c>
      <c r="L283" s="3" t="b">
        <f t="shared" si="1"/>
        <v>0</v>
      </c>
    </row>
    <row r="284">
      <c r="A284" s="1" t="s">
        <v>19</v>
      </c>
      <c r="B284" s="1" t="s">
        <v>20</v>
      </c>
      <c r="C284" s="1" t="s">
        <v>17</v>
      </c>
      <c r="D284" s="1">
        <v>21.0</v>
      </c>
      <c r="E284" s="1">
        <v>30.0</v>
      </c>
      <c r="F284" s="1">
        <v>4.0</v>
      </c>
      <c r="G284" s="1">
        <v>9.0</v>
      </c>
      <c r="H284" s="1" t="s">
        <v>18</v>
      </c>
      <c r="I284" s="2">
        <v>46197.0</v>
      </c>
      <c r="J284" s="1">
        <v>1200000.0</v>
      </c>
      <c r="K284" s="2">
        <v>45809.0</v>
      </c>
      <c r="L284" s="3" t="b">
        <f t="shared" si="1"/>
        <v>0</v>
      </c>
    </row>
    <row r="285">
      <c r="A285" s="1" t="s">
        <v>44</v>
      </c>
      <c r="B285" s="1" t="s">
        <v>45</v>
      </c>
      <c r="C285" s="1" t="s">
        <v>42</v>
      </c>
      <c r="D285" s="1">
        <v>41.0</v>
      </c>
      <c r="E285" s="1">
        <v>30.0</v>
      </c>
      <c r="F285" s="1">
        <v>6.0</v>
      </c>
      <c r="G285" s="1">
        <v>10.0</v>
      </c>
      <c r="H285" s="1" t="s">
        <v>43</v>
      </c>
      <c r="I285" s="2">
        <v>45945.0</v>
      </c>
      <c r="J285" s="1">
        <v>350000.0</v>
      </c>
      <c r="K285" s="2">
        <v>45931.0</v>
      </c>
      <c r="L285" s="3" t="b">
        <f t="shared" si="1"/>
        <v>0</v>
      </c>
    </row>
    <row r="286">
      <c r="A286" s="1" t="s">
        <v>31</v>
      </c>
      <c r="B286" s="1" t="s">
        <v>32</v>
      </c>
      <c r="C286" s="1" t="s">
        <v>13</v>
      </c>
      <c r="D286" s="1">
        <v>172.0</v>
      </c>
      <c r="E286" s="1">
        <v>40.0</v>
      </c>
      <c r="F286" s="1">
        <v>2.0</v>
      </c>
      <c r="G286" s="1">
        <v>6.0</v>
      </c>
      <c r="H286" s="1" t="s">
        <v>33</v>
      </c>
      <c r="I286" s="2">
        <v>45955.0</v>
      </c>
      <c r="J286" s="1">
        <v>550000.0</v>
      </c>
      <c r="K286" s="2">
        <v>45931.0</v>
      </c>
      <c r="L286" s="3" t="b">
        <f t="shared" si="1"/>
        <v>0</v>
      </c>
    </row>
    <row r="287">
      <c r="A287" s="1" t="s">
        <v>46</v>
      </c>
      <c r="B287" s="1" t="s">
        <v>47</v>
      </c>
      <c r="C287" s="1" t="s">
        <v>23</v>
      </c>
      <c r="D287" s="1">
        <v>36.0</v>
      </c>
      <c r="E287" s="1">
        <v>40.0</v>
      </c>
      <c r="F287" s="1">
        <v>6.0</v>
      </c>
      <c r="G287" s="1">
        <v>4.0</v>
      </c>
      <c r="H287" s="1" t="s">
        <v>30</v>
      </c>
      <c r="I287" s="2">
        <v>46044.0</v>
      </c>
      <c r="J287" s="1">
        <v>550000.0</v>
      </c>
      <c r="K287" s="2">
        <v>46023.0</v>
      </c>
      <c r="L287" s="3" t="b">
        <f t="shared" si="1"/>
        <v>0</v>
      </c>
    </row>
    <row r="288">
      <c r="A288" s="1" t="s">
        <v>31</v>
      </c>
      <c r="B288" s="1" t="s">
        <v>32</v>
      </c>
      <c r="C288" s="1" t="s">
        <v>13</v>
      </c>
      <c r="D288" s="1">
        <v>160.0</v>
      </c>
      <c r="E288" s="1">
        <v>40.0</v>
      </c>
      <c r="F288" s="1">
        <v>3.0</v>
      </c>
      <c r="G288" s="1">
        <v>6.0</v>
      </c>
      <c r="H288" s="1" t="s">
        <v>33</v>
      </c>
      <c r="I288" s="2">
        <v>45887.0</v>
      </c>
      <c r="J288" s="1">
        <v>550000.0</v>
      </c>
      <c r="K288" s="2">
        <v>45870.0</v>
      </c>
      <c r="L288" s="3" t="b">
        <f t="shared" si="1"/>
        <v>0</v>
      </c>
    </row>
    <row r="289">
      <c r="A289" s="1" t="s">
        <v>44</v>
      </c>
      <c r="B289" s="1" t="s">
        <v>45</v>
      </c>
      <c r="C289" s="1" t="s">
        <v>42</v>
      </c>
      <c r="D289" s="1">
        <v>45.0</v>
      </c>
      <c r="E289" s="1">
        <v>30.0</v>
      </c>
      <c r="F289" s="1">
        <v>5.0</v>
      </c>
      <c r="G289" s="1">
        <v>5.0</v>
      </c>
      <c r="H289" s="1" t="s">
        <v>43</v>
      </c>
      <c r="I289" s="2">
        <v>45801.0</v>
      </c>
      <c r="J289" s="1">
        <v>350000.0</v>
      </c>
      <c r="K289" s="2">
        <v>45778.0</v>
      </c>
      <c r="L289" s="3" t="b">
        <f t="shared" si="1"/>
        <v>0</v>
      </c>
    </row>
    <row r="290">
      <c r="A290" s="1" t="s">
        <v>19</v>
      </c>
      <c r="B290" s="1" t="s">
        <v>20</v>
      </c>
      <c r="C290" s="1" t="s">
        <v>17</v>
      </c>
      <c r="D290" s="1">
        <v>52.0</v>
      </c>
      <c r="E290" s="1">
        <v>30.0</v>
      </c>
      <c r="F290" s="1">
        <v>5.0</v>
      </c>
      <c r="G290" s="1">
        <v>5.0</v>
      </c>
      <c r="H290" s="1" t="s">
        <v>18</v>
      </c>
      <c r="I290" s="2">
        <v>46321.0</v>
      </c>
      <c r="J290" s="1">
        <v>1200000.0</v>
      </c>
      <c r="K290" s="2">
        <v>46054.0</v>
      </c>
      <c r="L290" s="3" t="b">
        <f t="shared" si="1"/>
        <v>0</v>
      </c>
    </row>
    <row r="291">
      <c r="A291" s="1" t="s">
        <v>19</v>
      </c>
      <c r="B291" s="1" t="s">
        <v>20</v>
      </c>
      <c r="C291" s="1" t="s">
        <v>17</v>
      </c>
      <c r="D291" s="1">
        <v>51.0</v>
      </c>
      <c r="E291" s="1">
        <v>30.0</v>
      </c>
      <c r="F291" s="1">
        <v>4.0</v>
      </c>
      <c r="G291" s="1">
        <v>6.0</v>
      </c>
      <c r="H291" s="1" t="s">
        <v>18</v>
      </c>
      <c r="I291" s="2">
        <v>45775.0</v>
      </c>
      <c r="J291" s="1">
        <v>1200000.0</v>
      </c>
      <c r="K291" s="2">
        <v>45748.0</v>
      </c>
      <c r="L291" s="3" t="b">
        <f t="shared" si="1"/>
        <v>0</v>
      </c>
    </row>
    <row r="292">
      <c r="A292" s="1" t="s">
        <v>11</v>
      </c>
      <c r="B292" s="1" t="s">
        <v>12</v>
      </c>
      <c r="C292" s="1" t="s">
        <v>13</v>
      </c>
      <c r="D292" s="1">
        <v>290.0</v>
      </c>
      <c r="E292" s="1">
        <v>50.0</v>
      </c>
      <c r="F292" s="1">
        <v>3.0</v>
      </c>
      <c r="G292" s="1">
        <v>6.0</v>
      </c>
      <c r="H292" s="1" t="s">
        <v>14</v>
      </c>
      <c r="I292" s="2">
        <v>45991.0</v>
      </c>
      <c r="J292" s="1">
        <v>125000.0</v>
      </c>
      <c r="K292" s="2">
        <v>45962.0</v>
      </c>
      <c r="L292" s="3" t="b">
        <f t="shared" si="1"/>
        <v>0</v>
      </c>
    </row>
    <row r="293">
      <c r="A293" s="1" t="s">
        <v>55</v>
      </c>
      <c r="B293" s="1" t="s">
        <v>56</v>
      </c>
      <c r="C293" s="1" t="s">
        <v>36</v>
      </c>
      <c r="D293" s="1">
        <v>57.0</v>
      </c>
      <c r="E293" s="1">
        <v>100.0</v>
      </c>
      <c r="F293" s="1">
        <v>15.0</v>
      </c>
      <c r="G293" s="1">
        <v>4.0</v>
      </c>
      <c r="H293" s="1" t="s">
        <v>37</v>
      </c>
      <c r="I293" s="2">
        <v>46034.0</v>
      </c>
      <c r="J293" s="1">
        <v>85000.0</v>
      </c>
      <c r="K293" s="2">
        <v>46023.0</v>
      </c>
      <c r="L293" s="3" t="b">
        <f t="shared" si="1"/>
        <v>0</v>
      </c>
    </row>
    <row r="294">
      <c r="A294" s="1" t="s">
        <v>25</v>
      </c>
      <c r="B294" s="1" t="s">
        <v>26</v>
      </c>
      <c r="C294" s="1" t="s">
        <v>17</v>
      </c>
      <c r="D294" s="1">
        <v>11.0</v>
      </c>
      <c r="E294" s="1">
        <v>25.0</v>
      </c>
      <c r="F294" s="1">
        <v>7.0</v>
      </c>
      <c r="G294" s="1">
        <v>14.0</v>
      </c>
      <c r="H294" s="1" t="s">
        <v>27</v>
      </c>
      <c r="I294" s="2">
        <v>45862.0</v>
      </c>
      <c r="J294" s="1">
        <v>4500000.0</v>
      </c>
      <c r="K294" s="2">
        <v>45839.0</v>
      </c>
      <c r="L294" s="3" t="b">
        <f t="shared" si="1"/>
        <v>0</v>
      </c>
    </row>
    <row r="295">
      <c r="A295" s="1" t="s">
        <v>40</v>
      </c>
      <c r="B295" s="1" t="s">
        <v>41</v>
      </c>
      <c r="C295" s="1" t="s">
        <v>42</v>
      </c>
      <c r="D295" s="1">
        <v>21.0</v>
      </c>
      <c r="E295" s="1">
        <v>15.0</v>
      </c>
      <c r="F295" s="1">
        <v>1.0</v>
      </c>
      <c r="G295" s="1">
        <v>9.0</v>
      </c>
      <c r="H295" s="1" t="s">
        <v>43</v>
      </c>
      <c r="I295" s="2">
        <v>45968.0</v>
      </c>
      <c r="J295" s="1">
        <v>1200000.0</v>
      </c>
      <c r="K295" s="2">
        <v>45962.0</v>
      </c>
      <c r="L295" s="3" t="b">
        <f t="shared" si="1"/>
        <v>0</v>
      </c>
    </row>
    <row r="296">
      <c r="A296" s="1" t="s">
        <v>51</v>
      </c>
      <c r="B296" s="1" t="s">
        <v>52</v>
      </c>
      <c r="C296" s="1" t="s">
        <v>36</v>
      </c>
      <c r="D296" s="1">
        <v>44.0</v>
      </c>
      <c r="E296" s="1">
        <v>60.0</v>
      </c>
      <c r="F296" s="1">
        <v>6.0</v>
      </c>
      <c r="G296" s="1">
        <v>6.0</v>
      </c>
      <c r="H296" s="1" t="s">
        <v>50</v>
      </c>
      <c r="I296" s="2">
        <v>45839.0</v>
      </c>
      <c r="J296" s="1">
        <v>175000.0</v>
      </c>
      <c r="K296" s="2">
        <v>45839.0</v>
      </c>
      <c r="L296" s="3" t="b">
        <f t="shared" si="1"/>
        <v>0</v>
      </c>
    </row>
    <row r="297">
      <c r="A297" s="1" t="s">
        <v>31</v>
      </c>
      <c r="B297" s="1" t="s">
        <v>32</v>
      </c>
      <c r="C297" s="1" t="s">
        <v>13</v>
      </c>
      <c r="D297" s="1">
        <v>127.0</v>
      </c>
      <c r="E297" s="1">
        <v>40.0</v>
      </c>
      <c r="F297" s="1">
        <v>3.0</v>
      </c>
      <c r="G297" s="1">
        <v>4.0</v>
      </c>
      <c r="H297" s="1" t="s">
        <v>33</v>
      </c>
      <c r="I297" s="2">
        <v>46001.0</v>
      </c>
      <c r="J297" s="1">
        <v>550000.0</v>
      </c>
      <c r="K297" s="2">
        <v>45992.0</v>
      </c>
      <c r="L297" s="3" t="b">
        <f t="shared" si="1"/>
        <v>0</v>
      </c>
    </row>
    <row r="298">
      <c r="A298" s="1" t="s">
        <v>48</v>
      </c>
      <c r="B298" s="1" t="s">
        <v>49</v>
      </c>
      <c r="C298" s="1" t="s">
        <v>36</v>
      </c>
      <c r="D298" s="1">
        <v>170.0</v>
      </c>
      <c r="E298" s="1">
        <v>120.0</v>
      </c>
      <c r="F298" s="1">
        <v>17.0</v>
      </c>
      <c r="G298" s="1">
        <v>3.0</v>
      </c>
      <c r="H298" s="1" t="s">
        <v>50</v>
      </c>
      <c r="I298" s="2">
        <v>45905.0</v>
      </c>
      <c r="J298" s="1">
        <v>55000.0</v>
      </c>
      <c r="K298" s="2">
        <v>45901.0</v>
      </c>
      <c r="L298" s="3" t="b">
        <f t="shared" si="1"/>
        <v>0</v>
      </c>
    </row>
    <row r="299">
      <c r="A299" s="1" t="s">
        <v>34</v>
      </c>
      <c r="B299" s="1" t="s">
        <v>35</v>
      </c>
      <c r="C299" s="1" t="s">
        <v>36</v>
      </c>
      <c r="D299" s="1">
        <v>0.0</v>
      </c>
      <c r="E299" s="1">
        <v>80.0</v>
      </c>
      <c r="F299" s="1">
        <v>18.0</v>
      </c>
      <c r="G299" s="1">
        <v>4.0</v>
      </c>
      <c r="H299" s="1" t="s">
        <v>37</v>
      </c>
      <c r="I299" s="2">
        <v>45745.0</v>
      </c>
      <c r="J299" s="1">
        <v>65000.0</v>
      </c>
      <c r="K299" s="2">
        <v>45717.0</v>
      </c>
      <c r="L299" s="3" t="b">
        <f t="shared" si="1"/>
        <v>0</v>
      </c>
    </row>
    <row r="300">
      <c r="A300" s="1" t="s">
        <v>57</v>
      </c>
      <c r="B300" s="1" t="s">
        <v>58</v>
      </c>
      <c r="C300" s="1" t="s">
        <v>42</v>
      </c>
      <c r="D300" s="1">
        <v>44.0</v>
      </c>
      <c r="E300" s="1">
        <v>25.0</v>
      </c>
      <c r="F300" s="1">
        <v>4.0</v>
      </c>
      <c r="G300" s="1">
        <v>8.0</v>
      </c>
      <c r="H300" s="1" t="s">
        <v>59</v>
      </c>
      <c r="I300" s="2">
        <v>46108.0</v>
      </c>
      <c r="J300" s="1">
        <v>450000.0</v>
      </c>
      <c r="K300" s="2">
        <v>46082.0</v>
      </c>
      <c r="L300" s="3" t="b">
        <f t="shared" si="1"/>
        <v>0</v>
      </c>
    </row>
    <row r="301">
      <c r="A301" s="1" t="s">
        <v>64</v>
      </c>
      <c r="B301" s="1" t="s">
        <v>65</v>
      </c>
      <c r="C301" s="1" t="s">
        <v>42</v>
      </c>
      <c r="D301" s="1">
        <v>27.0</v>
      </c>
      <c r="E301" s="1">
        <v>20.0</v>
      </c>
      <c r="F301" s="1">
        <v>3.0</v>
      </c>
      <c r="G301" s="1">
        <v>8.0</v>
      </c>
      <c r="H301" s="1" t="s">
        <v>59</v>
      </c>
      <c r="I301" s="2">
        <v>45976.0</v>
      </c>
      <c r="J301" s="1">
        <v>750000.0</v>
      </c>
      <c r="K301" s="2">
        <v>45962.0</v>
      </c>
      <c r="L301" s="3" t="b">
        <f t="shared" si="1"/>
        <v>0</v>
      </c>
    </row>
    <row r="302">
      <c r="A302" s="1" t="s">
        <v>40</v>
      </c>
      <c r="B302" s="1" t="s">
        <v>41</v>
      </c>
      <c r="C302" s="1" t="s">
        <v>42</v>
      </c>
      <c r="D302" s="1">
        <v>22.0</v>
      </c>
      <c r="E302" s="1">
        <v>15.0</v>
      </c>
      <c r="F302" s="1">
        <v>2.0</v>
      </c>
      <c r="G302" s="1">
        <v>5.0</v>
      </c>
      <c r="H302" s="1" t="s">
        <v>43</v>
      </c>
      <c r="I302" s="2">
        <v>45709.0</v>
      </c>
      <c r="J302" s="1">
        <v>1200000.0</v>
      </c>
      <c r="K302" s="2">
        <v>45689.0</v>
      </c>
      <c r="L302" s="3" t="b">
        <f t="shared" si="1"/>
        <v>0</v>
      </c>
    </row>
    <row r="303">
      <c r="A303" s="1" t="s">
        <v>28</v>
      </c>
      <c r="B303" s="1" t="s">
        <v>29</v>
      </c>
      <c r="C303" s="1" t="s">
        <v>23</v>
      </c>
      <c r="D303" s="1">
        <v>18.0</v>
      </c>
      <c r="E303" s="1">
        <v>35.0</v>
      </c>
      <c r="F303" s="1">
        <v>5.0</v>
      </c>
      <c r="G303" s="1">
        <v>4.0</v>
      </c>
      <c r="H303" s="1" t="s">
        <v>30</v>
      </c>
      <c r="I303" s="2">
        <v>45949.0</v>
      </c>
      <c r="J303" s="1">
        <v>1250000.0</v>
      </c>
      <c r="K303" s="2">
        <v>45931.0</v>
      </c>
      <c r="L303" s="3" t="b">
        <f t="shared" si="1"/>
        <v>0</v>
      </c>
    </row>
    <row r="304">
      <c r="A304" s="1" t="s">
        <v>38</v>
      </c>
      <c r="B304" s="1" t="s">
        <v>39</v>
      </c>
      <c r="C304" s="1" t="s">
        <v>23</v>
      </c>
      <c r="D304" s="1">
        <v>17.0</v>
      </c>
      <c r="E304" s="1">
        <v>45.0</v>
      </c>
      <c r="F304" s="1">
        <v>8.0</v>
      </c>
      <c r="G304" s="1">
        <v>4.0</v>
      </c>
      <c r="H304" s="1" t="s">
        <v>24</v>
      </c>
      <c r="I304" s="2">
        <v>46050.0</v>
      </c>
      <c r="J304" s="1">
        <v>450000.0</v>
      </c>
      <c r="K304" s="2">
        <v>46023.0</v>
      </c>
      <c r="L304" s="3" t="b">
        <f t="shared" si="1"/>
        <v>0</v>
      </c>
    </row>
    <row r="305">
      <c r="A305" s="1" t="s">
        <v>53</v>
      </c>
      <c r="B305" s="1" t="s">
        <v>54</v>
      </c>
      <c r="C305" s="1" t="s">
        <v>13</v>
      </c>
      <c r="D305" s="1">
        <v>273.0</v>
      </c>
      <c r="E305" s="1">
        <v>60.0</v>
      </c>
      <c r="F305" s="1">
        <v>1.0</v>
      </c>
      <c r="G305" s="1">
        <v>4.0</v>
      </c>
      <c r="H305" s="1" t="s">
        <v>14</v>
      </c>
      <c r="I305" s="2">
        <v>45806.0</v>
      </c>
      <c r="J305" s="1">
        <v>165000.0</v>
      </c>
      <c r="K305" s="2">
        <v>45778.0</v>
      </c>
      <c r="L305" s="3" t="b">
        <f t="shared" si="1"/>
        <v>0</v>
      </c>
    </row>
    <row r="306">
      <c r="A306" s="1" t="s">
        <v>64</v>
      </c>
      <c r="B306" s="1" t="s">
        <v>65</v>
      </c>
      <c r="C306" s="1" t="s">
        <v>42</v>
      </c>
      <c r="D306" s="1">
        <v>40.0</v>
      </c>
      <c r="E306" s="1">
        <v>20.0</v>
      </c>
      <c r="F306" s="1">
        <v>1.0</v>
      </c>
      <c r="G306" s="1">
        <v>7.0</v>
      </c>
      <c r="H306" s="1" t="s">
        <v>59</v>
      </c>
      <c r="I306" s="2">
        <v>45693.0</v>
      </c>
      <c r="J306" s="1">
        <v>750000.0</v>
      </c>
      <c r="K306" s="2">
        <v>45689.0</v>
      </c>
      <c r="L306" s="3" t="b">
        <f t="shared" si="1"/>
        <v>0</v>
      </c>
    </row>
    <row r="307">
      <c r="A307" s="1" t="s">
        <v>38</v>
      </c>
      <c r="B307" s="1" t="s">
        <v>39</v>
      </c>
      <c r="C307" s="1" t="s">
        <v>23</v>
      </c>
      <c r="D307" s="1">
        <v>17.0</v>
      </c>
      <c r="E307" s="1">
        <v>45.0</v>
      </c>
      <c r="F307" s="1">
        <v>8.0</v>
      </c>
      <c r="G307" s="1">
        <v>4.0</v>
      </c>
      <c r="H307" s="1" t="s">
        <v>24</v>
      </c>
      <c r="I307" s="2">
        <v>46050.0</v>
      </c>
      <c r="J307" s="1">
        <v>450000.0</v>
      </c>
      <c r="K307" s="2">
        <v>46023.0</v>
      </c>
      <c r="L307" s="3" t="b">
        <f t="shared" si="1"/>
        <v>0</v>
      </c>
    </row>
    <row r="308">
      <c r="A308" s="1" t="s">
        <v>25</v>
      </c>
      <c r="B308" s="1" t="s">
        <v>26</v>
      </c>
      <c r="C308" s="1" t="s">
        <v>17</v>
      </c>
      <c r="D308" s="1">
        <v>5.0</v>
      </c>
      <c r="E308" s="1">
        <v>25.0</v>
      </c>
      <c r="F308" s="1">
        <v>7.0</v>
      </c>
      <c r="G308" s="1">
        <v>19.0</v>
      </c>
      <c r="H308" s="1" t="s">
        <v>27</v>
      </c>
      <c r="I308" s="2">
        <v>45837.0</v>
      </c>
      <c r="J308" s="1">
        <v>4500000.0</v>
      </c>
      <c r="K308" s="2">
        <v>45809.0</v>
      </c>
      <c r="L308" s="3" t="b">
        <f t="shared" si="1"/>
        <v>0</v>
      </c>
    </row>
    <row r="309">
      <c r="A309" s="1" t="s">
        <v>31</v>
      </c>
      <c r="B309" s="1" t="s">
        <v>32</v>
      </c>
      <c r="C309" s="1" t="s">
        <v>13</v>
      </c>
      <c r="D309" s="1">
        <v>129.0</v>
      </c>
      <c r="E309" s="1">
        <v>40.0</v>
      </c>
      <c r="F309" s="1">
        <v>4.0</v>
      </c>
      <c r="G309" s="1">
        <v>6.0</v>
      </c>
      <c r="H309" s="1" t="s">
        <v>33</v>
      </c>
      <c r="I309" s="2">
        <v>45916.0</v>
      </c>
      <c r="J309" s="1">
        <v>550000.0</v>
      </c>
      <c r="K309" s="2">
        <v>45901.0</v>
      </c>
      <c r="L309" s="3" t="b">
        <f t="shared" si="1"/>
        <v>0</v>
      </c>
    </row>
    <row r="310">
      <c r="A310" s="1" t="s">
        <v>21</v>
      </c>
      <c r="B310" s="1" t="s">
        <v>22</v>
      </c>
      <c r="C310" s="1" t="s">
        <v>23</v>
      </c>
      <c r="D310" s="1">
        <v>0.0</v>
      </c>
      <c r="E310" s="1">
        <v>50.0</v>
      </c>
      <c r="F310" s="1">
        <v>14.0</v>
      </c>
      <c r="G310" s="1">
        <v>7.0</v>
      </c>
      <c r="H310" s="1" t="s">
        <v>24</v>
      </c>
      <c r="I310" s="2">
        <v>46014.0</v>
      </c>
      <c r="J310" s="1">
        <v>350000.0</v>
      </c>
      <c r="K310" s="2">
        <v>45992.0</v>
      </c>
      <c r="L310" s="3" t="b">
        <f t="shared" si="1"/>
        <v>0</v>
      </c>
    </row>
    <row r="311">
      <c r="A311" s="1" t="s">
        <v>46</v>
      </c>
      <c r="B311" s="1" t="s">
        <v>47</v>
      </c>
      <c r="C311" s="1" t="s">
        <v>23</v>
      </c>
      <c r="D311" s="1">
        <v>9.0</v>
      </c>
      <c r="E311" s="1">
        <v>40.0</v>
      </c>
      <c r="F311" s="1">
        <v>5.0</v>
      </c>
      <c r="G311" s="1">
        <v>8.0</v>
      </c>
      <c r="H311" s="1" t="s">
        <v>30</v>
      </c>
      <c r="I311" s="2">
        <v>45698.0</v>
      </c>
      <c r="J311" s="1">
        <v>550000.0</v>
      </c>
      <c r="K311" s="2">
        <v>45689.0</v>
      </c>
      <c r="L311" s="3" t="b">
        <f t="shared" si="1"/>
        <v>0</v>
      </c>
    </row>
    <row r="312">
      <c r="A312" s="1" t="s">
        <v>51</v>
      </c>
      <c r="B312" s="1" t="s">
        <v>52</v>
      </c>
      <c r="C312" s="1" t="s">
        <v>36</v>
      </c>
      <c r="D312" s="1">
        <v>20.0</v>
      </c>
      <c r="E312" s="1">
        <v>60.0</v>
      </c>
      <c r="F312" s="1">
        <v>9.0</v>
      </c>
      <c r="G312" s="1">
        <v>5.0</v>
      </c>
      <c r="H312" s="1" t="s">
        <v>50</v>
      </c>
      <c r="I312" s="2">
        <v>45687.0</v>
      </c>
      <c r="J312" s="1">
        <v>175000.0</v>
      </c>
      <c r="K312" s="2">
        <v>45658.0</v>
      </c>
      <c r="L312" s="3" t="b">
        <f t="shared" si="1"/>
        <v>0</v>
      </c>
    </row>
    <row r="313">
      <c r="A313" s="1" t="s">
        <v>28</v>
      </c>
      <c r="B313" s="1" t="s">
        <v>29</v>
      </c>
      <c r="C313" s="1" t="s">
        <v>23</v>
      </c>
      <c r="D313" s="1">
        <v>16.0</v>
      </c>
      <c r="E313" s="1">
        <v>35.0</v>
      </c>
      <c r="F313" s="1">
        <v>7.0</v>
      </c>
      <c r="G313" s="1">
        <v>5.0</v>
      </c>
      <c r="H313" s="1" t="s">
        <v>30</v>
      </c>
      <c r="I313" s="2">
        <v>46024.0</v>
      </c>
      <c r="J313" s="1">
        <v>1250000.0</v>
      </c>
      <c r="K313" s="2">
        <v>46023.0</v>
      </c>
      <c r="L313" s="3" t="b">
        <f t="shared" si="1"/>
        <v>0</v>
      </c>
    </row>
  </sheetData>
  <conditionalFormatting sqref="A2:K313">
    <cfRule type="expression" dxfId="2" priority="1">
      <formula>COUNTBLANK($A2:$K2) &gt; 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</row>
    <row r="3" hidden="1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</row>
    <row r="4" hidden="1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</row>
    <row r="5" hidden="1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</row>
    <row r="6" hidden="1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</row>
    <row r="7" hidden="1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</row>
    <row r="8" hidden="1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</row>
    <row r="9" hidden="1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</row>
    <row r="10" hidden="1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</row>
    <row r="11" hidden="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</row>
    <row r="12" hidden="1">
      <c r="A12" s="1" t="s">
        <v>38</v>
      </c>
      <c r="B12" s="1" t="s">
        <v>39</v>
      </c>
      <c r="C12" s="1" t="s">
        <v>23</v>
      </c>
      <c r="D12" s="1">
        <v>-28.0</v>
      </c>
      <c r="E12" s="1">
        <v>45.0</v>
      </c>
      <c r="F12" s="1">
        <v>7.0</v>
      </c>
      <c r="G12" s="1">
        <v>5.0</v>
      </c>
      <c r="H12" s="1" t="s">
        <v>24</v>
      </c>
      <c r="I12" s="2">
        <v>45664.0</v>
      </c>
      <c r="J12" s="1">
        <v>450000.0</v>
      </c>
      <c r="K12" s="2">
        <v>45658.0</v>
      </c>
    </row>
    <row r="13" hidden="1">
      <c r="A13" s="1" t="s">
        <v>40</v>
      </c>
      <c r="B13" s="1" t="s">
        <v>41</v>
      </c>
      <c r="C13" s="1" t="s">
        <v>42</v>
      </c>
      <c r="D13" s="1">
        <v>-18.0</v>
      </c>
      <c r="E13" s="1">
        <v>15.0</v>
      </c>
      <c r="F13" s="1">
        <v>4.0</v>
      </c>
      <c r="G13" s="1">
        <v>6.0</v>
      </c>
      <c r="H13" s="1" t="s">
        <v>43</v>
      </c>
      <c r="I13" s="2">
        <v>46099.0</v>
      </c>
      <c r="J13" s="1">
        <v>1200000.0</v>
      </c>
      <c r="K13" s="2">
        <v>46082.0</v>
      </c>
    </row>
    <row r="14" hidden="1">
      <c r="A14" s="1" t="s">
        <v>44</v>
      </c>
      <c r="B14" s="1" t="s">
        <v>45</v>
      </c>
      <c r="C14" s="1" t="s">
        <v>42</v>
      </c>
      <c r="D14" s="1">
        <v>54.0</v>
      </c>
      <c r="E14" s="1">
        <v>30.0</v>
      </c>
      <c r="F14" s="1">
        <v>6.0</v>
      </c>
      <c r="G14" s="1">
        <v>8.0</v>
      </c>
      <c r="H14" s="1" t="s">
        <v>43</v>
      </c>
      <c r="I14" s="2">
        <v>45983.0</v>
      </c>
      <c r="J14" s="1">
        <v>350000.0</v>
      </c>
      <c r="K14" s="2">
        <v>45962.0</v>
      </c>
    </row>
    <row r="15" hidden="1">
      <c r="A15" s="1" t="s">
        <v>46</v>
      </c>
      <c r="B15" s="1" t="s">
        <v>47</v>
      </c>
      <c r="C15" s="1" t="s">
        <v>23</v>
      </c>
      <c r="D15" s="1">
        <v>0.0</v>
      </c>
      <c r="E15" s="1">
        <v>40.0</v>
      </c>
      <c r="F15" s="1">
        <v>7.0</v>
      </c>
      <c r="G15" s="1">
        <v>4.0</v>
      </c>
      <c r="H15" s="1" t="s">
        <v>30</v>
      </c>
      <c r="I15" s="2">
        <v>45761.0</v>
      </c>
      <c r="J15" s="1">
        <v>550000.0</v>
      </c>
      <c r="K15" s="2">
        <v>45748.0</v>
      </c>
    </row>
    <row r="16" hidden="1">
      <c r="A16" s="1" t="s">
        <v>44</v>
      </c>
      <c r="B16" s="1" t="s">
        <v>45</v>
      </c>
      <c r="C16" s="1" t="s">
        <v>42</v>
      </c>
      <c r="D16" s="1">
        <v>41.0</v>
      </c>
      <c r="E16" s="1">
        <v>30.0</v>
      </c>
      <c r="F16" s="1">
        <v>4.0</v>
      </c>
      <c r="G16" s="1">
        <v>10.0</v>
      </c>
      <c r="H16" s="1" t="s">
        <v>43</v>
      </c>
      <c r="I16" s="2">
        <v>45930.0</v>
      </c>
      <c r="J16" s="1">
        <v>350000.0</v>
      </c>
      <c r="K16" s="2">
        <v>45901.0</v>
      </c>
    </row>
    <row r="17" hidden="1">
      <c r="A17" s="1" t="s">
        <v>48</v>
      </c>
      <c r="B17" s="1" t="s">
        <v>49</v>
      </c>
      <c r="C17" s="1" t="s">
        <v>36</v>
      </c>
      <c r="D17" s="1">
        <v>33.0</v>
      </c>
      <c r="E17" s="1">
        <v>120.0</v>
      </c>
      <c r="F17" s="1">
        <v>18.0</v>
      </c>
      <c r="G17" s="1">
        <v>7.0</v>
      </c>
      <c r="H17" s="1" t="s">
        <v>50</v>
      </c>
      <c r="I17" s="2">
        <v>45878.0</v>
      </c>
      <c r="J17" s="1">
        <v>55000.0</v>
      </c>
      <c r="K17" s="2">
        <v>45870.0</v>
      </c>
    </row>
    <row r="18" hidden="1">
      <c r="A18" s="1" t="s">
        <v>15</v>
      </c>
      <c r="B18" s="1" t="s">
        <v>16</v>
      </c>
      <c r="C18" s="1" t="s">
        <v>17</v>
      </c>
      <c r="D18" s="1">
        <v>26.0</v>
      </c>
      <c r="E18" s="1">
        <v>15.0</v>
      </c>
      <c r="F18" s="1">
        <v>3.0</v>
      </c>
      <c r="G18" s="1">
        <v>8.0</v>
      </c>
      <c r="H18" s="1" t="s">
        <v>18</v>
      </c>
      <c r="I18" s="2">
        <v>45816.0</v>
      </c>
      <c r="J18" s="1">
        <v>8500000.0</v>
      </c>
      <c r="K18" s="2">
        <v>45809.0</v>
      </c>
    </row>
    <row r="19" hidden="1">
      <c r="A19" s="1" t="s">
        <v>11</v>
      </c>
      <c r="B19" s="1" t="s">
        <v>12</v>
      </c>
      <c r="C19" s="1" t="s">
        <v>13</v>
      </c>
      <c r="D19" s="1">
        <v>139.0</v>
      </c>
      <c r="E19" s="1">
        <v>50.0</v>
      </c>
      <c r="F19" s="1">
        <v>1.0</v>
      </c>
      <c r="G19" s="1">
        <v>7.0</v>
      </c>
      <c r="H19" s="1" t="s">
        <v>14</v>
      </c>
      <c r="I19" s="2">
        <v>46317.0</v>
      </c>
      <c r="J19" s="1">
        <v>125000.0</v>
      </c>
      <c r="K19" s="2">
        <v>45839.0</v>
      </c>
    </row>
    <row r="20" hidden="1">
      <c r="A20" s="1" t="s">
        <v>44</v>
      </c>
      <c r="B20" s="1" t="s">
        <v>45</v>
      </c>
      <c r="C20" s="1" t="s">
        <v>42</v>
      </c>
      <c r="D20" s="1">
        <v>49.0</v>
      </c>
      <c r="E20" s="1">
        <v>30.0</v>
      </c>
      <c r="F20" s="1">
        <v>6.0</v>
      </c>
      <c r="G20" s="1">
        <v>9.0</v>
      </c>
      <c r="H20" s="1" t="s">
        <v>43</v>
      </c>
      <c r="I20" s="2">
        <v>45669.0</v>
      </c>
      <c r="J20" s="1">
        <v>350000.0</v>
      </c>
      <c r="K20" s="2">
        <v>45658.0</v>
      </c>
    </row>
    <row r="21" hidden="1">
      <c r="A21" s="1" t="s">
        <v>48</v>
      </c>
      <c r="B21" s="1" t="s">
        <v>49</v>
      </c>
      <c r="C21" s="1" t="s">
        <v>36</v>
      </c>
      <c r="D21" s="1">
        <v>0.0</v>
      </c>
      <c r="E21" s="1">
        <v>120.0</v>
      </c>
      <c r="F21" s="1">
        <v>27.0</v>
      </c>
      <c r="G21" s="1">
        <v>7.0</v>
      </c>
      <c r="H21" s="1" t="s">
        <v>50</v>
      </c>
      <c r="I21" s="2">
        <v>46010.0</v>
      </c>
      <c r="J21" s="1">
        <v>55000.0</v>
      </c>
      <c r="K21" s="2">
        <v>45992.0</v>
      </c>
    </row>
    <row r="22" hidden="1">
      <c r="A22" s="1" t="s">
        <v>21</v>
      </c>
      <c r="B22" s="1" t="s">
        <v>22</v>
      </c>
      <c r="C22" s="1" t="s">
        <v>23</v>
      </c>
      <c r="D22" s="1">
        <v>14.0</v>
      </c>
      <c r="E22" s="1">
        <v>50.0</v>
      </c>
      <c r="F22" s="1">
        <v>11.0</v>
      </c>
      <c r="G22" s="1">
        <v>4.0</v>
      </c>
      <c r="H22" s="1" t="s">
        <v>24</v>
      </c>
      <c r="I22" s="2">
        <v>46062.0</v>
      </c>
      <c r="J22" s="1">
        <v>350000.0</v>
      </c>
      <c r="K22" s="2">
        <v>46054.0</v>
      </c>
    </row>
    <row r="23" hidden="1">
      <c r="A23" s="1" t="s">
        <v>51</v>
      </c>
      <c r="B23" s="1" t="s">
        <v>52</v>
      </c>
      <c r="C23" s="1" t="s">
        <v>36</v>
      </c>
      <c r="D23" s="1">
        <v>0.0</v>
      </c>
      <c r="E23" s="1">
        <v>60.0</v>
      </c>
      <c r="F23" s="1">
        <v>13.0</v>
      </c>
      <c r="G23" s="1">
        <v>4.0</v>
      </c>
      <c r="H23" s="1" t="s">
        <v>50</v>
      </c>
      <c r="I23" s="2">
        <v>46004.0</v>
      </c>
      <c r="J23" s="1">
        <v>175000.0</v>
      </c>
      <c r="K23" s="2">
        <v>45992.0</v>
      </c>
    </row>
    <row r="24" hidden="1">
      <c r="A24" s="1" t="s">
        <v>53</v>
      </c>
      <c r="B24" s="1" t="s">
        <v>54</v>
      </c>
      <c r="C24" s="1" t="s">
        <v>13</v>
      </c>
      <c r="D24" s="1">
        <v>191.0</v>
      </c>
      <c r="E24" s="1">
        <v>60.0</v>
      </c>
      <c r="F24" s="1">
        <v>3.0</v>
      </c>
      <c r="G24" s="1">
        <v>8.0</v>
      </c>
      <c r="H24" s="1" t="s">
        <v>14</v>
      </c>
      <c r="I24" s="2">
        <v>45944.0</v>
      </c>
      <c r="J24" s="1">
        <v>165000.0</v>
      </c>
      <c r="K24" s="2">
        <v>45931.0</v>
      </c>
    </row>
    <row r="25" hidden="1">
      <c r="A25" s="1" t="s">
        <v>55</v>
      </c>
      <c r="B25" s="1" t="s">
        <v>56</v>
      </c>
      <c r="C25" s="1" t="s">
        <v>36</v>
      </c>
      <c r="D25" s="1">
        <v>0.0</v>
      </c>
      <c r="E25" s="1">
        <v>100.0</v>
      </c>
      <c r="F25" s="1">
        <v>24.0</v>
      </c>
      <c r="G25" s="1">
        <v>4.0</v>
      </c>
      <c r="H25" s="1" t="s">
        <v>37</v>
      </c>
      <c r="I25" s="2">
        <v>45747.0</v>
      </c>
      <c r="J25" s="1">
        <v>85000.0</v>
      </c>
      <c r="K25" s="2">
        <v>45717.0</v>
      </c>
    </row>
    <row r="26" hidden="1">
      <c r="A26" s="1" t="s">
        <v>38</v>
      </c>
      <c r="B26" s="1" t="s">
        <v>39</v>
      </c>
      <c r="C26" s="1" t="s">
        <v>23</v>
      </c>
      <c r="D26" s="1">
        <v>23.0</v>
      </c>
      <c r="E26" s="1">
        <v>45.0</v>
      </c>
      <c r="F26" s="1">
        <v>6.0</v>
      </c>
      <c r="G26" s="1">
        <v>6.0</v>
      </c>
      <c r="H26" s="1" t="s">
        <v>24</v>
      </c>
      <c r="I26" s="2">
        <v>45697.0</v>
      </c>
      <c r="J26" s="1">
        <v>450000.0</v>
      </c>
      <c r="K26" s="2">
        <v>45689.0</v>
      </c>
    </row>
    <row r="27" hidden="1">
      <c r="A27" s="1" t="s">
        <v>57</v>
      </c>
      <c r="B27" s="1" t="s">
        <v>58</v>
      </c>
      <c r="C27" s="1" t="s">
        <v>42</v>
      </c>
      <c r="D27" s="1">
        <v>50.0</v>
      </c>
      <c r="E27" s="1">
        <v>25.0</v>
      </c>
      <c r="F27" s="1">
        <v>3.0</v>
      </c>
      <c r="G27" s="1">
        <v>7.0</v>
      </c>
      <c r="H27" s="1" t="s">
        <v>59</v>
      </c>
      <c r="I27" s="2">
        <v>45920.0</v>
      </c>
      <c r="J27" s="1">
        <v>450000.0</v>
      </c>
      <c r="K27" s="2">
        <v>45901.0</v>
      </c>
    </row>
    <row r="28" hidden="1">
      <c r="A28" s="1" t="s">
        <v>57</v>
      </c>
      <c r="B28" s="1" t="s">
        <v>58</v>
      </c>
      <c r="C28" s="1" t="s">
        <v>42</v>
      </c>
      <c r="D28" s="1">
        <v>42.0</v>
      </c>
      <c r="E28" s="1">
        <v>25.0</v>
      </c>
      <c r="F28" s="1">
        <v>3.0</v>
      </c>
      <c r="G28" s="1">
        <v>8.0</v>
      </c>
      <c r="H28" s="1" t="s">
        <v>59</v>
      </c>
      <c r="I28" s="2">
        <v>46078.0</v>
      </c>
      <c r="J28" s="1">
        <v>450000.0</v>
      </c>
      <c r="K28" s="2">
        <v>46054.0</v>
      </c>
    </row>
    <row r="29" hidden="1">
      <c r="A29" s="1" t="s">
        <v>60</v>
      </c>
      <c r="B29" s="1" t="s">
        <v>61</v>
      </c>
      <c r="C29" s="1" t="s">
        <v>17</v>
      </c>
      <c r="D29" s="1">
        <v>-8.0</v>
      </c>
      <c r="E29" s="1">
        <v>20.0</v>
      </c>
      <c r="F29" s="1">
        <v>2.0</v>
      </c>
      <c r="G29" s="1">
        <v>9.0</v>
      </c>
      <c r="H29" s="1" t="s">
        <v>27</v>
      </c>
      <c r="I29" s="2">
        <v>45750.0</v>
      </c>
      <c r="J29" s="1">
        <v>3200000.0</v>
      </c>
      <c r="K29" s="2">
        <v>45748.0</v>
      </c>
    </row>
    <row r="30" hidden="1">
      <c r="A30" s="1" t="s">
        <v>51</v>
      </c>
      <c r="B30" s="1" t="s">
        <v>52</v>
      </c>
      <c r="C30" s="1" t="s">
        <v>36</v>
      </c>
      <c r="D30" s="1">
        <v>31.0</v>
      </c>
      <c r="E30" s="1">
        <v>60.0</v>
      </c>
      <c r="F30" s="1">
        <v>8.0</v>
      </c>
      <c r="G30" s="1">
        <v>7.0</v>
      </c>
      <c r="H30" s="1" t="s">
        <v>50</v>
      </c>
      <c r="I30" s="2">
        <v>45880.0</v>
      </c>
      <c r="J30" s="1">
        <v>175000.0</v>
      </c>
      <c r="K30" s="2">
        <v>45870.0</v>
      </c>
    </row>
    <row r="31" hidden="1">
      <c r="A31" s="1" t="s">
        <v>48</v>
      </c>
      <c r="B31" s="1" t="s">
        <v>49</v>
      </c>
      <c r="C31" s="1" t="s">
        <v>36</v>
      </c>
      <c r="D31" s="1">
        <v>38.0</v>
      </c>
      <c r="E31" s="1">
        <v>120.0</v>
      </c>
      <c r="F31" s="1">
        <v>17.0</v>
      </c>
      <c r="G31" s="1">
        <v>4.0</v>
      </c>
      <c r="H31" s="1" t="s">
        <v>50</v>
      </c>
      <c r="I31" s="2">
        <v>45864.0</v>
      </c>
      <c r="J31" s="1">
        <v>55000.0</v>
      </c>
      <c r="K31" s="2">
        <v>45839.0</v>
      </c>
    </row>
    <row r="32" hidden="1">
      <c r="A32" s="1" t="s">
        <v>11</v>
      </c>
      <c r="B32" s="1" t="s">
        <v>12</v>
      </c>
      <c r="C32" s="1" t="s">
        <v>13</v>
      </c>
      <c r="D32" s="1">
        <v>217.0</v>
      </c>
      <c r="E32" s="1">
        <v>50.0</v>
      </c>
      <c r="F32" s="1">
        <v>3.0</v>
      </c>
      <c r="G32" s="1">
        <v>7.0</v>
      </c>
      <c r="H32" s="1" t="s">
        <v>14</v>
      </c>
      <c r="I32" s="2">
        <v>46111.0</v>
      </c>
      <c r="J32" s="1">
        <v>125000.0</v>
      </c>
      <c r="K32" s="2">
        <v>46082.0</v>
      </c>
    </row>
    <row r="33" hidden="1">
      <c r="A33" s="1" t="s">
        <v>15</v>
      </c>
      <c r="B33" s="1" t="s">
        <v>16</v>
      </c>
      <c r="C33" s="1" t="s">
        <v>17</v>
      </c>
      <c r="D33" s="1">
        <v>11.0</v>
      </c>
      <c r="E33" s="1">
        <v>15.0</v>
      </c>
      <c r="F33" s="1">
        <v>1.0</v>
      </c>
      <c r="G33" s="1">
        <v>5.0</v>
      </c>
      <c r="H33" s="1" t="s">
        <v>18</v>
      </c>
      <c r="I33" s="2">
        <v>45754.0</v>
      </c>
      <c r="J33" s="1">
        <v>8500000.0</v>
      </c>
      <c r="K33" s="2">
        <v>45748.0</v>
      </c>
    </row>
    <row r="34" hidden="1">
      <c r="A34" s="1" t="s">
        <v>38</v>
      </c>
      <c r="B34" s="1" t="s">
        <v>39</v>
      </c>
      <c r="C34" s="1" t="s">
        <v>23</v>
      </c>
      <c r="D34" s="1">
        <v>36.0</v>
      </c>
      <c r="E34" s="1">
        <v>45.0</v>
      </c>
      <c r="F34" s="1">
        <v>7.0</v>
      </c>
      <c r="G34" s="1">
        <v>4.0</v>
      </c>
      <c r="H34" s="1" t="s">
        <v>24</v>
      </c>
      <c r="I34" s="2">
        <v>45883.0</v>
      </c>
      <c r="J34" s="1">
        <v>450000.0</v>
      </c>
      <c r="K34" s="2">
        <v>45870.0</v>
      </c>
    </row>
    <row r="35" hidden="1">
      <c r="A35" s="1" t="s">
        <v>48</v>
      </c>
      <c r="B35" s="1" t="s">
        <v>49</v>
      </c>
      <c r="C35" s="1" t="s">
        <v>36</v>
      </c>
      <c r="D35" s="1">
        <v>0.0</v>
      </c>
      <c r="E35" s="1">
        <v>120.0</v>
      </c>
      <c r="F35" s="1">
        <v>28.0</v>
      </c>
      <c r="G35" s="1">
        <v>6.0</v>
      </c>
      <c r="H35" s="1" t="s">
        <v>50</v>
      </c>
      <c r="I35" s="2">
        <v>45725.0</v>
      </c>
      <c r="J35" s="1">
        <v>55000.0</v>
      </c>
      <c r="K35" s="2">
        <v>45717.0</v>
      </c>
    </row>
    <row r="36" hidden="1">
      <c r="A36" s="1" t="s">
        <v>55</v>
      </c>
      <c r="B36" s="1" t="s">
        <v>56</v>
      </c>
      <c r="C36" s="1" t="s">
        <v>36</v>
      </c>
      <c r="D36" s="1">
        <v>-18.0</v>
      </c>
      <c r="E36" s="1">
        <v>100.0</v>
      </c>
      <c r="F36" s="1">
        <v>21.0</v>
      </c>
      <c r="G36" s="1">
        <v>3.0</v>
      </c>
      <c r="H36" s="1" t="s">
        <v>37</v>
      </c>
      <c r="I36" s="2">
        <v>46006.0</v>
      </c>
      <c r="J36" s="1">
        <v>85000.0</v>
      </c>
      <c r="K36" s="2">
        <v>45992.0</v>
      </c>
    </row>
    <row r="37" hidden="1">
      <c r="A37" s="1" t="s">
        <v>62</v>
      </c>
      <c r="B37" s="1" t="s">
        <v>63</v>
      </c>
      <c r="C37" s="1" t="s">
        <v>13</v>
      </c>
      <c r="D37" s="1">
        <v>375.0</v>
      </c>
      <c r="E37" s="1">
        <v>80.0</v>
      </c>
      <c r="F37" s="1">
        <v>5.0</v>
      </c>
      <c r="G37" s="1">
        <v>6.0</v>
      </c>
      <c r="H37" s="1" t="s">
        <v>33</v>
      </c>
      <c r="I37" s="2">
        <v>45737.0</v>
      </c>
      <c r="J37" s="1">
        <v>85000.0</v>
      </c>
      <c r="K37" s="2">
        <v>45717.0</v>
      </c>
    </row>
    <row r="38" hidden="1">
      <c r="A38" s="1" t="s">
        <v>19</v>
      </c>
      <c r="B38" s="1" t="s">
        <v>20</v>
      </c>
      <c r="C38" s="1" t="s">
        <v>17</v>
      </c>
      <c r="D38" s="1">
        <v>24.0</v>
      </c>
      <c r="E38" s="1">
        <v>30.0</v>
      </c>
      <c r="F38" s="1">
        <v>4.0</v>
      </c>
      <c r="G38" s="1">
        <v>5.0</v>
      </c>
      <c r="H38" s="1" t="s">
        <v>18</v>
      </c>
      <c r="I38" s="2">
        <v>45670.0</v>
      </c>
      <c r="J38" s="1">
        <v>1200000.0</v>
      </c>
      <c r="K38" s="2">
        <v>45658.0</v>
      </c>
    </row>
    <row r="39" hidden="1">
      <c r="A39" s="1" t="s">
        <v>25</v>
      </c>
      <c r="B39" s="1" t="s">
        <v>26</v>
      </c>
      <c r="C39" s="1" t="s">
        <v>17</v>
      </c>
      <c r="D39" s="1">
        <v>22.0</v>
      </c>
      <c r="E39" s="1">
        <v>25.0</v>
      </c>
      <c r="F39" s="1">
        <v>5.0</v>
      </c>
      <c r="G39" s="1">
        <v>14.0</v>
      </c>
      <c r="H39" s="1" t="s">
        <v>27</v>
      </c>
      <c r="I39" s="2">
        <v>45722.0</v>
      </c>
      <c r="J39" s="1">
        <v>4500000.0</v>
      </c>
      <c r="K39" s="2">
        <v>45717.0</v>
      </c>
    </row>
    <row r="40" hidden="1">
      <c r="A40" s="1" t="s">
        <v>44</v>
      </c>
      <c r="B40" s="1" t="s">
        <v>45</v>
      </c>
      <c r="C40" s="1" t="s">
        <v>42</v>
      </c>
      <c r="D40" s="1">
        <v>59.0</v>
      </c>
      <c r="E40" s="1">
        <v>30.0</v>
      </c>
      <c r="F40" s="1">
        <v>3.0</v>
      </c>
      <c r="G40" s="1">
        <v>6.0</v>
      </c>
      <c r="H40" s="1" t="s">
        <v>43</v>
      </c>
      <c r="I40" s="2">
        <v>45880.0</v>
      </c>
      <c r="J40" s="1">
        <v>350000.0</v>
      </c>
      <c r="K40" s="2">
        <v>45870.0</v>
      </c>
    </row>
    <row r="41" hidden="1">
      <c r="A41" s="1" t="s">
        <v>57</v>
      </c>
      <c r="B41" s="1" t="s">
        <v>58</v>
      </c>
      <c r="C41" s="1" t="s">
        <v>42</v>
      </c>
      <c r="D41" s="1">
        <v>22.0</v>
      </c>
      <c r="E41" s="1">
        <v>25.0</v>
      </c>
      <c r="F41" s="1">
        <v>2.0</v>
      </c>
      <c r="G41" s="1">
        <v>6.0</v>
      </c>
      <c r="H41" s="1" t="s">
        <v>59</v>
      </c>
      <c r="I41" s="2">
        <v>46000.0</v>
      </c>
      <c r="J41" s="1">
        <v>450000.0</v>
      </c>
      <c r="K41" s="2">
        <v>45992.0</v>
      </c>
    </row>
    <row r="42" hidden="1">
      <c r="A42" s="1" t="s">
        <v>60</v>
      </c>
      <c r="B42" s="1" t="s">
        <v>61</v>
      </c>
      <c r="C42" s="1" t="s">
        <v>17</v>
      </c>
      <c r="D42" s="1">
        <v>30.0</v>
      </c>
      <c r="E42" s="1">
        <v>20.0</v>
      </c>
      <c r="F42" s="1">
        <v>1.0</v>
      </c>
      <c r="G42" s="1">
        <v>14.0</v>
      </c>
      <c r="H42" s="1" t="s">
        <v>27</v>
      </c>
      <c r="I42" s="2">
        <v>46048.0</v>
      </c>
      <c r="J42" s="1">
        <v>3200000.0</v>
      </c>
      <c r="K42" s="2">
        <v>46023.0</v>
      </c>
    </row>
    <row r="43" hidden="1">
      <c r="A43" s="1" t="s">
        <v>25</v>
      </c>
      <c r="B43" s="1" t="s">
        <v>26</v>
      </c>
      <c r="C43" s="1" t="s">
        <v>17</v>
      </c>
      <c r="D43" s="1">
        <v>2.0</v>
      </c>
      <c r="E43" s="1">
        <v>25.0</v>
      </c>
      <c r="F43" s="1">
        <v>3.0</v>
      </c>
      <c r="G43" s="1">
        <v>20.0</v>
      </c>
      <c r="H43" s="1" t="s">
        <v>27</v>
      </c>
      <c r="I43" s="2">
        <v>45950.0</v>
      </c>
      <c r="J43" s="1">
        <v>4500000.0</v>
      </c>
      <c r="K43" s="2">
        <v>45931.0</v>
      </c>
    </row>
    <row r="44" hidden="1">
      <c r="A44" s="1" t="s">
        <v>31</v>
      </c>
      <c r="B44" s="1" t="s">
        <v>32</v>
      </c>
      <c r="C44" s="1" t="s">
        <v>13</v>
      </c>
      <c r="D44" s="1">
        <v>184.0</v>
      </c>
      <c r="E44" s="1">
        <v>40.0</v>
      </c>
      <c r="F44" s="1">
        <v>3.0</v>
      </c>
      <c r="G44" s="1">
        <v>6.0</v>
      </c>
      <c r="H44" s="1" t="s">
        <v>33</v>
      </c>
      <c r="I44" s="2">
        <v>45682.0</v>
      </c>
      <c r="J44" s="1">
        <v>550000.0</v>
      </c>
      <c r="K44" s="2">
        <v>45658.0</v>
      </c>
    </row>
    <row r="45" hidden="1">
      <c r="A45" s="1" t="s">
        <v>64</v>
      </c>
      <c r="B45" s="1" t="s">
        <v>65</v>
      </c>
      <c r="C45" s="1" t="s">
        <v>42</v>
      </c>
      <c r="D45" s="1">
        <v>19.0</v>
      </c>
      <c r="E45" s="1">
        <v>20.0</v>
      </c>
      <c r="F45" s="1">
        <v>4.0</v>
      </c>
      <c r="G45" s="1">
        <v>9.0</v>
      </c>
      <c r="H45" s="1" t="s">
        <v>59</v>
      </c>
      <c r="I45" s="2">
        <v>45782.0</v>
      </c>
      <c r="J45" s="1">
        <v>750000.0</v>
      </c>
      <c r="K45" s="2">
        <v>45778.0</v>
      </c>
    </row>
    <row r="46" hidden="1">
      <c r="A46" s="1" t="s">
        <v>62</v>
      </c>
      <c r="B46" s="1" t="s">
        <v>63</v>
      </c>
      <c r="C46" s="1" t="s">
        <v>13</v>
      </c>
      <c r="D46" s="1">
        <v>268.0</v>
      </c>
      <c r="E46" s="1">
        <v>80.0</v>
      </c>
      <c r="F46" s="1">
        <v>4.0</v>
      </c>
      <c r="G46" s="1">
        <v>4.0</v>
      </c>
      <c r="H46" s="1" t="s">
        <v>33</v>
      </c>
      <c r="I46" s="2">
        <v>46099.0</v>
      </c>
      <c r="J46" s="1">
        <v>85000.0</v>
      </c>
      <c r="K46" s="2">
        <v>46082.0</v>
      </c>
    </row>
    <row r="47" hidden="1">
      <c r="A47" s="1" t="s">
        <v>34</v>
      </c>
      <c r="B47" s="1" t="s">
        <v>35</v>
      </c>
      <c r="C47" s="1" t="s">
        <v>36</v>
      </c>
      <c r="D47" s="1">
        <v>31.0</v>
      </c>
      <c r="E47" s="1">
        <v>80.0</v>
      </c>
      <c r="F47" s="1">
        <v>13.0</v>
      </c>
      <c r="G47" s="1">
        <v>4.0</v>
      </c>
      <c r="H47" s="1" t="s">
        <v>37</v>
      </c>
      <c r="I47" s="2">
        <v>45857.0</v>
      </c>
      <c r="J47" s="1">
        <v>65000.0</v>
      </c>
      <c r="K47" s="2">
        <v>45839.0</v>
      </c>
    </row>
    <row r="48" hidden="1">
      <c r="A48" s="1" t="s">
        <v>55</v>
      </c>
      <c r="B48" s="1" t="s">
        <v>56</v>
      </c>
      <c r="C48" s="1" t="s">
        <v>36</v>
      </c>
      <c r="D48" s="1">
        <v>28.0</v>
      </c>
      <c r="E48" s="1">
        <v>100.0</v>
      </c>
      <c r="F48" s="1">
        <v>17.0</v>
      </c>
      <c r="G48" s="1">
        <v>3.0</v>
      </c>
      <c r="H48" s="1" t="s">
        <v>37</v>
      </c>
      <c r="I48" s="2">
        <v>46070.0</v>
      </c>
      <c r="J48" s="1">
        <v>85000.0</v>
      </c>
      <c r="K48" s="2">
        <v>46054.0</v>
      </c>
    </row>
    <row r="49" hidden="1">
      <c r="A49" s="1" t="s">
        <v>15</v>
      </c>
      <c r="B49" s="1" t="s">
        <v>16</v>
      </c>
      <c r="C49" s="1" t="s">
        <v>17</v>
      </c>
      <c r="D49" s="1">
        <v>22.0</v>
      </c>
      <c r="E49" s="1">
        <v>15.0</v>
      </c>
      <c r="F49" s="1">
        <v>2.0</v>
      </c>
      <c r="G49" s="1">
        <v>7.0</v>
      </c>
      <c r="H49" s="1" t="s">
        <v>18</v>
      </c>
      <c r="I49" s="2">
        <v>45878.0</v>
      </c>
      <c r="J49" s="1">
        <v>8500000.0</v>
      </c>
      <c r="K49" s="2">
        <v>45870.0</v>
      </c>
    </row>
    <row r="50" hidden="1">
      <c r="A50" s="1" t="s">
        <v>48</v>
      </c>
      <c r="B50" s="1" t="s">
        <v>49</v>
      </c>
      <c r="C50" s="1" t="s">
        <v>36</v>
      </c>
      <c r="D50" s="1">
        <v>27.0</v>
      </c>
      <c r="E50" s="1">
        <v>120.0</v>
      </c>
      <c r="F50" s="1">
        <v>18.0</v>
      </c>
      <c r="G50" s="1">
        <v>4.0</v>
      </c>
      <c r="H50" s="1" t="s">
        <v>50</v>
      </c>
      <c r="I50" s="2">
        <v>45782.0</v>
      </c>
      <c r="J50" s="1">
        <v>55000.0</v>
      </c>
      <c r="K50" s="2">
        <v>45778.0</v>
      </c>
    </row>
    <row r="51" hidden="1">
      <c r="A51" s="1" t="s">
        <v>38</v>
      </c>
      <c r="B51" s="1" t="s">
        <v>39</v>
      </c>
      <c r="C51" s="1" t="s">
        <v>23</v>
      </c>
      <c r="D51" s="1">
        <v>0.0</v>
      </c>
      <c r="E51" s="1">
        <v>45.0</v>
      </c>
      <c r="F51" s="1">
        <v>10.0</v>
      </c>
      <c r="G51" s="1">
        <v>3.0</v>
      </c>
      <c r="H51" s="1" t="s">
        <v>24</v>
      </c>
      <c r="I51" s="2">
        <v>45737.0</v>
      </c>
      <c r="J51" s="1">
        <v>450000.0</v>
      </c>
      <c r="K51" s="2">
        <v>45717.0</v>
      </c>
    </row>
    <row r="52" hidden="1">
      <c r="A52" s="1" t="s">
        <v>46</v>
      </c>
      <c r="B52" s="1" t="s">
        <v>47</v>
      </c>
      <c r="C52" s="1" t="s">
        <v>23</v>
      </c>
      <c r="D52" s="1">
        <v>0.0</v>
      </c>
      <c r="E52" s="1">
        <v>40.0</v>
      </c>
      <c r="F52" s="1">
        <v>8.0</v>
      </c>
      <c r="G52" s="1">
        <v>3.0</v>
      </c>
      <c r="H52" s="1" t="s">
        <v>30</v>
      </c>
      <c r="I52" s="2">
        <v>46018.0</v>
      </c>
      <c r="J52" s="1">
        <v>550000.0</v>
      </c>
      <c r="K52" s="2">
        <v>45992.0</v>
      </c>
    </row>
    <row r="53" hidden="1">
      <c r="A53" s="1" t="s">
        <v>55</v>
      </c>
      <c r="B53" s="1" t="s">
        <v>56</v>
      </c>
      <c r="C53" s="1" t="s">
        <v>36</v>
      </c>
      <c r="D53" s="1">
        <v>35.0</v>
      </c>
      <c r="E53" s="1">
        <v>100.0</v>
      </c>
      <c r="F53" s="1">
        <v>14.0</v>
      </c>
      <c r="G53" s="1">
        <v>3.0</v>
      </c>
      <c r="H53" s="1" t="s">
        <v>37</v>
      </c>
      <c r="I53" s="2">
        <v>45685.0</v>
      </c>
      <c r="J53" s="1">
        <v>85000.0</v>
      </c>
      <c r="K53" s="2">
        <v>45658.0</v>
      </c>
    </row>
    <row r="54" hidden="1">
      <c r="A54" s="1" t="s">
        <v>28</v>
      </c>
      <c r="B54" s="1" t="s">
        <v>29</v>
      </c>
      <c r="C54" s="1" t="s">
        <v>23</v>
      </c>
      <c r="D54" s="1">
        <v>0.0</v>
      </c>
      <c r="E54" s="1">
        <v>35.0</v>
      </c>
      <c r="F54" s="1">
        <v>9.0</v>
      </c>
      <c r="G54" s="1">
        <v>5.0</v>
      </c>
      <c r="H54" s="1" t="s">
        <v>30</v>
      </c>
      <c r="I54" s="2">
        <v>46095.0</v>
      </c>
      <c r="J54" s="1">
        <v>1250000.0</v>
      </c>
      <c r="K54" s="2">
        <v>46082.0</v>
      </c>
    </row>
    <row r="55" hidden="1">
      <c r="A55" s="1" t="s">
        <v>38</v>
      </c>
      <c r="B55" s="1" t="s">
        <v>39</v>
      </c>
      <c r="C55" s="1" t="s">
        <v>23</v>
      </c>
      <c r="D55" s="1">
        <v>40.0</v>
      </c>
      <c r="E55" s="1">
        <v>45.0</v>
      </c>
      <c r="F55" s="1">
        <v>5.0</v>
      </c>
      <c r="G55" s="1">
        <v>3.0</v>
      </c>
      <c r="H55" s="1" t="s">
        <v>24</v>
      </c>
      <c r="I55" s="2">
        <v>45959.0</v>
      </c>
      <c r="J55" s="1">
        <v>450000.0</v>
      </c>
      <c r="K55" s="2">
        <v>45931.0</v>
      </c>
    </row>
    <row r="56" hidden="1">
      <c r="A56" s="1" t="s">
        <v>64</v>
      </c>
      <c r="B56" s="1" t="s">
        <v>65</v>
      </c>
      <c r="C56" s="1" t="s">
        <v>42</v>
      </c>
      <c r="D56" s="1">
        <v>29.0</v>
      </c>
      <c r="E56" s="1">
        <v>20.0</v>
      </c>
      <c r="F56" s="1">
        <v>4.0</v>
      </c>
      <c r="G56" s="1">
        <v>10.0</v>
      </c>
      <c r="H56" s="1" t="s">
        <v>59</v>
      </c>
      <c r="I56" s="2">
        <v>45826.0</v>
      </c>
      <c r="J56" s="1">
        <v>750000.0</v>
      </c>
      <c r="K56" s="2">
        <v>45809.0</v>
      </c>
    </row>
    <row r="57" hidden="1">
      <c r="A57" s="1" t="s">
        <v>40</v>
      </c>
      <c r="B57" s="1" t="s">
        <v>41</v>
      </c>
      <c r="C57" s="1" t="s">
        <v>42</v>
      </c>
      <c r="D57" s="1">
        <v>30.0</v>
      </c>
      <c r="E57" s="1">
        <v>15.0</v>
      </c>
      <c r="F57" s="1">
        <v>2.0</v>
      </c>
      <c r="G57" s="1">
        <v>9.0</v>
      </c>
      <c r="H57" s="1" t="s">
        <v>43</v>
      </c>
      <c r="I57" s="2">
        <v>45892.0</v>
      </c>
      <c r="J57" s="1">
        <v>1200000.0</v>
      </c>
      <c r="K57" s="2">
        <v>45870.0</v>
      </c>
    </row>
    <row r="58" hidden="1">
      <c r="A58" s="1" t="s">
        <v>31</v>
      </c>
      <c r="B58" s="1" t="s">
        <v>32</v>
      </c>
      <c r="C58" s="1" t="s">
        <v>13</v>
      </c>
      <c r="D58" s="1">
        <v>91.0</v>
      </c>
      <c r="E58" s="1">
        <v>40.0</v>
      </c>
      <c r="F58" s="1">
        <v>3.0</v>
      </c>
      <c r="G58" s="1">
        <v>5.0</v>
      </c>
      <c r="H58" s="1" t="s">
        <v>33</v>
      </c>
      <c r="I58" s="2">
        <v>45724.0</v>
      </c>
      <c r="J58" s="1">
        <v>550000.0</v>
      </c>
      <c r="K58" s="2">
        <v>45717.0</v>
      </c>
    </row>
    <row r="59" hidden="1">
      <c r="A59" s="1" t="s">
        <v>53</v>
      </c>
      <c r="B59" s="1" t="s">
        <v>54</v>
      </c>
      <c r="C59" s="1" t="s">
        <v>13</v>
      </c>
      <c r="D59" s="1">
        <v>299.0</v>
      </c>
      <c r="E59" s="1">
        <v>60.0</v>
      </c>
      <c r="F59" s="1">
        <v>1.0</v>
      </c>
      <c r="G59" s="1">
        <v>7.0</v>
      </c>
      <c r="H59" s="1" t="s">
        <v>14</v>
      </c>
      <c r="I59" s="2">
        <v>45756.0</v>
      </c>
      <c r="J59" s="1">
        <v>165000.0</v>
      </c>
      <c r="K59" s="2">
        <v>45748.0</v>
      </c>
    </row>
    <row r="60" hidden="1">
      <c r="A60" s="1" t="s">
        <v>62</v>
      </c>
      <c r="B60" s="1" t="s">
        <v>63</v>
      </c>
      <c r="C60" s="1" t="s">
        <v>13</v>
      </c>
      <c r="D60" s="1">
        <v>392.0</v>
      </c>
      <c r="E60" s="1">
        <v>80.0</v>
      </c>
      <c r="F60" s="1">
        <v>5.0</v>
      </c>
      <c r="G60" s="1">
        <v>4.0</v>
      </c>
      <c r="H60" s="1" t="s">
        <v>33</v>
      </c>
      <c r="I60" s="2">
        <v>45701.0</v>
      </c>
      <c r="J60" s="1">
        <v>85000.0</v>
      </c>
      <c r="K60" s="2">
        <v>45689.0</v>
      </c>
    </row>
    <row r="61" hidden="1">
      <c r="A61" s="1" t="s">
        <v>53</v>
      </c>
      <c r="B61" s="1" t="s">
        <v>54</v>
      </c>
      <c r="C61" s="1" t="s">
        <v>13</v>
      </c>
      <c r="D61" s="1">
        <v>198.0</v>
      </c>
      <c r="E61" s="1">
        <v>60.0</v>
      </c>
      <c r="F61" s="1">
        <v>3.0</v>
      </c>
      <c r="G61" s="1">
        <v>8.0</v>
      </c>
      <c r="H61" s="1" t="s">
        <v>14</v>
      </c>
      <c r="I61" s="2">
        <v>45712.0</v>
      </c>
      <c r="J61" s="1">
        <v>165000.0</v>
      </c>
      <c r="K61" s="2">
        <v>45689.0</v>
      </c>
    </row>
    <row r="62" hidden="1">
      <c r="A62" s="1" t="s">
        <v>11</v>
      </c>
      <c r="B62" s="1" t="s">
        <v>12</v>
      </c>
      <c r="C62" s="1" t="s">
        <v>13</v>
      </c>
      <c r="D62" s="1">
        <v>238.0</v>
      </c>
      <c r="E62" s="1">
        <v>50.0</v>
      </c>
      <c r="F62" s="1">
        <v>2.0</v>
      </c>
      <c r="G62" s="1">
        <v>7.0</v>
      </c>
      <c r="H62" s="1" t="s">
        <v>14</v>
      </c>
      <c r="I62" s="2">
        <v>45671.0</v>
      </c>
      <c r="J62" s="1">
        <v>125000.0</v>
      </c>
      <c r="K62" s="2">
        <v>45658.0</v>
      </c>
    </row>
    <row r="63" hidden="1">
      <c r="A63" s="1" t="s">
        <v>46</v>
      </c>
      <c r="B63" s="1" t="s">
        <v>47</v>
      </c>
      <c r="C63" s="1" t="s">
        <v>23</v>
      </c>
      <c r="D63" s="1">
        <v>44.0</v>
      </c>
      <c r="E63" s="1">
        <v>40.0</v>
      </c>
      <c r="F63" s="1">
        <v>5.0</v>
      </c>
      <c r="G63" s="1">
        <v>6.0</v>
      </c>
      <c r="H63" s="1" t="s">
        <v>30</v>
      </c>
      <c r="I63" s="2">
        <v>45799.0</v>
      </c>
      <c r="J63" s="1">
        <v>550000.0</v>
      </c>
      <c r="K63" s="2">
        <v>45778.0</v>
      </c>
    </row>
    <row r="64" hidden="1">
      <c r="A64" s="1" t="s">
        <v>46</v>
      </c>
      <c r="B64" s="1" t="s">
        <v>47</v>
      </c>
      <c r="C64" s="1" t="s">
        <v>23</v>
      </c>
      <c r="D64" s="1">
        <v>28.0</v>
      </c>
      <c r="E64" s="1">
        <v>40.0</v>
      </c>
      <c r="F64" s="1">
        <v>3.0</v>
      </c>
      <c r="G64" s="1">
        <v>6.0</v>
      </c>
      <c r="H64" s="1" t="s">
        <v>30</v>
      </c>
      <c r="I64" s="2">
        <v>45956.0</v>
      </c>
      <c r="J64" s="1">
        <v>550000.0</v>
      </c>
      <c r="K64" s="2">
        <v>45931.0</v>
      </c>
    </row>
    <row r="65" hidden="1">
      <c r="A65" s="1" t="s">
        <v>46</v>
      </c>
      <c r="B65" s="1" t="s">
        <v>47</v>
      </c>
      <c r="C65" s="1" t="s">
        <v>23</v>
      </c>
      <c r="D65" s="1">
        <v>29.0</v>
      </c>
      <c r="E65" s="1">
        <v>40.0</v>
      </c>
      <c r="F65" s="1">
        <v>4.0</v>
      </c>
      <c r="G65" s="1">
        <v>9.0</v>
      </c>
      <c r="H65" s="1" t="s">
        <v>30</v>
      </c>
      <c r="I65" s="2">
        <v>45839.0</v>
      </c>
      <c r="J65" s="1">
        <v>550000.0</v>
      </c>
      <c r="K65" s="2">
        <v>45839.0</v>
      </c>
    </row>
    <row r="66" hidden="1">
      <c r="A66" s="1" t="s">
        <v>62</v>
      </c>
      <c r="B66" s="1" t="s">
        <v>63</v>
      </c>
      <c r="C66" s="1" t="s">
        <v>13</v>
      </c>
      <c r="D66" s="1">
        <v>468.0</v>
      </c>
      <c r="E66" s="1">
        <v>80.0</v>
      </c>
      <c r="F66" s="1">
        <v>5.0</v>
      </c>
      <c r="G66" s="1">
        <v>6.0</v>
      </c>
      <c r="H66" s="1" t="s">
        <v>33</v>
      </c>
      <c r="I66" s="2">
        <v>46079.0</v>
      </c>
      <c r="J66" s="1">
        <v>85000.0</v>
      </c>
      <c r="K66" s="2">
        <v>46054.0</v>
      </c>
    </row>
    <row r="67" hidden="1">
      <c r="A67" s="1" t="s">
        <v>57</v>
      </c>
      <c r="B67" s="1" t="s">
        <v>58</v>
      </c>
      <c r="C67" s="1" t="s">
        <v>42</v>
      </c>
      <c r="D67" s="1">
        <v>16.0</v>
      </c>
      <c r="E67" s="1">
        <v>25.0</v>
      </c>
      <c r="F67" s="1">
        <v>3.0</v>
      </c>
      <c r="G67" s="1">
        <v>6.0</v>
      </c>
      <c r="H67" s="1" t="s">
        <v>59</v>
      </c>
      <c r="I67" s="2">
        <v>45982.0</v>
      </c>
      <c r="J67" s="1">
        <v>450000.0</v>
      </c>
      <c r="K67" s="2">
        <v>45962.0</v>
      </c>
    </row>
    <row r="68" hidden="1">
      <c r="A68" s="1" t="s">
        <v>62</v>
      </c>
      <c r="B68" s="1" t="s">
        <v>63</v>
      </c>
      <c r="C68" s="1" t="s">
        <v>13</v>
      </c>
      <c r="D68" s="1">
        <v>320.0</v>
      </c>
      <c r="E68" s="1">
        <v>80.0</v>
      </c>
      <c r="F68" s="1">
        <v>5.0</v>
      </c>
      <c r="G68" s="1">
        <v>4.0</v>
      </c>
      <c r="H68" s="1" t="s">
        <v>33</v>
      </c>
      <c r="I68" s="2">
        <v>45909.0</v>
      </c>
      <c r="J68" s="1">
        <v>85000.0</v>
      </c>
      <c r="K68" s="2">
        <v>45901.0</v>
      </c>
    </row>
    <row r="69" hidden="1">
      <c r="A69" s="1" t="s">
        <v>38</v>
      </c>
      <c r="B69" s="1" t="s">
        <v>39</v>
      </c>
      <c r="C69" s="1" t="s">
        <v>23</v>
      </c>
      <c r="D69" s="1">
        <v>0.0</v>
      </c>
      <c r="E69" s="1">
        <v>45.0</v>
      </c>
      <c r="F69" s="1">
        <v>10.0</v>
      </c>
      <c r="G69" s="1">
        <v>4.0</v>
      </c>
      <c r="H69" s="1" t="s">
        <v>24</v>
      </c>
      <c r="I69" s="2">
        <v>45768.0</v>
      </c>
      <c r="J69" s="1">
        <v>450000.0</v>
      </c>
      <c r="K69" s="2">
        <v>45748.0</v>
      </c>
    </row>
    <row r="70" hidden="1">
      <c r="A70" s="1" t="s">
        <v>55</v>
      </c>
      <c r="B70" s="1" t="s">
        <v>56</v>
      </c>
      <c r="C70" s="1" t="s">
        <v>36</v>
      </c>
      <c r="D70" s="1">
        <v>29.0</v>
      </c>
      <c r="E70" s="1">
        <v>100.0</v>
      </c>
      <c r="F70" s="1">
        <v>16.0</v>
      </c>
      <c r="G70" s="1">
        <v>5.0</v>
      </c>
      <c r="H70" s="1" t="s">
        <v>37</v>
      </c>
      <c r="I70" s="2">
        <v>45813.0</v>
      </c>
      <c r="J70" s="1">
        <v>85000.0</v>
      </c>
      <c r="K70" s="2">
        <v>45809.0</v>
      </c>
    </row>
    <row r="71" hidden="1">
      <c r="A71" s="1" t="s">
        <v>19</v>
      </c>
      <c r="B71" s="1" t="s">
        <v>20</v>
      </c>
      <c r="C71" s="1" t="s">
        <v>17</v>
      </c>
      <c r="D71" s="1">
        <v>34.0</v>
      </c>
      <c r="E71" s="1">
        <v>30.0</v>
      </c>
      <c r="F71" s="1">
        <v>4.0</v>
      </c>
      <c r="G71" s="1">
        <v>5.0</v>
      </c>
      <c r="H71" s="1" t="s">
        <v>18</v>
      </c>
      <c r="I71" s="2">
        <v>46083.0</v>
      </c>
      <c r="J71" s="1">
        <v>1200000.0</v>
      </c>
      <c r="K71" s="2">
        <v>46082.0</v>
      </c>
    </row>
    <row r="72" hidden="1">
      <c r="A72" s="1" t="s">
        <v>55</v>
      </c>
      <c r="B72" s="1" t="s">
        <v>56</v>
      </c>
      <c r="C72" s="1" t="s">
        <v>36</v>
      </c>
      <c r="D72" s="1">
        <v>60.0</v>
      </c>
      <c r="E72" s="1">
        <v>100.0</v>
      </c>
      <c r="F72" s="1">
        <v>12.0</v>
      </c>
      <c r="G72" s="1">
        <v>4.0</v>
      </c>
      <c r="H72" s="1" t="s">
        <v>37</v>
      </c>
      <c r="I72" s="2">
        <v>45928.0</v>
      </c>
      <c r="J72" s="1">
        <v>85000.0</v>
      </c>
      <c r="K72" s="2">
        <v>45901.0</v>
      </c>
    </row>
    <row r="73" hidden="1">
      <c r="A73" s="1" t="s">
        <v>15</v>
      </c>
      <c r="B73" s="1" t="s">
        <v>16</v>
      </c>
      <c r="C73" s="1" t="s">
        <v>17</v>
      </c>
      <c r="D73" s="1">
        <v>1.0</v>
      </c>
      <c r="E73" s="1">
        <v>15.0</v>
      </c>
      <c r="F73" s="1">
        <v>2.0</v>
      </c>
      <c r="G73" s="1">
        <v>6.0</v>
      </c>
      <c r="H73" s="1" t="s">
        <v>18</v>
      </c>
      <c r="I73" s="2">
        <v>45861.0</v>
      </c>
      <c r="J73" s="1">
        <v>8500000.0</v>
      </c>
      <c r="K73" s="2">
        <v>45839.0</v>
      </c>
    </row>
    <row r="74" hidden="1">
      <c r="A74" s="1" t="s">
        <v>31</v>
      </c>
      <c r="B74" s="1" t="s">
        <v>32</v>
      </c>
      <c r="C74" s="1" t="s">
        <v>13</v>
      </c>
      <c r="D74" s="1">
        <v>177.0</v>
      </c>
      <c r="E74" s="1">
        <v>40.0</v>
      </c>
      <c r="F74" s="1">
        <v>2.0</v>
      </c>
      <c r="G74" s="1">
        <v>4.0</v>
      </c>
      <c r="H74" s="1" t="s">
        <v>33</v>
      </c>
      <c r="I74" s="2">
        <v>45757.0</v>
      </c>
      <c r="J74" s="1">
        <v>550000.0</v>
      </c>
      <c r="K74" s="2">
        <v>45748.0</v>
      </c>
    </row>
    <row r="75" hidden="1">
      <c r="A75" s="1" t="s">
        <v>60</v>
      </c>
      <c r="B75" s="1" t="s">
        <v>61</v>
      </c>
      <c r="C75" s="1" t="s">
        <v>17</v>
      </c>
      <c r="D75" s="1">
        <v>28.0</v>
      </c>
      <c r="E75" s="1">
        <v>20.0</v>
      </c>
      <c r="F75" s="1">
        <v>1.0</v>
      </c>
      <c r="G75" s="1">
        <v>11.0</v>
      </c>
      <c r="H75" s="1" t="s">
        <v>27</v>
      </c>
      <c r="I75" s="2">
        <v>45669.0</v>
      </c>
      <c r="J75" s="1">
        <v>3200000.0</v>
      </c>
      <c r="K75" s="2">
        <v>45658.0</v>
      </c>
    </row>
    <row r="76" hidden="1">
      <c r="A76" s="1" t="s">
        <v>25</v>
      </c>
      <c r="B76" s="1" t="s">
        <v>26</v>
      </c>
      <c r="C76" s="1" t="s">
        <v>17</v>
      </c>
      <c r="D76" s="1">
        <v>42.0</v>
      </c>
      <c r="E76" s="1">
        <v>25.0</v>
      </c>
      <c r="F76" s="1">
        <v>4.0</v>
      </c>
      <c r="G76" s="1">
        <v>19.0</v>
      </c>
      <c r="H76" s="1" t="s">
        <v>27</v>
      </c>
      <c r="I76" s="2">
        <v>45881.0</v>
      </c>
      <c r="J76" s="1">
        <v>4500000.0</v>
      </c>
      <c r="K76" s="2">
        <v>45870.0</v>
      </c>
    </row>
    <row r="77">
      <c r="A77" s="1" t="s">
        <v>51</v>
      </c>
      <c r="B77" s="1" t="s">
        <v>52</v>
      </c>
      <c r="C77" s="1" t="s">
        <v>36</v>
      </c>
      <c r="D77" s="1">
        <v>18.0</v>
      </c>
      <c r="E77" s="1">
        <v>60.0</v>
      </c>
      <c r="F77" s="1">
        <v>8.0</v>
      </c>
      <c r="G77" s="1">
        <v>5.0</v>
      </c>
      <c r="H77" s="1" t="s">
        <v>50</v>
      </c>
      <c r="I77" s="2">
        <v>45712.0</v>
      </c>
      <c r="J77" s="3"/>
      <c r="K77" s="2">
        <v>45689.0</v>
      </c>
    </row>
    <row r="78" hidden="1">
      <c r="A78" s="1" t="s">
        <v>19</v>
      </c>
      <c r="B78" s="1" t="s">
        <v>20</v>
      </c>
      <c r="C78" s="1" t="s">
        <v>17</v>
      </c>
      <c r="D78" s="1">
        <v>17.0</v>
      </c>
      <c r="E78" s="1">
        <v>30.0</v>
      </c>
      <c r="F78" s="1">
        <v>6.0</v>
      </c>
      <c r="G78" s="1">
        <v>8.0</v>
      </c>
      <c r="H78" s="1" t="s">
        <v>18</v>
      </c>
      <c r="I78" s="2">
        <v>45996.0</v>
      </c>
      <c r="J78" s="1">
        <v>1200000.0</v>
      </c>
      <c r="K78" s="2">
        <v>45992.0</v>
      </c>
    </row>
    <row r="79" hidden="1">
      <c r="A79" s="1" t="s">
        <v>11</v>
      </c>
      <c r="B79" s="1" t="s">
        <v>12</v>
      </c>
      <c r="C79" s="1" t="s">
        <v>13</v>
      </c>
      <c r="D79" s="1">
        <v>238.0</v>
      </c>
      <c r="E79" s="1">
        <v>50.0</v>
      </c>
      <c r="F79" s="1">
        <v>2.0</v>
      </c>
      <c r="G79" s="1">
        <v>7.0</v>
      </c>
      <c r="H79" s="1" t="s">
        <v>14</v>
      </c>
      <c r="I79" s="2">
        <v>45671.0</v>
      </c>
      <c r="J79" s="1">
        <v>125000.0</v>
      </c>
      <c r="K79" s="2">
        <v>45658.0</v>
      </c>
    </row>
    <row r="80" hidden="1">
      <c r="A80" s="1" t="s">
        <v>46</v>
      </c>
      <c r="B80" s="1" t="s">
        <v>47</v>
      </c>
      <c r="C80" s="1" t="s">
        <v>23</v>
      </c>
      <c r="D80" s="1">
        <v>0.0</v>
      </c>
      <c r="E80" s="1">
        <v>40.0</v>
      </c>
      <c r="F80" s="1">
        <v>10.0</v>
      </c>
      <c r="G80" s="1">
        <v>7.0</v>
      </c>
      <c r="H80" s="1" t="s">
        <v>30</v>
      </c>
      <c r="I80" s="2">
        <v>46109.0</v>
      </c>
      <c r="J80" s="1">
        <v>550000.0</v>
      </c>
      <c r="K80" s="2">
        <v>46082.0</v>
      </c>
    </row>
    <row r="81">
      <c r="A81" s="1" t="s">
        <v>34</v>
      </c>
      <c r="B81" s="1" t="s">
        <v>35</v>
      </c>
      <c r="C81" s="1" t="s">
        <v>36</v>
      </c>
      <c r="D81" s="3"/>
      <c r="E81" s="1">
        <v>80.0</v>
      </c>
      <c r="F81" s="1">
        <v>11.0</v>
      </c>
      <c r="G81" s="1">
        <v>4.0</v>
      </c>
      <c r="H81" s="1" t="s">
        <v>37</v>
      </c>
      <c r="I81" s="2">
        <v>45766.0</v>
      </c>
      <c r="J81" s="1">
        <v>65000.0</v>
      </c>
      <c r="K81" s="2">
        <v>45748.0</v>
      </c>
    </row>
    <row r="82" hidden="1">
      <c r="A82" s="1" t="s">
        <v>55</v>
      </c>
      <c r="B82" s="1" t="s">
        <v>56</v>
      </c>
      <c r="C82" s="1" t="s">
        <v>36</v>
      </c>
      <c r="D82" s="1">
        <v>26.0</v>
      </c>
      <c r="E82" s="1">
        <v>100.0</v>
      </c>
      <c r="F82" s="1">
        <v>16.0</v>
      </c>
      <c r="G82" s="1">
        <v>4.0</v>
      </c>
      <c r="H82" s="1" t="s">
        <v>37</v>
      </c>
      <c r="I82" s="2">
        <v>45778.0</v>
      </c>
      <c r="J82" s="1">
        <v>85000.0</v>
      </c>
      <c r="K82" s="2">
        <v>45778.0</v>
      </c>
    </row>
    <row r="83" hidden="1">
      <c r="A83" s="1" t="s">
        <v>62</v>
      </c>
      <c r="B83" s="1" t="s">
        <v>63</v>
      </c>
      <c r="C83" s="1" t="s">
        <v>13</v>
      </c>
      <c r="D83" s="1">
        <v>301.0</v>
      </c>
      <c r="E83" s="1">
        <v>80.0</v>
      </c>
      <c r="F83" s="1">
        <v>3.0</v>
      </c>
      <c r="G83" s="1">
        <v>4.0</v>
      </c>
      <c r="H83" s="1" t="s">
        <v>33</v>
      </c>
      <c r="I83" s="2">
        <v>45936.0</v>
      </c>
      <c r="J83" s="1">
        <v>85000.0</v>
      </c>
      <c r="K83" s="2">
        <v>45931.0</v>
      </c>
    </row>
    <row r="84" hidden="1">
      <c r="A84" s="1" t="s">
        <v>57</v>
      </c>
      <c r="B84" s="1" t="s">
        <v>58</v>
      </c>
      <c r="C84" s="1" t="s">
        <v>42</v>
      </c>
      <c r="D84" s="1">
        <v>19.0</v>
      </c>
      <c r="E84" s="1">
        <v>25.0</v>
      </c>
      <c r="F84" s="1">
        <v>4.0</v>
      </c>
      <c r="G84" s="1">
        <v>10.0</v>
      </c>
      <c r="H84" s="1" t="s">
        <v>59</v>
      </c>
      <c r="I84" s="2">
        <v>45729.0</v>
      </c>
      <c r="J84" s="1">
        <v>450000.0</v>
      </c>
      <c r="K84" s="2">
        <v>45717.0</v>
      </c>
    </row>
    <row r="85" hidden="1">
      <c r="A85" s="1" t="s">
        <v>44</v>
      </c>
      <c r="B85" s="1" t="s">
        <v>45</v>
      </c>
      <c r="C85" s="1" t="s">
        <v>42</v>
      </c>
      <c r="D85" s="1">
        <v>51.0</v>
      </c>
      <c r="E85" s="1">
        <v>30.0</v>
      </c>
      <c r="F85" s="1">
        <v>6.0</v>
      </c>
      <c r="G85" s="1">
        <v>9.0</v>
      </c>
      <c r="H85" s="1" t="s">
        <v>43</v>
      </c>
      <c r="I85" s="2">
        <v>45752.0</v>
      </c>
      <c r="J85" s="1">
        <v>350000.0</v>
      </c>
      <c r="K85" s="2">
        <v>45748.0</v>
      </c>
    </row>
    <row r="86" hidden="1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</row>
    <row r="87" hidden="1">
      <c r="A87" s="1" t="s">
        <v>53</v>
      </c>
      <c r="B87" s="1" t="s">
        <v>54</v>
      </c>
      <c r="C87" s="1" t="s">
        <v>13</v>
      </c>
      <c r="D87" s="1">
        <v>223.0</v>
      </c>
      <c r="E87" s="1">
        <v>60.0</v>
      </c>
      <c r="F87" s="1">
        <v>4.0</v>
      </c>
      <c r="G87" s="1">
        <v>8.0</v>
      </c>
      <c r="H87" s="1" t="s">
        <v>14</v>
      </c>
      <c r="I87" s="2">
        <v>46108.0</v>
      </c>
      <c r="J87" s="1">
        <v>165000.0</v>
      </c>
      <c r="K87" s="2">
        <v>46082.0</v>
      </c>
    </row>
    <row r="88" hidden="1">
      <c r="A88" s="1" t="s">
        <v>21</v>
      </c>
      <c r="B88" s="1" t="s">
        <v>22</v>
      </c>
      <c r="C88" s="1" t="s">
        <v>23</v>
      </c>
      <c r="D88" s="1">
        <v>34.0</v>
      </c>
      <c r="E88" s="1">
        <v>50.0</v>
      </c>
      <c r="F88" s="1">
        <v>6.0</v>
      </c>
      <c r="G88" s="1">
        <v>6.0</v>
      </c>
      <c r="H88" s="1" t="s">
        <v>24</v>
      </c>
      <c r="I88" s="2">
        <v>45849.0</v>
      </c>
      <c r="J88" s="1">
        <v>350000.0</v>
      </c>
      <c r="K88" s="2">
        <v>45839.0</v>
      </c>
    </row>
    <row r="89" hidden="1">
      <c r="A89" s="1" t="s">
        <v>46</v>
      </c>
      <c r="B89" s="1" t="s">
        <v>47</v>
      </c>
      <c r="C89" s="1" t="s">
        <v>23</v>
      </c>
      <c r="D89" s="1">
        <v>10.0</v>
      </c>
      <c r="E89" s="1">
        <v>40.0</v>
      </c>
      <c r="F89" s="1">
        <v>4.0</v>
      </c>
      <c r="G89" s="1">
        <v>3.0</v>
      </c>
      <c r="H89" s="1" t="s">
        <v>30</v>
      </c>
      <c r="I89" s="2">
        <v>46055.0</v>
      </c>
      <c r="J89" s="1">
        <v>550000.0</v>
      </c>
      <c r="K89" s="2">
        <v>46054.0</v>
      </c>
    </row>
    <row r="90" hidden="1">
      <c r="A90" s="1" t="s">
        <v>62</v>
      </c>
      <c r="B90" s="1" t="s">
        <v>63</v>
      </c>
      <c r="C90" s="1" t="s">
        <v>13</v>
      </c>
      <c r="D90" s="1">
        <v>436.0</v>
      </c>
      <c r="E90" s="1">
        <v>80.0</v>
      </c>
      <c r="F90" s="1">
        <v>4.0</v>
      </c>
      <c r="G90" s="1">
        <v>4.0</v>
      </c>
      <c r="H90" s="1" t="s">
        <v>33</v>
      </c>
      <c r="I90" s="2">
        <v>45755.0</v>
      </c>
      <c r="J90" s="1">
        <v>85000.0</v>
      </c>
      <c r="K90" s="2">
        <v>45748.0</v>
      </c>
    </row>
    <row r="91" hidden="1">
      <c r="A91" s="1" t="s">
        <v>25</v>
      </c>
      <c r="B91" s="1" t="s">
        <v>26</v>
      </c>
      <c r="C91" s="1" t="s">
        <v>17</v>
      </c>
      <c r="D91" s="1">
        <v>0.0</v>
      </c>
      <c r="E91" s="1">
        <v>25.0</v>
      </c>
      <c r="F91" s="1">
        <v>8.0</v>
      </c>
      <c r="G91" s="1">
        <v>10.0</v>
      </c>
      <c r="H91" s="1" t="s">
        <v>27</v>
      </c>
      <c r="I91" s="2">
        <v>46013.0</v>
      </c>
      <c r="J91" s="1">
        <v>4500000.0</v>
      </c>
      <c r="K91" s="2">
        <v>45992.0</v>
      </c>
    </row>
    <row r="92" hidden="1">
      <c r="A92" s="1" t="s">
        <v>25</v>
      </c>
      <c r="B92" s="1" t="s">
        <v>26</v>
      </c>
      <c r="C92" s="1" t="s">
        <v>17</v>
      </c>
      <c r="D92" s="1">
        <v>20.0</v>
      </c>
      <c r="E92" s="1">
        <v>25.0</v>
      </c>
      <c r="F92" s="1">
        <v>4.0</v>
      </c>
      <c r="G92" s="1">
        <v>19.0</v>
      </c>
      <c r="H92" s="1" t="s">
        <v>27</v>
      </c>
      <c r="I92" s="2">
        <v>45786.0</v>
      </c>
      <c r="J92" s="1">
        <v>4500000.0</v>
      </c>
      <c r="K92" s="2">
        <v>45778.0</v>
      </c>
    </row>
    <row r="93" hidden="1">
      <c r="A93" s="1" t="s">
        <v>57</v>
      </c>
      <c r="B93" s="1" t="s">
        <v>58</v>
      </c>
      <c r="C93" s="1" t="s">
        <v>42</v>
      </c>
      <c r="D93" s="1">
        <v>42.0</v>
      </c>
      <c r="E93" s="1">
        <v>25.0</v>
      </c>
      <c r="F93" s="1">
        <v>4.0</v>
      </c>
      <c r="G93" s="1">
        <v>8.0</v>
      </c>
      <c r="H93" s="1" t="s">
        <v>59</v>
      </c>
      <c r="I93" s="2">
        <v>46029.0</v>
      </c>
      <c r="J93" s="1">
        <v>450000.0</v>
      </c>
      <c r="K93" s="2">
        <v>46023.0</v>
      </c>
    </row>
    <row r="94" hidden="1">
      <c r="A94" s="1" t="s">
        <v>28</v>
      </c>
      <c r="B94" s="1" t="s">
        <v>29</v>
      </c>
      <c r="C94" s="1" t="s">
        <v>23</v>
      </c>
      <c r="D94" s="1">
        <v>0.0</v>
      </c>
      <c r="E94" s="1">
        <v>35.0</v>
      </c>
      <c r="F94" s="1">
        <v>12.0</v>
      </c>
      <c r="G94" s="1">
        <v>9.0</v>
      </c>
      <c r="H94" s="1" t="s">
        <v>30</v>
      </c>
      <c r="I94" s="2">
        <v>45746.0</v>
      </c>
      <c r="J94" s="1">
        <v>1250000.0</v>
      </c>
      <c r="K94" s="2">
        <v>45717.0</v>
      </c>
    </row>
    <row r="95" hidden="1">
      <c r="A95" s="1" t="s">
        <v>38</v>
      </c>
      <c r="B95" s="1" t="s">
        <v>39</v>
      </c>
      <c r="C95" s="1" t="s">
        <v>23</v>
      </c>
      <c r="D95" s="1">
        <v>34.0</v>
      </c>
      <c r="E95" s="1">
        <v>45.0</v>
      </c>
      <c r="F95" s="1">
        <v>5.0</v>
      </c>
      <c r="G95" s="1">
        <v>4.0</v>
      </c>
      <c r="H95" s="1" t="s">
        <v>24</v>
      </c>
      <c r="I95" s="2">
        <v>45801.0</v>
      </c>
      <c r="J95" s="1">
        <v>450000.0</v>
      </c>
      <c r="K95" s="2">
        <v>45778.0</v>
      </c>
    </row>
    <row r="96" hidden="1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10.0</v>
      </c>
      <c r="G96" s="1">
        <v>7.0</v>
      </c>
      <c r="H96" s="1" t="s">
        <v>30</v>
      </c>
      <c r="I96" s="2">
        <v>46008.0</v>
      </c>
      <c r="J96" s="1">
        <v>1250000.0</v>
      </c>
      <c r="K96" s="2">
        <v>45992.0</v>
      </c>
    </row>
    <row r="97" hidden="1">
      <c r="A97" s="1" t="s">
        <v>31</v>
      </c>
      <c r="B97" s="1" t="s">
        <v>32</v>
      </c>
      <c r="C97" s="1" t="s">
        <v>13</v>
      </c>
      <c r="D97" s="1">
        <v>169.0</v>
      </c>
      <c r="E97" s="1">
        <v>40.0</v>
      </c>
      <c r="F97" s="1">
        <v>3.0</v>
      </c>
      <c r="G97" s="1">
        <v>4.0</v>
      </c>
      <c r="H97" s="1" t="s">
        <v>33</v>
      </c>
      <c r="I97" s="2">
        <v>46074.0</v>
      </c>
      <c r="J97" s="1">
        <v>550000.0</v>
      </c>
      <c r="K97" s="2">
        <v>46054.0</v>
      </c>
    </row>
    <row r="98" hidden="1">
      <c r="A98" s="1" t="s">
        <v>21</v>
      </c>
      <c r="B98" s="1" t="s">
        <v>22</v>
      </c>
      <c r="C98" s="1" t="s">
        <v>23</v>
      </c>
      <c r="D98" s="1">
        <v>15.0</v>
      </c>
      <c r="E98" s="1">
        <v>50.0</v>
      </c>
      <c r="F98" s="1">
        <v>7.0</v>
      </c>
      <c r="G98" s="1">
        <v>7.0</v>
      </c>
      <c r="H98" s="1" t="s">
        <v>24</v>
      </c>
      <c r="I98" s="2">
        <v>46032.0</v>
      </c>
      <c r="J98" s="1">
        <v>350000.0</v>
      </c>
      <c r="K98" s="2">
        <v>46023.0</v>
      </c>
    </row>
    <row r="99" hidden="1">
      <c r="A99" s="1" t="s">
        <v>48</v>
      </c>
      <c r="B99" s="1" t="s">
        <v>49</v>
      </c>
      <c r="C99" s="1" t="s">
        <v>36</v>
      </c>
      <c r="D99" s="1">
        <v>48.0</v>
      </c>
      <c r="E99" s="1">
        <v>120.0</v>
      </c>
      <c r="F99" s="1">
        <v>18.0</v>
      </c>
      <c r="G99" s="1">
        <v>6.0</v>
      </c>
      <c r="H99" s="1" t="s">
        <v>50</v>
      </c>
      <c r="I99" s="2">
        <v>46074.0</v>
      </c>
      <c r="J99" s="1">
        <v>55000.0</v>
      </c>
      <c r="K99" s="2">
        <v>46054.0</v>
      </c>
    </row>
    <row r="100" hidden="1">
      <c r="A100" s="1" t="s">
        <v>25</v>
      </c>
      <c r="B100" s="1" t="s">
        <v>26</v>
      </c>
      <c r="C100" s="1" t="s">
        <v>17</v>
      </c>
      <c r="D100" s="1">
        <v>0.0</v>
      </c>
      <c r="E100" s="1">
        <v>25.0</v>
      </c>
      <c r="F100" s="1">
        <v>3.0</v>
      </c>
      <c r="G100" s="1">
        <v>18.0</v>
      </c>
      <c r="H100" s="1" t="s">
        <v>27</v>
      </c>
      <c r="I100" s="2">
        <v>45663.0</v>
      </c>
      <c r="J100" s="1">
        <v>4500000.0</v>
      </c>
      <c r="K100" s="2">
        <v>45658.0</v>
      </c>
    </row>
    <row r="101" hidden="1">
      <c r="A101" s="1" t="s">
        <v>15</v>
      </c>
      <c r="B101" s="1" t="s">
        <v>16</v>
      </c>
      <c r="C101" s="1" t="s">
        <v>17</v>
      </c>
      <c r="D101" s="1">
        <v>0.0</v>
      </c>
      <c r="E101" s="1">
        <v>15.0</v>
      </c>
      <c r="F101" s="1">
        <v>3.0</v>
      </c>
      <c r="G101" s="1">
        <v>8.0</v>
      </c>
      <c r="H101" s="1" t="s">
        <v>18</v>
      </c>
      <c r="I101" s="2">
        <v>45979.0</v>
      </c>
      <c r="J101" s="1">
        <v>8500000.0</v>
      </c>
      <c r="K101" s="2">
        <v>45962.0</v>
      </c>
    </row>
    <row r="102" hidden="1">
      <c r="A102" s="1" t="s">
        <v>44</v>
      </c>
      <c r="B102" s="1" t="s">
        <v>45</v>
      </c>
      <c r="C102" s="1" t="s">
        <v>42</v>
      </c>
      <c r="D102" s="1">
        <v>53.0</v>
      </c>
      <c r="E102" s="1">
        <v>30.0</v>
      </c>
      <c r="F102" s="1">
        <v>5.0</v>
      </c>
      <c r="G102" s="1">
        <v>4.0</v>
      </c>
      <c r="H102" s="1" t="s">
        <v>43</v>
      </c>
      <c r="I102" s="2">
        <v>45730.0</v>
      </c>
      <c r="J102" s="1">
        <v>350000.0</v>
      </c>
      <c r="K102" s="2">
        <v>45717.0</v>
      </c>
    </row>
    <row r="103" hidden="1">
      <c r="A103" s="1" t="s">
        <v>40</v>
      </c>
      <c r="B103" s="1" t="s">
        <v>41</v>
      </c>
      <c r="C103" s="1" t="s">
        <v>42</v>
      </c>
      <c r="D103" s="1">
        <v>12.0</v>
      </c>
      <c r="E103" s="1">
        <v>15.0</v>
      </c>
      <c r="F103" s="1">
        <v>4.0</v>
      </c>
      <c r="G103" s="1">
        <v>10.0</v>
      </c>
      <c r="H103" s="1" t="s">
        <v>43</v>
      </c>
      <c r="I103" s="2">
        <v>45717.0</v>
      </c>
      <c r="J103" s="1">
        <v>1200000.0</v>
      </c>
      <c r="K103" s="2">
        <v>45717.0</v>
      </c>
    </row>
    <row r="104" hidden="1">
      <c r="A104" s="1" t="s">
        <v>28</v>
      </c>
      <c r="B104" s="1" t="s">
        <v>29</v>
      </c>
      <c r="C104" s="1" t="s">
        <v>23</v>
      </c>
      <c r="D104" s="1">
        <v>31.0</v>
      </c>
      <c r="E104" s="1">
        <v>35.0</v>
      </c>
      <c r="F104" s="1">
        <v>3.0</v>
      </c>
      <c r="G104" s="1">
        <v>6.0</v>
      </c>
      <c r="H104" s="1" t="s">
        <v>30</v>
      </c>
      <c r="I104" s="2">
        <v>45891.0</v>
      </c>
      <c r="J104" s="1">
        <v>1250000.0</v>
      </c>
      <c r="K104" s="2">
        <v>45870.0</v>
      </c>
    </row>
    <row r="105" hidden="1">
      <c r="A105" s="1" t="s">
        <v>21</v>
      </c>
      <c r="B105" s="1" t="s">
        <v>22</v>
      </c>
      <c r="C105" s="1" t="s">
        <v>23</v>
      </c>
      <c r="D105" s="1">
        <v>21.0</v>
      </c>
      <c r="E105" s="1">
        <v>50.0</v>
      </c>
      <c r="F105" s="1">
        <v>7.0</v>
      </c>
      <c r="G105" s="1">
        <v>3.0</v>
      </c>
      <c r="H105" s="1" t="s">
        <v>24</v>
      </c>
      <c r="I105" s="2">
        <v>45918.0</v>
      </c>
      <c r="J105" s="1">
        <v>350000.0</v>
      </c>
      <c r="K105" s="2">
        <v>45901.0</v>
      </c>
    </row>
    <row r="106" hidden="1">
      <c r="A106" s="1" t="s">
        <v>11</v>
      </c>
      <c r="B106" s="1" t="s">
        <v>12</v>
      </c>
      <c r="C106" s="1" t="s">
        <v>13</v>
      </c>
      <c r="D106" s="1">
        <v>250.0</v>
      </c>
      <c r="E106" s="1">
        <v>50.0</v>
      </c>
      <c r="F106" s="1">
        <v>1.0</v>
      </c>
      <c r="G106" s="1">
        <v>7.0</v>
      </c>
      <c r="H106" s="1" t="s">
        <v>14</v>
      </c>
      <c r="I106" s="2">
        <v>46050.0</v>
      </c>
      <c r="J106" s="1">
        <v>125000.0</v>
      </c>
      <c r="K106" s="2">
        <v>46023.0</v>
      </c>
    </row>
    <row r="107" hidden="1">
      <c r="A107" s="1" t="s">
        <v>60</v>
      </c>
      <c r="B107" s="1" t="s">
        <v>61</v>
      </c>
      <c r="C107" s="1" t="s">
        <v>17</v>
      </c>
      <c r="D107" s="1">
        <v>-19.0</v>
      </c>
      <c r="E107" s="1">
        <v>20.0</v>
      </c>
      <c r="F107" s="1">
        <v>2.0</v>
      </c>
      <c r="G107" s="1">
        <v>18.0</v>
      </c>
      <c r="H107" s="1" t="s">
        <v>27</v>
      </c>
      <c r="I107" s="2">
        <v>45884.0</v>
      </c>
      <c r="J107" s="1">
        <v>3200000.0</v>
      </c>
      <c r="K107" s="2">
        <v>45870.0</v>
      </c>
    </row>
    <row r="108" hidden="1">
      <c r="A108" s="1" t="s">
        <v>25</v>
      </c>
      <c r="B108" s="1" t="s">
        <v>26</v>
      </c>
      <c r="C108" s="1" t="s">
        <v>17</v>
      </c>
      <c r="D108" s="1">
        <v>32.0</v>
      </c>
      <c r="E108" s="1">
        <v>25.0</v>
      </c>
      <c r="F108" s="1">
        <v>4.0</v>
      </c>
      <c r="G108" s="1">
        <v>9.0</v>
      </c>
      <c r="H108" s="1" t="s">
        <v>27</v>
      </c>
      <c r="I108" s="2">
        <v>45708.0</v>
      </c>
      <c r="J108" s="1">
        <v>4500000.0</v>
      </c>
      <c r="K108" s="2">
        <v>45689.0</v>
      </c>
    </row>
    <row r="109" hidden="1">
      <c r="A109" s="1" t="s">
        <v>19</v>
      </c>
      <c r="B109" s="1" t="s">
        <v>20</v>
      </c>
      <c r="C109" s="1" t="s">
        <v>17</v>
      </c>
      <c r="D109" s="1">
        <v>-12.0</v>
      </c>
      <c r="E109" s="1">
        <v>30.0</v>
      </c>
      <c r="F109" s="1">
        <v>6.0</v>
      </c>
      <c r="G109" s="1">
        <v>7.0</v>
      </c>
      <c r="H109" s="1" t="s">
        <v>18</v>
      </c>
      <c r="I109" s="2">
        <v>45975.0</v>
      </c>
      <c r="J109" s="1">
        <v>1200000.0</v>
      </c>
      <c r="K109" s="2">
        <v>45962.0</v>
      </c>
    </row>
    <row r="110" hidden="1">
      <c r="A110" s="1" t="s">
        <v>40</v>
      </c>
      <c r="B110" s="1" t="s">
        <v>41</v>
      </c>
      <c r="C110" s="1" t="s">
        <v>42</v>
      </c>
      <c r="D110" s="1">
        <v>3.0</v>
      </c>
      <c r="E110" s="1">
        <v>15.0</v>
      </c>
      <c r="F110" s="1">
        <v>3.0</v>
      </c>
      <c r="G110" s="1">
        <v>8.0</v>
      </c>
      <c r="H110" s="1" t="s">
        <v>43</v>
      </c>
      <c r="I110" s="2">
        <v>45815.0</v>
      </c>
      <c r="J110" s="1">
        <v>1200000.0</v>
      </c>
      <c r="K110" s="2">
        <v>45809.0</v>
      </c>
    </row>
    <row r="111" hidden="1">
      <c r="A111" s="1" t="s">
        <v>51</v>
      </c>
      <c r="B111" s="1" t="s">
        <v>52</v>
      </c>
      <c r="C111" s="1" t="s">
        <v>36</v>
      </c>
      <c r="D111" s="1">
        <v>0.0</v>
      </c>
      <c r="E111" s="1">
        <v>60.0</v>
      </c>
      <c r="F111" s="1">
        <v>13.0</v>
      </c>
      <c r="G111" s="1">
        <v>4.0</v>
      </c>
      <c r="H111" s="1" t="s">
        <v>50</v>
      </c>
      <c r="I111" s="2">
        <v>46004.0</v>
      </c>
      <c r="J111" s="1">
        <v>175000.0</v>
      </c>
      <c r="K111" s="2">
        <v>45992.0</v>
      </c>
    </row>
    <row r="112" hidden="1">
      <c r="A112" s="1" t="s">
        <v>21</v>
      </c>
      <c r="B112" s="1" t="s">
        <v>22</v>
      </c>
      <c r="C112" s="1" t="s">
        <v>23</v>
      </c>
      <c r="D112" s="1">
        <v>26.0</v>
      </c>
      <c r="E112" s="1">
        <v>50.0</v>
      </c>
      <c r="F112" s="1">
        <v>8.0</v>
      </c>
      <c r="G112" s="1">
        <v>3.0</v>
      </c>
      <c r="H112" s="1" t="s">
        <v>24</v>
      </c>
      <c r="I112" s="2">
        <v>45884.0</v>
      </c>
      <c r="J112" s="1">
        <v>350000.0</v>
      </c>
      <c r="K112" s="2">
        <v>45870.0</v>
      </c>
    </row>
    <row r="113" hidden="1">
      <c r="A113" s="1" t="s">
        <v>46</v>
      </c>
      <c r="B113" s="1" t="s">
        <v>47</v>
      </c>
      <c r="C113" s="1" t="s">
        <v>23</v>
      </c>
      <c r="D113" s="1">
        <v>32.0</v>
      </c>
      <c r="E113" s="1">
        <v>40.0</v>
      </c>
      <c r="F113" s="1">
        <v>5.0</v>
      </c>
      <c r="G113" s="1">
        <v>5.0</v>
      </c>
      <c r="H113" s="1" t="s">
        <v>30</v>
      </c>
      <c r="I113" s="2">
        <v>45915.0</v>
      </c>
      <c r="J113" s="1">
        <v>550000.0</v>
      </c>
      <c r="K113" s="2">
        <v>45901.0</v>
      </c>
    </row>
    <row r="114" hidden="1">
      <c r="A114" s="1" t="s">
        <v>21</v>
      </c>
      <c r="B114" s="1" t="s">
        <v>22</v>
      </c>
      <c r="C114" s="1" t="s">
        <v>23</v>
      </c>
      <c r="D114" s="1">
        <v>28.0</v>
      </c>
      <c r="E114" s="1">
        <v>50.0</v>
      </c>
      <c r="F114" s="1">
        <v>7.0</v>
      </c>
      <c r="G114" s="1">
        <v>7.0</v>
      </c>
      <c r="H114" s="1" t="s">
        <v>24</v>
      </c>
      <c r="I114" s="2">
        <v>45939.0</v>
      </c>
      <c r="J114" s="1">
        <v>350000.0</v>
      </c>
      <c r="K114" s="2">
        <v>45931.0</v>
      </c>
    </row>
    <row r="115" hidden="1">
      <c r="A115" s="1" t="s">
        <v>60</v>
      </c>
      <c r="B115" s="1" t="s">
        <v>61</v>
      </c>
      <c r="C115" s="1" t="s">
        <v>17</v>
      </c>
      <c r="D115" s="1">
        <v>0.0</v>
      </c>
      <c r="E115" s="1">
        <v>20.0</v>
      </c>
      <c r="F115" s="1">
        <v>1.0</v>
      </c>
      <c r="G115" s="1">
        <v>23.0</v>
      </c>
      <c r="H115" s="1" t="s">
        <v>27</v>
      </c>
      <c r="I115" s="2">
        <v>45689.0</v>
      </c>
      <c r="J115" s="1">
        <v>3200000.0</v>
      </c>
      <c r="K115" s="2">
        <v>45689.0</v>
      </c>
    </row>
    <row r="116" hidden="1">
      <c r="A116" s="1" t="s">
        <v>31</v>
      </c>
      <c r="B116" s="1" t="s">
        <v>32</v>
      </c>
      <c r="C116" s="1" t="s">
        <v>13</v>
      </c>
      <c r="D116" s="1">
        <v>221.0</v>
      </c>
      <c r="E116" s="1">
        <v>40.0</v>
      </c>
      <c r="F116" s="1">
        <v>2.0</v>
      </c>
      <c r="G116" s="1">
        <v>5.0</v>
      </c>
      <c r="H116" s="1" t="s">
        <v>33</v>
      </c>
      <c r="I116" s="2">
        <v>45791.0</v>
      </c>
      <c r="J116" s="1">
        <v>550000.0</v>
      </c>
      <c r="K116" s="2">
        <v>45778.0</v>
      </c>
    </row>
    <row r="117" hidden="1">
      <c r="A117" s="1" t="s">
        <v>40</v>
      </c>
      <c r="B117" s="1" t="s">
        <v>41</v>
      </c>
      <c r="C117" s="1" t="s">
        <v>42</v>
      </c>
      <c r="D117" s="1">
        <v>22.0</v>
      </c>
      <c r="E117" s="1">
        <v>15.0</v>
      </c>
      <c r="F117" s="1">
        <v>3.0</v>
      </c>
      <c r="G117" s="1">
        <v>4.0</v>
      </c>
      <c r="H117" s="1" t="s">
        <v>43</v>
      </c>
      <c r="I117" s="2">
        <v>45919.0</v>
      </c>
      <c r="J117" s="1">
        <v>1200000.0</v>
      </c>
      <c r="K117" s="2">
        <v>45901.0</v>
      </c>
    </row>
    <row r="118" hidden="1">
      <c r="A118" s="1" t="s">
        <v>11</v>
      </c>
      <c r="B118" s="1" t="s">
        <v>12</v>
      </c>
      <c r="C118" s="1" t="s">
        <v>13</v>
      </c>
      <c r="D118" s="1">
        <v>185.0</v>
      </c>
      <c r="E118" s="1">
        <v>50.0</v>
      </c>
      <c r="F118" s="1">
        <v>2.0</v>
      </c>
      <c r="G118" s="1">
        <v>8.0</v>
      </c>
      <c r="H118" s="1" t="s">
        <v>14</v>
      </c>
      <c r="I118" s="2">
        <v>46078.0</v>
      </c>
      <c r="J118" s="1">
        <v>125000.0</v>
      </c>
      <c r="K118" s="2">
        <v>46054.0</v>
      </c>
    </row>
    <row r="119" hidden="1">
      <c r="A119" s="1" t="s">
        <v>64</v>
      </c>
      <c r="B119" s="1" t="s">
        <v>65</v>
      </c>
      <c r="C119" s="1" t="s">
        <v>42</v>
      </c>
      <c r="D119" s="1">
        <v>32.0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45865.0</v>
      </c>
      <c r="J119" s="1">
        <v>750000.0</v>
      </c>
      <c r="K119" s="2">
        <v>45839.0</v>
      </c>
    </row>
    <row r="120" hidden="1">
      <c r="A120" s="1" t="s">
        <v>25</v>
      </c>
      <c r="B120" s="1" t="s">
        <v>26</v>
      </c>
      <c r="C120" s="1" t="s">
        <v>17</v>
      </c>
      <c r="D120" s="1">
        <v>32.0</v>
      </c>
      <c r="E120" s="1">
        <v>25.0</v>
      </c>
      <c r="F120" s="1">
        <v>3.0</v>
      </c>
      <c r="G120" s="1">
        <v>8.0</v>
      </c>
      <c r="H120" s="1" t="s">
        <v>27</v>
      </c>
      <c r="I120" s="2">
        <v>45755.0</v>
      </c>
      <c r="J120" s="1">
        <v>4500000.0</v>
      </c>
      <c r="K120" s="2">
        <v>45748.0</v>
      </c>
    </row>
    <row r="121" hidden="1">
      <c r="A121" s="1" t="s">
        <v>48</v>
      </c>
      <c r="B121" s="1" t="s">
        <v>49</v>
      </c>
      <c r="C121" s="1" t="s">
        <v>36</v>
      </c>
      <c r="D121" s="1">
        <v>154.0</v>
      </c>
      <c r="E121" s="1">
        <v>120.0</v>
      </c>
      <c r="F121" s="1">
        <v>19.0</v>
      </c>
      <c r="G121" s="1">
        <v>6.0</v>
      </c>
      <c r="H121" s="1" t="s">
        <v>50</v>
      </c>
      <c r="I121" s="2">
        <v>45978.0</v>
      </c>
      <c r="J121" s="1">
        <v>55000.0</v>
      </c>
      <c r="K121" s="2">
        <v>45962.0</v>
      </c>
    </row>
    <row r="122" hidden="1">
      <c r="A122" s="1" t="s">
        <v>28</v>
      </c>
      <c r="B122" s="1" t="s">
        <v>29</v>
      </c>
      <c r="C122" s="1" t="s">
        <v>23</v>
      </c>
      <c r="D122" s="1">
        <v>18.0</v>
      </c>
      <c r="E122" s="1">
        <v>35.0</v>
      </c>
      <c r="F122" s="1">
        <v>7.0</v>
      </c>
      <c r="G122" s="1">
        <v>5.0</v>
      </c>
      <c r="H122" s="1" t="s">
        <v>30</v>
      </c>
      <c r="I122" s="2">
        <v>45859.0</v>
      </c>
      <c r="J122" s="1">
        <v>1250000.0</v>
      </c>
      <c r="K122" s="2">
        <v>45839.0</v>
      </c>
    </row>
    <row r="123">
      <c r="A123" s="1" t="s">
        <v>57</v>
      </c>
      <c r="B123" s="1" t="s">
        <v>58</v>
      </c>
      <c r="C123" s="1" t="s">
        <v>42</v>
      </c>
      <c r="D123" s="1">
        <v>14.0</v>
      </c>
      <c r="E123" s="1">
        <v>25.0</v>
      </c>
      <c r="F123" s="1">
        <v>5.0</v>
      </c>
      <c r="G123" s="1">
        <v>9.0</v>
      </c>
      <c r="H123" s="1" t="s">
        <v>59</v>
      </c>
      <c r="I123" s="2">
        <v>45816.0</v>
      </c>
      <c r="J123" s="3"/>
      <c r="K123" s="2">
        <v>45809.0</v>
      </c>
    </row>
    <row r="124" hidden="1">
      <c r="A124" s="1" t="s">
        <v>44</v>
      </c>
      <c r="B124" s="1" t="s">
        <v>45</v>
      </c>
      <c r="C124" s="1" t="s">
        <v>42</v>
      </c>
      <c r="D124" s="1">
        <v>34.0</v>
      </c>
      <c r="E124" s="1">
        <v>30.0</v>
      </c>
      <c r="F124" s="1">
        <v>5.0</v>
      </c>
      <c r="G124" s="1">
        <v>5.0</v>
      </c>
      <c r="H124" s="1" t="s">
        <v>43</v>
      </c>
      <c r="I124" s="2">
        <v>46007.0</v>
      </c>
      <c r="J124" s="1">
        <v>350000.0</v>
      </c>
      <c r="K124" s="2">
        <v>45992.0</v>
      </c>
    </row>
    <row r="125" hidden="1">
      <c r="A125" s="1" t="s">
        <v>38</v>
      </c>
      <c r="B125" s="1" t="s">
        <v>39</v>
      </c>
      <c r="C125" s="1" t="s">
        <v>23</v>
      </c>
      <c r="D125" s="1">
        <v>0.0</v>
      </c>
      <c r="E125" s="1">
        <v>45.0</v>
      </c>
      <c r="F125" s="1">
        <v>13.0</v>
      </c>
      <c r="G125" s="1">
        <v>7.0</v>
      </c>
      <c r="H125" s="1" t="s">
        <v>24</v>
      </c>
      <c r="I125" s="2">
        <v>46015.0</v>
      </c>
      <c r="J125" s="1">
        <v>450000.0</v>
      </c>
      <c r="K125" s="2">
        <v>45992.0</v>
      </c>
    </row>
    <row r="126" hidden="1">
      <c r="A126" s="1" t="s">
        <v>34</v>
      </c>
      <c r="B126" s="1" t="s">
        <v>35</v>
      </c>
      <c r="C126" s="1" t="s">
        <v>36</v>
      </c>
      <c r="D126" s="1">
        <v>17.0</v>
      </c>
      <c r="E126" s="1">
        <v>80.0</v>
      </c>
      <c r="F126" s="1">
        <v>11.0</v>
      </c>
      <c r="G126" s="1">
        <v>5.0</v>
      </c>
      <c r="H126" s="1" t="s">
        <v>37</v>
      </c>
      <c r="I126" s="2">
        <v>45882.0</v>
      </c>
      <c r="J126" s="1">
        <v>65000.0</v>
      </c>
      <c r="K126" s="2">
        <v>45870.0</v>
      </c>
    </row>
    <row r="127" hidden="1">
      <c r="A127" s="1" t="s">
        <v>51</v>
      </c>
      <c r="B127" s="1" t="s">
        <v>52</v>
      </c>
      <c r="C127" s="1" t="s">
        <v>36</v>
      </c>
      <c r="D127" s="1">
        <v>0.0</v>
      </c>
      <c r="E127" s="1">
        <v>60.0</v>
      </c>
      <c r="F127" s="1">
        <v>14.0</v>
      </c>
      <c r="G127" s="1">
        <v>4.0</v>
      </c>
      <c r="H127" s="1" t="s">
        <v>50</v>
      </c>
      <c r="I127" s="2">
        <v>45741.0</v>
      </c>
      <c r="J127" s="1">
        <v>175000.0</v>
      </c>
      <c r="K127" s="2">
        <v>45717.0</v>
      </c>
    </row>
    <row r="128" hidden="1">
      <c r="A128" s="1" t="s">
        <v>40</v>
      </c>
      <c r="B128" s="1" t="s">
        <v>41</v>
      </c>
      <c r="C128" s="1" t="s">
        <v>42</v>
      </c>
      <c r="D128" s="1">
        <v>13.0</v>
      </c>
      <c r="E128" s="1">
        <v>15.0</v>
      </c>
      <c r="F128" s="1">
        <v>2.0</v>
      </c>
      <c r="G128" s="1">
        <v>7.0</v>
      </c>
      <c r="H128" s="1" t="s">
        <v>43</v>
      </c>
      <c r="I128" s="2">
        <v>45799.0</v>
      </c>
      <c r="J128" s="1">
        <v>1200000.0</v>
      </c>
      <c r="K128" s="2">
        <v>45778.0</v>
      </c>
    </row>
    <row r="129" hidden="1">
      <c r="A129" s="1" t="s">
        <v>34</v>
      </c>
      <c r="B129" s="1" t="s">
        <v>35</v>
      </c>
      <c r="C129" s="1" t="s">
        <v>36</v>
      </c>
      <c r="D129" s="1">
        <v>9.0</v>
      </c>
      <c r="E129" s="1">
        <v>80.0</v>
      </c>
      <c r="F129" s="1">
        <v>11.0</v>
      </c>
      <c r="G129" s="1">
        <v>4.0</v>
      </c>
      <c r="H129" s="1" t="s">
        <v>37</v>
      </c>
      <c r="I129" s="2">
        <v>46077.0</v>
      </c>
      <c r="J129" s="1">
        <v>65000.0</v>
      </c>
      <c r="K129" s="2">
        <v>46054.0</v>
      </c>
    </row>
    <row r="130" hidden="1">
      <c r="A130" s="1" t="s">
        <v>53</v>
      </c>
      <c r="B130" s="1" t="s">
        <v>54</v>
      </c>
      <c r="C130" s="1" t="s">
        <v>13</v>
      </c>
      <c r="D130" s="1">
        <v>202.0</v>
      </c>
      <c r="E130" s="1">
        <v>60.0</v>
      </c>
      <c r="F130" s="1">
        <v>2.0</v>
      </c>
      <c r="G130" s="1">
        <v>4.0</v>
      </c>
      <c r="H130" s="1" t="s">
        <v>14</v>
      </c>
      <c r="I130" s="2">
        <v>46019.0</v>
      </c>
      <c r="J130" s="1">
        <v>165000.0</v>
      </c>
      <c r="K130" s="2">
        <v>45992.0</v>
      </c>
    </row>
    <row r="131" hidden="1">
      <c r="A131" s="1" t="s">
        <v>53</v>
      </c>
      <c r="B131" s="1" t="s">
        <v>54</v>
      </c>
      <c r="C131" s="1" t="s">
        <v>13</v>
      </c>
      <c r="D131" s="1">
        <v>252.0</v>
      </c>
      <c r="E131" s="1">
        <v>60.0</v>
      </c>
      <c r="F131" s="1">
        <v>4.0</v>
      </c>
      <c r="G131" s="1">
        <v>7.0</v>
      </c>
      <c r="H131" s="1" t="s">
        <v>14</v>
      </c>
      <c r="I131" s="2">
        <v>45930.0</v>
      </c>
      <c r="J131" s="1">
        <v>165000.0</v>
      </c>
      <c r="K131" s="2">
        <v>45901.0</v>
      </c>
    </row>
    <row r="132" hidden="1">
      <c r="A132" s="1" t="s">
        <v>64</v>
      </c>
      <c r="B132" s="1" t="s">
        <v>65</v>
      </c>
      <c r="C132" s="1" t="s">
        <v>42</v>
      </c>
      <c r="D132" s="1">
        <v>20.0</v>
      </c>
      <c r="E132" s="1">
        <v>20.0</v>
      </c>
      <c r="F132" s="1">
        <v>2.0</v>
      </c>
      <c r="G132" s="1">
        <v>7.0</v>
      </c>
      <c r="H132" s="1" t="s">
        <v>59</v>
      </c>
      <c r="I132" s="2">
        <v>46027.0</v>
      </c>
      <c r="J132" s="1">
        <v>750000.0</v>
      </c>
      <c r="K132" s="2">
        <v>46023.0</v>
      </c>
    </row>
    <row r="133" hidden="1">
      <c r="A133" s="1" t="s">
        <v>31</v>
      </c>
      <c r="B133" s="1" t="s">
        <v>32</v>
      </c>
      <c r="C133" s="1" t="s">
        <v>13</v>
      </c>
      <c r="D133" s="1">
        <v>153.0</v>
      </c>
      <c r="E133" s="1">
        <v>40.0</v>
      </c>
      <c r="F133" s="1">
        <v>4.0</v>
      </c>
      <c r="G133" s="1">
        <v>5.0</v>
      </c>
      <c r="H133" s="1" t="s">
        <v>33</v>
      </c>
      <c r="I133" s="2">
        <v>46097.0</v>
      </c>
      <c r="J133" s="1">
        <v>550000.0</v>
      </c>
      <c r="K133" s="2">
        <v>46082.0</v>
      </c>
    </row>
    <row r="134" hidden="1">
      <c r="A134" s="1" t="s">
        <v>57</v>
      </c>
      <c r="B134" s="1" t="s">
        <v>58</v>
      </c>
      <c r="C134" s="1" t="s">
        <v>42</v>
      </c>
      <c r="D134" s="1">
        <v>41.0</v>
      </c>
      <c r="E134" s="1">
        <v>25.0</v>
      </c>
      <c r="F134" s="1">
        <v>4.0</v>
      </c>
      <c r="G134" s="1">
        <v>10.0</v>
      </c>
      <c r="H134" s="1" t="s">
        <v>59</v>
      </c>
      <c r="I134" s="2">
        <v>45801.0</v>
      </c>
      <c r="J134" s="1">
        <v>450000.0</v>
      </c>
      <c r="K134" s="2">
        <v>45778.0</v>
      </c>
    </row>
    <row r="135">
      <c r="A135" s="1" t="s">
        <v>62</v>
      </c>
      <c r="B135" s="1" t="s">
        <v>63</v>
      </c>
      <c r="C135" s="1" t="s">
        <v>13</v>
      </c>
      <c r="D135" s="1">
        <v>405.0</v>
      </c>
      <c r="E135" s="1">
        <v>80.0</v>
      </c>
      <c r="F135" s="3"/>
      <c r="G135" s="1">
        <v>5.0</v>
      </c>
      <c r="H135" s="1" t="s">
        <v>33</v>
      </c>
      <c r="I135" s="2">
        <v>45663.0</v>
      </c>
      <c r="J135" s="1">
        <v>85000.0</v>
      </c>
      <c r="K135" s="2">
        <v>45658.0</v>
      </c>
    </row>
    <row r="136" hidden="1">
      <c r="A136" s="1" t="s">
        <v>64</v>
      </c>
      <c r="B136" s="1" t="s">
        <v>65</v>
      </c>
      <c r="C136" s="1" t="s">
        <v>42</v>
      </c>
      <c r="D136" s="1">
        <v>32.0</v>
      </c>
      <c r="E136" s="1">
        <v>20.0</v>
      </c>
      <c r="F136" s="1">
        <v>1.0</v>
      </c>
      <c r="G136" s="1">
        <v>8.0</v>
      </c>
      <c r="H136" s="1" t="s">
        <v>59</v>
      </c>
      <c r="I136" s="2">
        <v>45955.0</v>
      </c>
      <c r="J136" s="1">
        <v>750000.0</v>
      </c>
      <c r="K136" s="2">
        <v>45931.0</v>
      </c>
    </row>
    <row r="137" hidden="1">
      <c r="A137" s="1" t="s">
        <v>60</v>
      </c>
      <c r="B137" s="1" t="s">
        <v>61</v>
      </c>
      <c r="C137" s="1" t="s">
        <v>17</v>
      </c>
      <c r="D137" s="1">
        <v>0.0</v>
      </c>
      <c r="E137" s="1">
        <v>20.0</v>
      </c>
      <c r="F137" s="1">
        <v>3.0</v>
      </c>
      <c r="G137" s="1">
        <v>7.0</v>
      </c>
      <c r="H137" s="1" t="s">
        <v>27</v>
      </c>
      <c r="I137" s="2">
        <v>45919.0</v>
      </c>
      <c r="J137" s="1">
        <v>3200000.0</v>
      </c>
      <c r="K137" s="2">
        <v>45901.0</v>
      </c>
    </row>
    <row r="138" hidden="1">
      <c r="A138" s="1" t="s">
        <v>62</v>
      </c>
      <c r="B138" s="1" t="s">
        <v>63</v>
      </c>
      <c r="C138" s="1" t="s">
        <v>13</v>
      </c>
      <c r="D138" s="1">
        <v>255.0</v>
      </c>
      <c r="E138" s="1">
        <v>80.0</v>
      </c>
      <c r="F138" s="1">
        <v>4.0</v>
      </c>
      <c r="G138" s="1">
        <v>6.0</v>
      </c>
      <c r="H138" s="1" t="s">
        <v>33</v>
      </c>
      <c r="I138" s="2">
        <v>46001.0</v>
      </c>
      <c r="J138" s="1">
        <v>85000.0</v>
      </c>
      <c r="K138" s="2">
        <v>45992.0</v>
      </c>
    </row>
    <row r="139" hidden="1">
      <c r="A139" s="1" t="s">
        <v>31</v>
      </c>
      <c r="B139" s="1" t="s">
        <v>32</v>
      </c>
      <c r="C139" s="1" t="s">
        <v>13</v>
      </c>
      <c r="D139" s="1">
        <v>168.0</v>
      </c>
      <c r="E139" s="1">
        <v>40.0</v>
      </c>
      <c r="F139" s="1">
        <v>3.0</v>
      </c>
      <c r="G139" s="1">
        <v>5.0</v>
      </c>
      <c r="H139" s="1" t="s">
        <v>33</v>
      </c>
      <c r="I139" s="2">
        <v>45709.0</v>
      </c>
      <c r="J139" s="1">
        <v>550000.0</v>
      </c>
      <c r="K139" s="2">
        <v>45689.0</v>
      </c>
    </row>
    <row r="140" hidden="1">
      <c r="A140" s="1" t="s">
        <v>57</v>
      </c>
      <c r="B140" s="1" t="s">
        <v>58</v>
      </c>
      <c r="C140" s="1" t="s">
        <v>42</v>
      </c>
      <c r="D140" s="1">
        <v>58.0</v>
      </c>
      <c r="E140" s="1">
        <v>25.0</v>
      </c>
      <c r="F140" s="1">
        <v>1.0</v>
      </c>
      <c r="G140" s="1">
        <v>10.0</v>
      </c>
      <c r="H140" s="1" t="s">
        <v>59</v>
      </c>
      <c r="I140" s="2">
        <v>45952.0</v>
      </c>
      <c r="J140" s="1">
        <v>450000.0</v>
      </c>
      <c r="K140" s="2">
        <v>45931.0</v>
      </c>
    </row>
    <row r="141" hidden="1">
      <c r="A141" s="1" t="s">
        <v>46</v>
      </c>
      <c r="B141" s="1" t="s">
        <v>47</v>
      </c>
      <c r="C141" s="1" t="s">
        <v>23</v>
      </c>
      <c r="D141" s="1">
        <v>42.0</v>
      </c>
      <c r="E141" s="1">
        <v>40.0</v>
      </c>
      <c r="F141" s="1">
        <v>4.0</v>
      </c>
      <c r="G141" s="1">
        <v>7.0</v>
      </c>
      <c r="H141" s="1" t="s">
        <v>30</v>
      </c>
      <c r="I141" s="2">
        <v>45889.0</v>
      </c>
      <c r="J141" s="1">
        <v>550000.0</v>
      </c>
      <c r="K141" s="2">
        <v>45870.0</v>
      </c>
    </row>
    <row r="142" hidden="1">
      <c r="A142" s="1" t="s">
        <v>44</v>
      </c>
      <c r="B142" s="1" t="s">
        <v>45</v>
      </c>
      <c r="C142" s="1" t="s">
        <v>42</v>
      </c>
      <c r="D142" s="1">
        <v>35.0</v>
      </c>
      <c r="E142" s="1">
        <v>30.0</v>
      </c>
      <c r="F142" s="1">
        <v>5.0</v>
      </c>
      <c r="G142" s="1">
        <v>6.0</v>
      </c>
      <c r="H142" s="1" t="s">
        <v>43</v>
      </c>
      <c r="I142" s="2">
        <v>46048.0</v>
      </c>
      <c r="J142" s="1">
        <v>350000.0</v>
      </c>
      <c r="K142" s="2">
        <v>46023.0</v>
      </c>
    </row>
    <row r="143" hidden="1">
      <c r="A143" s="1" t="s">
        <v>46</v>
      </c>
      <c r="B143" s="1" t="s">
        <v>47</v>
      </c>
      <c r="C143" s="1" t="s">
        <v>23</v>
      </c>
      <c r="D143" s="1">
        <v>36.0</v>
      </c>
      <c r="E143" s="1">
        <v>40.0</v>
      </c>
      <c r="F143" s="1">
        <v>6.0</v>
      </c>
      <c r="G143" s="1">
        <v>4.0</v>
      </c>
      <c r="H143" s="1" t="s">
        <v>30</v>
      </c>
      <c r="I143" s="2">
        <v>46044.0</v>
      </c>
      <c r="J143" s="1">
        <v>550000.0</v>
      </c>
      <c r="K143" s="2">
        <v>46023.0</v>
      </c>
    </row>
    <row r="144" hidden="1">
      <c r="A144" s="1" t="s">
        <v>48</v>
      </c>
      <c r="B144" s="1" t="s">
        <v>49</v>
      </c>
      <c r="C144" s="1" t="s">
        <v>36</v>
      </c>
      <c r="D144" s="1">
        <v>87.0</v>
      </c>
      <c r="E144" s="1">
        <v>120.0</v>
      </c>
      <c r="F144" s="1">
        <v>18.0</v>
      </c>
      <c r="G144" s="1">
        <v>7.0</v>
      </c>
      <c r="H144" s="1" t="s">
        <v>50</v>
      </c>
      <c r="I144" s="2">
        <v>45748.0</v>
      </c>
      <c r="J144" s="1">
        <v>55000.0</v>
      </c>
      <c r="K144" s="2">
        <v>45748.0</v>
      </c>
    </row>
    <row r="145" hidden="1">
      <c r="A145" s="1" t="s">
        <v>51</v>
      </c>
      <c r="B145" s="1" t="s">
        <v>52</v>
      </c>
      <c r="C145" s="1" t="s">
        <v>36</v>
      </c>
      <c r="D145" s="1">
        <v>35.0</v>
      </c>
      <c r="E145" s="1">
        <v>60.0</v>
      </c>
      <c r="F145" s="1">
        <v>6.0</v>
      </c>
      <c r="G145" s="1">
        <v>7.0</v>
      </c>
      <c r="H145" s="1" t="s">
        <v>50</v>
      </c>
      <c r="I145" s="2">
        <v>46221.0</v>
      </c>
      <c r="J145" s="1">
        <v>175000.0</v>
      </c>
      <c r="K145" s="2">
        <v>46023.0</v>
      </c>
    </row>
    <row r="146" hidden="1">
      <c r="A146" s="1" t="s">
        <v>40</v>
      </c>
      <c r="B146" s="1" t="s">
        <v>41</v>
      </c>
      <c r="C146" s="1" t="s">
        <v>42</v>
      </c>
      <c r="D146" s="1">
        <v>32.0</v>
      </c>
      <c r="E146" s="1">
        <v>15.0</v>
      </c>
      <c r="F146" s="1">
        <v>1.0</v>
      </c>
      <c r="G146" s="1">
        <v>8.0</v>
      </c>
      <c r="H146" s="1" t="s">
        <v>43</v>
      </c>
      <c r="I146" s="2">
        <v>46079.0</v>
      </c>
      <c r="J146" s="1">
        <v>1200000.0</v>
      </c>
      <c r="K146" s="2">
        <v>46054.0</v>
      </c>
    </row>
    <row r="147" hidden="1">
      <c r="A147" s="1" t="s">
        <v>31</v>
      </c>
      <c r="B147" s="1" t="s">
        <v>32</v>
      </c>
      <c r="C147" s="1" t="s">
        <v>13</v>
      </c>
      <c r="D147" s="1">
        <v>139.0</v>
      </c>
      <c r="E147" s="1">
        <v>40.0</v>
      </c>
      <c r="F147" s="1">
        <v>2.0</v>
      </c>
      <c r="G147" s="1">
        <v>6.0</v>
      </c>
      <c r="H147" s="1" t="s">
        <v>33</v>
      </c>
      <c r="I147" s="2">
        <v>45845.0</v>
      </c>
      <c r="J147" s="1">
        <v>550000.0</v>
      </c>
      <c r="K147" s="2">
        <v>45839.0</v>
      </c>
    </row>
    <row r="148" hidden="1">
      <c r="A148" s="1" t="s">
        <v>31</v>
      </c>
      <c r="B148" s="1" t="s">
        <v>32</v>
      </c>
      <c r="C148" s="1" t="s">
        <v>13</v>
      </c>
      <c r="D148" s="1">
        <v>169.0</v>
      </c>
      <c r="E148" s="1">
        <v>40.0</v>
      </c>
      <c r="F148" s="1">
        <v>3.0</v>
      </c>
      <c r="G148" s="1">
        <v>4.0</v>
      </c>
      <c r="H148" s="1" t="s">
        <v>33</v>
      </c>
      <c r="I148" s="2">
        <v>46074.0</v>
      </c>
      <c r="J148" s="1">
        <v>550000.0</v>
      </c>
      <c r="K148" s="2">
        <v>46054.0</v>
      </c>
    </row>
    <row r="149" hidden="1">
      <c r="A149" s="1" t="s">
        <v>15</v>
      </c>
      <c r="B149" s="1" t="s">
        <v>16</v>
      </c>
      <c r="C149" s="1" t="s">
        <v>17</v>
      </c>
      <c r="D149" s="1">
        <v>25.0</v>
      </c>
      <c r="E149" s="1">
        <v>15.0</v>
      </c>
      <c r="F149" s="1">
        <v>2.0</v>
      </c>
      <c r="G149" s="1">
        <v>8.0</v>
      </c>
      <c r="H149" s="1" t="s">
        <v>18</v>
      </c>
      <c r="I149" s="2">
        <v>45718.0</v>
      </c>
      <c r="J149" s="1">
        <v>8500000.0</v>
      </c>
      <c r="K149" s="2">
        <v>45717.0</v>
      </c>
    </row>
    <row r="150" hidden="1">
      <c r="A150" s="1" t="s">
        <v>46</v>
      </c>
      <c r="B150" s="1" t="s">
        <v>47</v>
      </c>
      <c r="C150" s="1" t="s">
        <v>23</v>
      </c>
      <c r="D150" s="1">
        <v>0.0</v>
      </c>
      <c r="E150" s="1">
        <v>40.0</v>
      </c>
      <c r="F150" s="1">
        <v>8.0</v>
      </c>
      <c r="G150" s="1">
        <v>8.0</v>
      </c>
      <c r="H150" s="1" t="s">
        <v>30</v>
      </c>
      <c r="I150" s="2">
        <v>45964.0</v>
      </c>
      <c r="J150" s="1">
        <v>550000.0</v>
      </c>
      <c r="K150" s="2">
        <v>45962.0</v>
      </c>
    </row>
    <row r="151" hidden="1">
      <c r="A151" s="1" t="s">
        <v>21</v>
      </c>
      <c r="B151" s="1" t="s">
        <v>22</v>
      </c>
      <c r="C151" s="1" t="s">
        <v>23</v>
      </c>
      <c r="D151" s="1">
        <v>28.0</v>
      </c>
      <c r="E151" s="1">
        <v>50.0</v>
      </c>
      <c r="F151" s="1">
        <v>7.0</v>
      </c>
      <c r="G151" s="1">
        <v>7.0</v>
      </c>
      <c r="H151" s="1" t="s">
        <v>24</v>
      </c>
      <c r="I151" s="2">
        <v>45939.0</v>
      </c>
      <c r="J151" s="1">
        <v>350000.0</v>
      </c>
      <c r="K151" s="2">
        <v>45931.0</v>
      </c>
    </row>
    <row r="152" hidden="1">
      <c r="A152" s="1" t="s">
        <v>11</v>
      </c>
      <c r="B152" s="1" t="s">
        <v>12</v>
      </c>
      <c r="C152" s="1" t="s">
        <v>13</v>
      </c>
      <c r="D152" s="1">
        <v>230.0</v>
      </c>
      <c r="E152" s="1">
        <v>50.0</v>
      </c>
      <c r="F152" s="1">
        <v>1.0</v>
      </c>
      <c r="G152" s="1">
        <v>4.0</v>
      </c>
      <c r="H152" s="1" t="s">
        <v>14</v>
      </c>
      <c r="I152" s="2">
        <v>45939.0</v>
      </c>
      <c r="J152" s="1">
        <v>125000.0</v>
      </c>
      <c r="K152" s="2">
        <v>45931.0</v>
      </c>
    </row>
    <row r="153" hidden="1">
      <c r="A153" s="1" t="s">
        <v>64</v>
      </c>
      <c r="B153" s="1" t="s">
        <v>65</v>
      </c>
      <c r="C153" s="1" t="s">
        <v>42</v>
      </c>
      <c r="D153" s="1">
        <v>27.0</v>
      </c>
      <c r="E153" s="1">
        <v>20.0</v>
      </c>
      <c r="F153" s="1">
        <v>3.0</v>
      </c>
      <c r="G153" s="1">
        <v>9.0</v>
      </c>
      <c r="H153" s="1" t="s">
        <v>59</v>
      </c>
      <c r="I153" s="2">
        <v>45673.0</v>
      </c>
      <c r="J153" s="1">
        <v>750000.0</v>
      </c>
      <c r="K153" s="2">
        <v>45658.0</v>
      </c>
    </row>
    <row r="154" hidden="1">
      <c r="A154" s="1" t="s">
        <v>53</v>
      </c>
      <c r="B154" s="1" t="s">
        <v>54</v>
      </c>
      <c r="C154" s="1" t="s">
        <v>13</v>
      </c>
      <c r="D154" s="1">
        <v>305.0</v>
      </c>
      <c r="E154" s="1">
        <v>60.0</v>
      </c>
      <c r="F154" s="1">
        <v>4.0</v>
      </c>
      <c r="G154" s="1">
        <v>4.0</v>
      </c>
      <c r="H154" s="1" t="s">
        <v>14</v>
      </c>
      <c r="I154" s="2">
        <v>46068.0</v>
      </c>
      <c r="J154" s="1">
        <v>165000.0</v>
      </c>
      <c r="K154" s="2">
        <v>46054.0</v>
      </c>
    </row>
    <row r="155" hidden="1">
      <c r="A155" s="1" t="s">
        <v>34</v>
      </c>
      <c r="B155" s="1" t="s">
        <v>35</v>
      </c>
      <c r="C155" s="1" t="s">
        <v>36</v>
      </c>
      <c r="D155" s="1">
        <v>56.0</v>
      </c>
      <c r="E155" s="1">
        <v>80.0</v>
      </c>
      <c r="F155" s="1">
        <v>18.0</v>
      </c>
      <c r="G155" s="1">
        <v>5.0</v>
      </c>
      <c r="H155" s="1" t="s">
        <v>37</v>
      </c>
      <c r="I155" s="2">
        <v>46110.0</v>
      </c>
      <c r="J155" s="1">
        <v>65000.0</v>
      </c>
      <c r="K155" s="2">
        <v>46082.0</v>
      </c>
    </row>
    <row r="156" hidden="1">
      <c r="A156" s="1" t="s">
        <v>64</v>
      </c>
      <c r="B156" s="1" t="s">
        <v>65</v>
      </c>
      <c r="C156" s="1" t="s">
        <v>42</v>
      </c>
      <c r="D156" s="1">
        <v>42.0</v>
      </c>
      <c r="E156" s="1">
        <v>20.0</v>
      </c>
      <c r="F156" s="1">
        <v>1.0</v>
      </c>
      <c r="G156" s="1">
        <v>10.0</v>
      </c>
      <c r="H156" s="1" t="s">
        <v>59</v>
      </c>
      <c r="I156" s="2">
        <v>45884.0</v>
      </c>
      <c r="J156" s="1">
        <v>750000.0</v>
      </c>
      <c r="K156" s="2">
        <v>45870.0</v>
      </c>
    </row>
    <row r="157" hidden="1">
      <c r="A157" s="1" t="s">
        <v>21</v>
      </c>
      <c r="B157" s="1" t="s">
        <v>22</v>
      </c>
      <c r="C157" s="1" t="s">
        <v>23</v>
      </c>
      <c r="D157" s="1">
        <v>0.0</v>
      </c>
      <c r="E157" s="1">
        <v>50.0</v>
      </c>
      <c r="F157" s="1">
        <v>14.0</v>
      </c>
      <c r="G157" s="1">
        <v>5.0</v>
      </c>
      <c r="H157" s="1" t="s">
        <v>24</v>
      </c>
      <c r="I157" s="2">
        <v>46101.0</v>
      </c>
      <c r="J157" s="1">
        <v>350000.0</v>
      </c>
      <c r="K157" s="2">
        <v>46082.0</v>
      </c>
    </row>
    <row r="158" hidden="1">
      <c r="A158" s="1" t="s">
        <v>25</v>
      </c>
      <c r="B158" s="1" t="s">
        <v>26</v>
      </c>
      <c r="C158" s="1" t="s">
        <v>17</v>
      </c>
      <c r="D158" s="1">
        <v>23.0</v>
      </c>
      <c r="E158" s="1">
        <v>25.0</v>
      </c>
      <c r="F158" s="1">
        <v>6.0</v>
      </c>
      <c r="G158" s="1">
        <v>10.0</v>
      </c>
      <c r="H158" s="1" t="s">
        <v>27</v>
      </c>
      <c r="I158" s="2">
        <v>46109.0</v>
      </c>
      <c r="J158" s="1">
        <v>4500000.0</v>
      </c>
      <c r="K158" s="2">
        <v>46082.0</v>
      </c>
    </row>
    <row r="159" hidden="1">
      <c r="A159" s="1" t="s">
        <v>38</v>
      </c>
      <c r="B159" s="1" t="s">
        <v>39</v>
      </c>
      <c r="C159" s="1" t="s">
        <v>23</v>
      </c>
      <c r="D159" s="1">
        <v>17.0</v>
      </c>
      <c r="E159" s="1">
        <v>45.0</v>
      </c>
      <c r="F159" s="1">
        <v>7.0</v>
      </c>
      <c r="G159" s="1">
        <v>3.0</v>
      </c>
      <c r="H159" s="1" t="s">
        <v>24</v>
      </c>
      <c r="I159" s="2">
        <v>45910.0</v>
      </c>
      <c r="J159" s="1">
        <v>450000.0</v>
      </c>
      <c r="K159" s="2">
        <v>45901.0</v>
      </c>
    </row>
    <row r="160" hidden="1">
      <c r="A160" s="1" t="s">
        <v>48</v>
      </c>
      <c r="B160" s="1" t="s">
        <v>49</v>
      </c>
      <c r="C160" s="1" t="s">
        <v>36</v>
      </c>
      <c r="D160" s="1">
        <v>30.0</v>
      </c>
      <c r="E160" s="1">
        <v>120.0</v>
      </c>
      <c r="F160" s="1">
        <v>18.0</v>
      </c>
      <c r="G160" s="1">
        <v>4.0</v>
      </c>
      <c r="H160" s="1" t="s">
        <v>50</v>
      </c>
      <c r="I160" s="2">
        <v>46053.0</v>
      </c>
      <c r="J160" s="1">
        <v>55000.0</v>
      </c>
      <c r="K160" s="2">
        <v>46023.0</v>
      </c>
    </row>
    <row r="161" hidden="1">
      <c r="A161" s="1" t="s">
        <v>46</v>
      </c>
      <c r="B161" s="1" t="s">
        <v>47</v>
      </c>
      <c r="C161" s="1" t="s">
        <v>23</v>
      </c>
      <c r="D161" s="1">
        <v>0.0</v>
      </c>
      <c r="E161" s="1">
        <v>40.0</v>
      </c>
      <c r="F161" s="1">
        <v>9.0</v>
      </c>
      <c r="G161" s="1">
        <v>8.0</v>
      </c>
      <c r="H161" s="1" t="s">
        <v>30</v>
      </c>
      <c r="I161" s="2">
        <v>45730.0</v>
      </c>
      <c r="J161" s="1">
        <v>550000.0</v>
      </c>
      <c r="K161" s="2">
        <v>45717.0</v>
      </c>
    </row>
    <row r="162" hidden="1">
      <c r="A162" s="1" t="s">
        <v>55</v>
      </c>
      <c r="B162" s="1" t="s">
        <v>56</v>
      </c>
      <c r="C162" s="1" t="s">
        <v>36</v>
      </c>
      <c r="D162" s="1">
        <v>92.0</v>
      </c>
      <c r="E162" s="1">
        <v>100.0</v>
      </c>
      <c r="F162" s="1">
        <v>15.0</v>
      </c>
      <c r="G162" s="1">
        <v>5.0</v>
      </c>
      <c r="H162" s="1" t="s">
        <v>37</v>
      </c>
      <c r="I162" s="2">
        <v>45897.0</v>
      </c>
      <c r="J162" s="1">
        <v>85000.0</v>
      </c>
      <c r="K162" s="2">
        <v>45870.0</v>
      </c>
    </row>
    <row r="163" hidden="1">
      <c r="A163" s="1" t="s">
        <v>48</v>
      </c>
      <c r="B163" s="1" t="s">
        <v>49</v>
      </c>
      <c r="C163" s="1" t="s">
        <v>36</v>
      </c>
      <c r="D163" s="1">
        <v>39.0</v>
      </c>
      <c r="E163" s="1">
        <v>120.0</v>
      </c>
      <c r="F163" s="1">
        <v>19.0</v>
      </c>
      <c r="G163" s="1">
        <v>3.0</v>
      </c>
      <c r="H163" s="1" t="s">
        <v>50</v>
      </c>
      <c r="I163" s="2">
        <v>45936.0</v>
      </c>
      <c r="J163" s="1">
        <v>55000.0</v>
      </c>
      <c r="K163" s="2">
        <v>45931.0</v>
      </c>
    </row>
    <row r="164" hidden="1">
      <c r="A164" s="1" t="s">
        <v>64</v>
      </c>
      <c r="B164" s="1" t="s">
        <v>65</v>
      </c>
      <c r="C164" s="1" t="s">
        <v>42</v>
      </c>
      <c r="D164" s="1">
        <v>29.0</v>
      </c>
      <c r="E164" s="1">
        <v>20.0</v>
      </c>
      <c r="F164" s="1">
        <v>3.0</v>
      </c>
      <c r="G164" s="1">
        <v>9.0</v>
      </c>
      <c r="H164" s="1" t="s">
        <v>59</v>
      </c>
      <c r="I164" s="2">
        <v>46076.0</v>
      </c>
      <c r="J164" s="1">
        <v>750000.0</v>
      </c>
      <c r="K164" s="2">
        <v>46054.0</v>
      </c>
    </row>
    <row r="165" hidden="1">
      <c r="A165" s="1" t="s">
        <v>34</v>
      </c>
      <c r="B165" s="1" t="s">
        <v>35</v>
      </c>
      <c r="C165" s="1" t="s">
        <v>36</v>
      </c>
      <c r="D165" s="1">
        <v>40.0</v>
      </c>
      <c r="E165" s="1">
        <v>80.0</v>
      </c>
      <c r="F165" s="1">
        <v>12.0</v>
      </c>
      <c r="G165" s="1">
        <v>3.0</v>
      </c>
      <c r="H165" s="1" t="s">
        <v>37</v>
      </c>
      <c r="I165" s="2">
        <v>45673.0</v>
      </c>
      <c r="J165" s="1">
        <v>65000.0</v>
      </c>
      <c r="K165" s="2">
        <v>45658.0</v>
      </c>
    </row>
    <row r="166" hidden="1">
      <c r="A166" s="1" t="s">
        <v>11</v>
      </c>
      <c r="B166" s="1" t="s">
        <v>12</v>
      </c>
      <c r="C166" s="1" t="s">
        <v>13</v>
      </c>
      <c r="D166" s="1">
        <v>261.0</v>
      </c>
      <c r="E166" s="1">
        <v>50.0</v>
      </c>
      <c r="F166" s="1">
        <v>2.0</v>
      </c>
      <c r="G166" s="1">
        <v>5.0</v>
      </c>
      <c r="H166" s="1" t="s">
        <v>14</v>
      </c>
      <c r="I166" s="2">
        <v>45787.0</v>
      </c>
      <c r="J166" s="1">
        <v>125000.0</v>
      </c>
      <c r="K166" s="2">
        <v>45778.0</v>
      </c>
    </row>
    <row r="167" hidden="1">
      <c r="A167" s="1" t="s">
        <v>21</v>
      </c>
      <c r="B167" s="1" t="s">
        <v>22</v>
      </c>
      <c r="C167" s="1" t="s">
        <v>23</v>
      </c>
      <c r="D167" s="1">
        <v>42.0</v>
      </c>
      <c r="E167" s="1">
        <v>50.0</v>
      </c>
      <c r="F167" s="1">
        <v>6.0</v>
      </c>
      <c r="G167" s="1">
        <v>4.0</v>
      </c>
      <c r="H167" s="1" t="s">
        <v>24</v>
      </c>
      <c r="I167" s="2">
        <v>45817.0</v>
      </c>
      <c r="J167" s="1">
        <v>350000.0</v>
      </c>
      <c r="K167" s="2">
        <v>45809.0</v>
      </c>
    </row>
    <row r="168" hidden="1">
      <c r="A168" s="1" t="s">
        <v>53</v>
      </c>
      <c r="B168" s="1" t="s">
        <v>54</v>
      </c>
      <c r="C168" s="1" t="s">
        <v>13</v>
      </c>
      <c r="D168" s="1">
        <v>188.0</v>
      </c>
      <c r="E168" s="1">
        <v>60.0</v>
      </c>
      <c r="F168" s="1">
        <v>3.0</v>
      </c>
      <c r="G168" s="1">
        <v>4.0</v>
      </c>
      <c r="H168" s="1" t="s">
        <v>14</v>
      </c>
      <c r="I168" s="2">
        <v>45659.0</v>
      </c>
      <c r="J168" s="1">
        <v>165000.0</v>
      </c>
      <c r="K168" s="2">
        <v>45658.0</v>
      </c>
    </row>
    <row r="169" hidden="1">
      <c r="A169" s="1" t="s">
        <v>38</v>
      </c>
      <c r="B169" s="1" t="s">
        <v>39</v>
      </c>
      <c r="C169" s="1" t="s">
        <v>23</v>
      </c>
      <c r="D169" s="1">
        <v>0.0</v>
      </c>
      <c r="E169" s="1">
        <v>45.0</v>
      </c>
      <c r="F169" s="1">
        <v>12.0</v>
      </c>
      <c r="G169" s="1">
        <v>4.0</v>
      </c>
      <c r="H169" s="1" t="s">
        <v>24</v>
      </c>
      <c r="I169" s="2">
        <v>45983.0</v>
      </c>
      <c r="J169" s="1">
        <v>450000.0</v>
      </c>
      <c r="K169" s="2">
        <v>45962.0</v>
      </c>
    </row>
    <row r="170" hidden="1">
      <c r="A170" s="1" t="s">
        <v>11</v>
      </c>
      <c r="B170" s="1" t="s">
        <v>12</v>
      </c>
      <c r="C170" s="1" t="s">
        <v>13</v>
      </c>
      <c r="D170" s="1">
        <v>252.0</v>
      </c>
      <c r="E170" s="1">
        <v>50.0</v>
      </c>
      <c r="F170" s="1">
        <v>3.0</v>
      </c>
      <c r="G170" s="1">
        <v>7.0</v>
      </c>
      <c r="H170" s="1" t="s">
        <v>14</v>
      </c>
      <c r="I170" s="2">
        <v>45713.0</v>
      </c>
      <c r="J170" s="1">
        <v>125000.0</v>
      </c>
      <c r="K170" s="2">
        <v>45689.0</v>
      </c>
    </row>
    <row r="171" hidden="1">
      <c r="A171" s="1" t="s">
        <v>40</v>
      </c>
      <c r="B171" s="1" t="s">
        <v>41</v>
      </c>
      <c r="C171" s="1" t="s">
        <v>42</v>
      </c>
      <c r="D171" s="1">
        <v>13.0</v>
      </c>
      <c r="E171" s="1">
        <v>15.0</v>
      </c>
      <c r="F171" s="1">
        <v>3.0</v>
      </c>
      <c r="G171" s="1">
        <v>6.0</v>
      </c>
      <c r="H171" s="1" t="s">
        <v>43</v>
      </c>
      <c r="I171" s="2">
        <v>45949.0</v>
      </c>
      <c r="J171" s="1">
        <v>1200000.0</v>
      </c>
      <c r="K171" s="2">
        <v>45931.0</v>
      </c>
    </row>
    <row r="172" hidden="1">
      <c r="A172" s="1" t="s">
        <v>15</v>
      </c>
      <c r="B172" s="1" t="s">
        <v>16</v>
      </c>
      <c r="C172" s="1" t="s">
        <v>17</v>
      </c>
      <c r="D172" s="1">
        <v>28.0</v>
      </c>
      <c r="E172" s="1">
        <v>15.0</v>
      </c>
      <c r="F172" s="1">
        <v>1.0</v>
      </c>
      <c r="G172" s="1">
        <v>7.0</v>
      </c>
      <c r="H172" s="1" t="s">
        <v>18</v>
      </c>
      <c r="I172" s="2">
        <v>46041.0</v>
      </c>
      <c r="J172" s="1">
        <v>8500000.0</v>
      </c>
      <c r="K172" s="2">
        <v>46023.0</v>
      </c>
    </row>
    <row r="173" hidden="1">
      <c r="A173" s="1" t="s">
        <v>60</v>
      </c>
      <c r="B173" s="1" t="s">
        <v>61</v>
      </c>
      <c r="C173" s="1" t="s">
        <v>17</v>
      </c>
      <c r="D173" s="1">
        <v>33.0</v>
      </c>
      <c r="E173" s="1">
        <v>20.0</v>
      </c>
      <c r="F173" s="1">
        <v>1.0</v>
      </c>
      <c r="G173" s="1">
        <v>12.0</v>
      </c>
      <c r="H173" s="1" t="s">
        <v>27</v>
      </c>
      <c r="I173" s="2">
        <v>45817.0</v>
      </c>
      <c r="J173" s="1">
        <v>3200000.0</v>
      </c>
      <c r="K173" s="2">
        <v>45809.0</v>
      </c>
    </row>
    <row r="174" hidden="1">
      <c r="A174" s="1" t="s">
        <v>25</v>
      </c>
      <c r="B174" s="1" t="s">
        <v>26</v>
      </c>
      <c r="C174" s="1" t="s">
        <v>17</v>
      </c>
      <c r="D174" s="1">
        <v>15.0</v>
      </c>
      <c r="E174" s="1">
        <v>25.0</v>
      </c>
      <c r="F174" s="1">
        <v>4.0</v>
      </c>
      <c r="G174" s="1">
        <v>15.0</v>
      </c>
      <c r="H174" s="1" t="s">
        <v>27</v>
      </c>
      <c r="I174" s="2">
        <v>46070.0</v>
      </c>
      <c r="J174" s="1">
        <v>4500000.0</v>
      </c>
      <c r="K174" s="2">
        <v>46054.0</v>
      </c>
    </row>
    <row r="175" hidden="1">
      <c r="A175" s="1" t="s">
        <v>44</v>
      </c>
      <c r="B175" s="1" t="s">
        <v>45</v>
      </c>
      <c r="C175" s="1" t="s">
        <v>42</v>
      </c>
      <c r="D175" s="1">
        <v>39.0</v>
      </c>
      <c r="E175" s="1">
        <v>30.0</v>
      </c>
      <c r="F175" s="1">
        <v>6.0</v>
      </c>
      <c r="G175" s="1">
        <v>10.0</v>
      </c>
      <c r="H175" s="1" t="s">
        <v>43</v>
      </c>
      <c r="I175" s="2">
        <v>45838.0</v>
      </c>
      <c r="J175" s="1">
        <v>350000.0</v>
      </c>
      <c r="K175" s="2">
        <v>45809.0</v>
      </c>
    </row>
    <row r="176" hidden="1">
      <c r="A176" s="1" t="s">
        <v>57</v>
      </c>
      <c r="B176" s="1" t="s">
        <v>58</v>
      </c>
      <c r="C176" s="1" t="s">
        <v>42</v>
      </c>
      <c r="D176" s="1">
        <v>43.0</v>
      </c>
      <c r="E176" s="1">
        <v>25.0</v>
      </c>
      <c r="F176" s="1">
        <v>4.0</v>
      </c>
      <c r="G176" s="1">
        <v>7.0</v>
      </c>
      <c r="H176" s="1" t="s">
        <v>59</v>
      </c>
      <c r="I176" s="2">
        <v>45896.0</v>
      </c>
      <c r="J176" s="1">
        <v>450000.0</v>
      </c>
      <c r="K176" s="2">
        <v>45870.0</v>
      </c>
    </row>
    <row r="177" hidden="1">
      <c r="A177" s="1" t="s">
        <v>62</v>
      </c>
      <c r="B177" s="1" t="s">
        <v>63</v>
      </c>
      <c r="C177" s="1" t="s">
        <v>13</v>
      </c>
      <c r="D177" s="1">
        <v>472.0</v>
      </c>
      <c r="E177" s="1">
        <v>80.0</v>
      </c>
      <c r="F177" s="1">
        <v>3.0</v>
      </c>
      <c r="G177" s="1">
        <v>4.0</v>
      </c>
      <c r="H177" s="1" t="s">
        <v>33</v>
      </c>
      <c r="I177" s="2">
        <v>45900.0</v>
      </c>
      <c r="J177" s="1">
        <v>85000.0</v>
      </c>
      <c r="K177" s="2">
        <v>45870.0</v>
      </c>
    </row>
    <row r="178" hidden="1">
      <c r="A178" s="1" t="s">
        <v>64</v>
      </c>
      <c r="B178" s="1" t="s">
        <v>65</v>
      </c>
      <c r="C178" s="1" t="s">
        <v>42</v>
      </c>
      <c r="D178" s="1">
        <v>14.0</v>
      </c>
      <c r="E178" s="1">
        <v>20.0</v>
      </c>
      <c r="F178" s="1">
        <v>2.0</v>
      </c>
      <c r="G178" s="1">
        <v>8.0</v>
      </c>
      <c r="H178" s="1" t="s">
        <v>59</v>
      </c>
      <c r="I178" s="2">
        <v>45999.0</v>
      </c>
      <c r="J178" s="1">
        <v>750000.0</v>
      </c>
      <c r="K178" s="2">
        <v>45992.0</v>
      </c>
    </row>
    <row r="179" hidden="1">
      <c r="A179" s="1" t="s">
        <v>44</v>
      </c>
      <c r="B179" s="1" t="s">
        <v>45</v>
      </c>
      <c r="C179" s="1" t="s">
        <v>42</v>
      </c>
      <c r="D179" s="1">
        <v>57.0</v>
      </c>
      <c r="E179" s="1">
        <v>30.0</v>
      </c>
      <c r="F179" s="1">
        <v>5.0</v>
      </c>
      <c r="G179" s="1">
        <v>4.0</v>
      </c>
      <c r="H179" s="1" t="s">
        <v>43</v>
      </c>
      <c r="I179" s="2">
        <v>46098.0</v>
      </c>
      <c r="J179" s="1">
        <v>350000.0</v>
      </c>
      <c r="K179" s="2">
        <v>46082.0</v>
      </c>
    </row>
    <row r="180" hidden="1">
      <c r="A180" s="1" t="s">
        <v>19</v>
      </c>
      <c r="B180" s="1" t="s">
        <v>20</v>
      </c>
      <c r="C180" s="1" t="s">
        <v>17</v>
      </c>
      <c r="D180" s="1">
        <v>1.0</v>
      </c>
      <c r="E180" s="1">
        <v>30.0</v>
      </c>
      <c r="F180" s="1">
        <v>4.0</v>
      </c>
      <c r="G180" s="1">
        <v>5.0</v>
      </c>
      <c r="H180" s="1" t="s">
        <v>18</v>
      </c>
      <c r="I180" s="2">
        <v>45868.0</v>
      </c>
      <c r="J180" s="1">
        <v>1200000.0</v>
      </c>
      <c r="K180" s="2">
        <v>45839.0</v>
      </c>
    </row>
    <row r="181" hidden="1">
      <c r="A181" s="1" t="s">
        <v>28</v>
      </c>
      <c r="B181" s="1" t="s">
        <v>29</v>
      </c>
      <c r="C181" s="1" t="s">
        <v>23</v>
      </c>
      <c r="D181" s="1">
        <v>27.0</v>
      </c>
      <c r="E181" s="1">
        <v>35.0</v>
      </c>
      <c r="F181" s="1">
        <v>4.0</v>
      </c>
      <c r="G181" s="1">
        <v>5.0</v>
      </c>
      <c r="H181" s="1" t="s">
        <v>30</v>
      </c>
      <c r="I181" s="2">
        <v>45817.0</v>
      </c>
      <c r="J181" s="1">
        <v>1250000.0</v>
      </c>
      <c r="K181" s="2">
        <v>45809.0</v>
      </c>
    </row>
    <row r="182" hidden="1">
      <c r="A182" s="1" t="s">
        <v>53</v>
      </c>
      <c r="B182" s="1" t="s">
        <v>54</v>
      </c>
      <c r="C182" s="1" t="s">
        <v>13</v>
      </c>
      <c r="D182" s="1">
        <v>240.0</v>
      </c>
      <c r="E182" s="1">
        <v>60.0</v>
      </c>
      <c r="F182" s="1">
        <v>2.0</v>
      </c>
      <c r="G182" s="1">
        <v>6.0</v>
      </c>
      <c r="H182" s="1" t="s">
        <v>14</v>
      </c>
      <c r="I182" s="2">
        <v>46187.0</v>
      </c>
      <c r="J182" s="1">
        <v>165000.0</v>
      </c>
      <c r="K182" s="2">
        <v>45962.0</v>
      </c>
    </row>
    <row r="183" hidden="1">
      <c r="A183" s="1" t="s">
        <v>44</v>
      </c>
      <c r="B183" s="1" t="s">
        <v>45</v>
      </c>
      <c r="C183" s="1" t="s">
        <v>42</v>
      </c>
      <c r="D183" s="1">
        <v>60.0</v>
      </c>
      <c r="E183" s="1">
        <v>30.0</v>
      </c>
      <c r="F183" s="1">
        <v>4.0</v>
      </c>
      <c r="G183" s="1">
        <v>9.0</v>
      </c>
      <c r="H183" s="1" t="s">
        <v>43</v>
      </c>
      <c r="I183" s="2">
        <v>46062.0</v>
      </c>
      <c r="J183" s="1">
        <v>350000.0</v>
      </c>
      <c r="K183" s="2">
        <v>46054.0</v>
      </c>
    </row>
    <row r="184" hidden="1">
      <c r="A184" s="1" t="s">
        <v>11</v>
      </c>
      <c r="B184" s="1" t="s">
        <v>12</v>
      </c>
      <c r="C184" s="1" t="s">
        <v>13</v>
      </c>
      <c r="D184" s="1">
        <v>216.0</v>
      </c>
      <c r="E184" s="1">
        <v>50.0</v>
      </c>
      <c r="F184" s="1">
        <v>1.0</v>
      </c>
      <c r="G184" s="1">
        <v>8.0</v>
      </c>
      <c r="H184" s="1" t="s">
        <v>14</v>
      </c>
      <c r="I184" s="2">
        <v>45905.0</v>
      </c>
      <c r="J184" s="1">
        <v>125000.0</v>
      </c>
      <c r="K184" s="2">
        <v>45901.0</v>
      </c>
    </row>
    <row r="185" hidden="1">
      <c r="A185" s="1" t="s">
        <v>60</v>
      </c>
      <c r="B185" s="1" t="s">
        <v>61</v>
      </c>
      <c r="C185" s="1" t="s">
        <v>17</v>
      </c>
      <c r="D185" s="1">
        <v>-17.0</v>
      </c>
      <c r="E185" s="1">
        <v>20.0</v>
      </c>
      <c r="F185" s="1">
        <v>5.0</v>
      </c>
      <c r="G185" s="1">
        <v>22.0</v>
      </c>
      <c r="H185" s="1" t="s">
        <v>27</v>
      </c>
      <c r="I185" s="2">
        <v>45998.0</v>
      </c>
      <c r="J185" s="1">
        <v>3200000.0</v>
      </c>
      <c r="K185" s="2">
        <v>45992.0</v>
      </c>
    </row>
    <row r="186" hidden="1">
      <c r="A186" s="1" t="s">
        <v>38</v>
      </c>
      <c r="B186" s="1" t="s">
        <v>39</v>
      </c>
      <c r="C186" s="1" t="s">
        <v>23</v>
      </c>
      <c r="D186" s="1">
        <v>0.0</v>
      </c>
      <c r="E186" s="1">
        <v>45.0</v>
      </c>
      <c r="F186" s="1">
        <v>14.0</v>
      </c>
      <c r="G186" s="1">
        <v>6.0</v>
      </c>
      <c r="H186" s="1" t="s">
        <v>24</v>
      </c>
      <c r="I186" s="2">
        <v>46107.0</v>
      </c>
      <c r="J186" s="1">
        <v>450000.0</v>
      </c>
      <c r="K186" s="2">
        <v>46082.0</v>
      </c>
    </row>
    <row r="187" hidden="1">
      <c r="A187" s="1" t="s">
        <v>11</v>
      </c>
      <c r="B187" s="1" t="s">
        <v>12</v>
      </c>
      <c r="C187" s="1" t="s">
        <v>13</v>
      </c>
      <c r="D187" s="1">
        <v>157.0</v>
      </c>
      <c r="E187" s="1">
        <v>50.0</v>
      </c>
      <c r="F187" s="1">
        <v>1.0</v>
      </c>
      <c r="G187" s="1">
        <v>4.0</v>
      </c>
      <c r="H187" s="1" t="s">
        <v>14</v>
      </c>
      <c r="I187" s="2">
        <v>45823.0</v>
      </c>
      <c r="J187" s="1">
        <v>125000.0</v>
      </c>
      <c r="K187" s="2">
        <v>45809.0</v>
      </c>
    </row>
    <row r="188" hidden="1">
      <c r="A188" s="1" t="s">
        <v>57</v>
      </c>
      <c r="B188" s="1" t="s">
        <v>58</v>
      </c>
      <c r="C188" s="1" t="s">
        <v>42</v>
      </c>
      <c r="D188" s="1">
        <v>42.0</v>
      </c>
      <c r="E188" s="1">
        <v>25.0</v>
      </c>
      <c r="F188" s="1">
        <v>5.0</v>
      </c>
      <c r="G188" s="1">
        <v>10.0</v>
      </c>
      <c r="H188" s="1" t="s">
        <v>59</v>
      </c>
      <c r="I188" s="2">
        <v>45711.0</v>
      </c>
      <c r="J188" s="1">
        <v>450000.0</v>
      </c>
      <c r="K188" s="2">
        <v>45689.0</v>
      </c>
    </row>
    <row r="189" hidden="1">
      <c r="A189" s="1" t="s">
        <v>25</v>
      </c>
      <c r="B189" s="1" t="s">
        <v>26</v>
      </c>
      <c r="C189" s="1" t="s">
        <v>17</v>
      </c>
      <c r="D189" s="1">
        <v>0.0</v>
      </c>
      <c r="E189" s="1">
        <v>25.0</v>
      </c>
      <c r="F189" s="1">
        <v>8.0</v>
      </c>
      <c r="G189" s="1">
        <v>10.0</v>
      </c>
      <c r="H189" s="1" t="s">
        <v>27</v>
      </c>
      <c r="I189" s="2">
        <v>46013.0</v>
      </c>
      <c r="J189" s="1">
        <v>4500000.0</v>
      </c>
      <c r="K189" s="2">
        <v>45992.0</v>
      </c>
    </row>
    <row r="190" hidden="1">
      <c r="A190" s="1" t="s">
        <v>40</v>
      </c>
      <c r="B190" s="1" t="s">
        <v>41</v>
      </c>
      <c r="C190" s="1" t="s">
        <v>42</v>
      </c>
      <c r="D190" s="1">
        <v>22.0</v>
      </c>
      <c r="E190" s="1">
        <v>15.0</v>
      </c>
      <c r="F190" s="1">
        <v>3.0</v>
      </c>
      <c r="G190" s="1">
        <v>4.0</v>
      </c>
      <c r="H190" s="1" t="s">
        <v>43</v>
      </c>
      <c r="I190" s="2">
        <v>45919.0</v>
      </c>
      <c r="J190" s="1">
        <v>1200000.0</v>
      </c>
      <c r="K190" s="2">
        <v>45901.0</v>
      </c>
    </row>
    <row r="191" hidden="1">
      <c r="A191" s="1" t="s">
        <v>57</v>
      </c>
      <c r="B191" s="1" t="s">
        <v>58</v>
      </c>
      <c r="C191" s="1" t="s">
        <v>42</v>
      </c>
      <c r="D191" s="1">
        <v>21.0</v>
      </c>
      <c r="E191" s="1">
        <v>25.0</v>
      </c>
      <c r="F191" s="1">
        <v>3.0</v>
      </c>
      <c r="G191" s="1">
        <v>9.0</v>
      </c>
      <c r="H191" s="1" t="s">
        <v>59</v>
      </c>
      <c r="I191" s="2">
        <v>45854.0</v>
      </c>
      <c r="J191" s="1">
        <v>450000.0</v>
      </c>
      <c r="K191" s="2">
        <v>45839.0</v>
      </c>
    </row>
    <row r="192">
      <c r="A192" s="1" t="s">
        <v>51</v>
      </c>
      <c r="B192" s="1" t="s">
        <v>52</v>
      </c>
      <c r="C192" s="1" t="s">
        <v>36</v>
      </c>
      <c r="D192" s="1">
        <v>12.0</v>
      </c>
      <c r="E192" s="1">
        <v>60.0</v>
      </c>
      <c r="F192" s="1">
        <v>10.0</v>
      </c>
      <c r="G192" s="3"/>
      <c r="H192" s="1" t="s">
        <v>50</v>
      </c>
      <c r="I192" s="2">
        <v>45965.0</v>
      </c>
      <c r="J192" s="1">
        <v>175000.0</v>
      </c>
      <c r="K192" s="2">
        <v>45962.0</v>
      </c>
    </row>
    <row r="193" hidden="1">
      <c r="A193" s="1" t="s">
        <v>15</v>
      </c>
      <c r="B193" s="1" t="s">
        <v>16</v>
      </c>
      <c r="C193" s="1" t="s">
        <v>17</v>
      </c>
      <c r="D193" s="1">
        <v>17.0</v>
      </c>
      <c r="E193" s="1">
        <v>15.0</v>
      </c>
      <c r="F193" s="1">
        <v>1.0</v>
      </c>
      <c r="G193" s="1">
        <v>6.0</v>
      </c>
      <c r="H193" s="1" t="s">
        <v>18</v>
      </c>
      <c r="I193" s="2">
        <v>45665.0</v>
      </c>
      <c r="J193" s="1">
        <v>8500000.0</v>
      </c>
      <c r="K193" s="2">
        <v>45658.0</v>
      </c>
    </row>
    <row r="194" hidden="1">
      <c r="A194" s="1" t="s">
        <v>51</v>
      </c>
      <c r="B194" s="1" t="s">
        <v>52</v>
      </c>
      <c r="C194" s="1" t="s">
        <v>36</v>
      </c>
      <c r="D194" s="1">
        <v>34.0</v>
      </c>
      <c r="E194" s="1">
        <v>60.0</v>
      </c>
      <c r="F194" s="1">
        <v>7.0</v>
      </c>
      <c r="G194" s="1">
        <v>6.0</v>
      </c>
      <c r="H194" s="1" t="s">
        <v>50</v>
      </c>
      <c r="I194" s="2">
        <v>45934.0</v>
      </c>
      <c r="J194" s="1">
        <v>175000.0</v>
      </c>
      <c r="K194" s="2">
        <v>45931.0</v>
      </c>
    </row>
    <row r="195" hidden="1">
      <c r="A195" s="1" t="s">
        <v>51</v>
      </c>
      <c r="B195" s="1" t="s">
        <v>52</v>
      </c>
      <c r="C195" s="1" t="s">
        <v>36</v>
      </c>
      <c r="D195" s="1">
        <v>21.0</v>
      </c>
      <c r="E195" s="1">
        <v>60.0</v>
      </c>
      <c r="F195" s="1">
        <v>9.0</v>
      </c>
      <c r="G195" s="1">
        <v>4.0</v>
      </c>
      <c r="H195" s="1" t="s">
        <v>50</v>
      </c>
      <c r="I195" s="2">
        <v>46067.0</v>
      </c>
      <c r="J195" s="1">
        <v>175000.0</v>
      </c>
      <c r="K195" s="2">
        <v>46054.0</v>
      </c>
    </row>
    <row r="196" hidden="1">
      <c r="A196" s="1" t="s">
        <v>28</v>
      </c>
      <c r="B196" s="1" t="s">
        <v>29</v>
      </c>
      <c r="C196" s="1" t="s">
        <v>23</v>
      </c>
      <c r="D196" s="1">
        <v>0.0</v>
      </c>
      <c r="E196" s="1">
        <v>35.0</v>
      </c>
      <c r="F196" s="1">
        <v>9.0</v>
      </c>
      <c r="G196" s="1">
        <v>6.0</v>
      </c>
      <c r="H196" s="1" t="s">
        <v>30</v>
      </c>
      <c r="I196" s="2">
        <v>45973.0</v>
      </c>
      <c r="J196" s="1">
        <v>1250000.0</v>
      </c>
      <c r="K196" s="2">
        <v>45962.0</v>
      </c>
    </row>
    <row r="197" hidden="1">
      <c r="A197" s="1" t="s">
        <v>31</v>
      </c>
      <c r="B197" s="1" t="s">
        <v>32</v>
      </c>
      <c r="C197" s="1" t="s">
        <v>13</v>
      </c>
      <c r="D197" s="1">
        <v>150.0</v>
      </c>
      <c r="E197" s="1">
        <v>40.0</v>
      </c>
      <c r="F197" s="1">
        <v>4.0</v>
      </c>
      <c r="G197" s="1">
        <v>4.0</v>
      </c>
      <c r="H197" s="1" t="s">
        <v>33</v>
      </c>
      <c r="I197" s="2">
        <v>46040.0</v>
      </c>
      <c r="J197" s="1">
        <v>550000.0</v>
      </c>
      <c r="K197" s="2">
        <v>46023.0</v>
      </c>
    </row>
    <row r="198" hidden="1">
      <c r="A198" s="1" t="s">
        <v>34</v>
      </c>
      <c r="B198" s="1" t="s">
        <v>35</v>
      </c>
      <c r="C198" s="1" t="s">
        <v>36</v>
      </c>
      <c r="D198" s="1">
        <v>18.0</v>
      </c>
      <c r="E198" s="1">
        <v>80.0</v>
      </c>
      <c r="F198" s="1">
        <v>10.0</v>
      </c>
      <c r="G198" s="1">
        <v>4.0</v>
      </c>
      <c r="H198" s="1" t="s">
        <v>37</v>
      </c>
      <c r="I198" s="2">
        <v>46024.0</v>
      </c>
      <c r="J198" s="1">
        <v>65000.0</v>
      </c>
      <c r="K198" s="2">
        <v>46023.0</v>
      </c>
    </row>
    <row r="199" hidden="1">
      <c r="A199" s="1" t="s">
        <v>28</v>
      </c>
      <c r="B199" s="1" t="s">
        <v>29</v>
      </c>
      <c r="C199" s="1" t="s">
        <v>23</v>
      </c>
      <c r="D199" s="1">
        <v>27.0</v>
      </c>
      <c r="E199" s="1">
        <v>35.0</v>
      </c>
      <c r="F199" s="1">
        <v>8.0</v>
      </c>
      <c r="G199" s="1">
        <v>6.0</v>
      </c>
      <c r="H199" s="1" t="s">
        <v>30</v>
      </c>
      <c r="I199" s="2">
        <v>46054.0</v>
      </c>
      <c r="J199" s="1">
        <v>1250000.0</v>
      </c>
      <c r="K199" s="2">
        <v>46054.0</v>
      </c>
    </row>
    <row r="200" hidden="1">
      <c r="A200" s="1" t="s">
        <v>44</v>
      </c>
      <c r="B200" s="1" t="s">
        <v>45</v>
      </c>
      <c r="C200" s="1" t="s">
        <v>42</v>
      </c>
      <c r="D200" s="1">
        <v>39.0</v>
      </c>
      <c r="E200" s="1">
        <v>30.0</v>
      </c>
      <c r="F200" s="1">
        <v>6.0</v>
      </c>
      <c r="G200" s="1">
        <v>10.0</v>
      </c>
      <c r="H200" s="1" t="s">
        <v>43</v>
      </c>
      <c r="I200" s="2">
        <v>45854.0</v>
      </c>
      <c r="J200" s="1">
        <v>350000.0</v>
      </c>
      <c r="K200" s="2">
        <v>45839.0</v>
      </c>
    </row>
    <row r="201" hidden="1">
      <c r="A201" s="1" t="s">
        <v>28</v>
      </c>
      <c r="B201" s="1" t="s">
        <v>29</v>
      </c>
      <c r="C201" s="1" t="s">
        <v>23</v>
      </c>
      <c r="D201" s="1">
        <v>10.0</v>
      </c>
      <c r="E201" s="1">
        <v>35.0</v>
      </c>
      <c r="F201" s="1">
        <v>7.0</v>
      </c>
      <c r="G201" s="1">
        <v>3.0</v>
      </c>
      <c r="H201" s="1" t="s">
        <v>30</v>
      </c>
      <c r="I201" s="2">
        <v>45929.0</v>
      </c>
      <c r="J201" s="1">
        <v>1250000.0</v>
      </c>
      <c r="K201" s="2">
        <v>45901.0</v>
      </c>
    </row>
    <row r="202" hidden="1">
      <c r="A202" s="1" t="s">
        <v>60</v>
      </c>
      <c r="B202" s="1" t="s">
        <v>61</v>
      </c>
      <c r="C202" s="1" t="s">
        <v>17</v>
      </c>
      <c r="D202" s="1">
        <v>7.0</v>
      </c>
      <c r="E202" s="1">
        <v>20.0</v>
      </c>
      <c r="F202" s="1">
        <v>2.0</v>
      </c>
      <c r="G202" s="1">
        <v>13.0</v>
      </c>
      <c r="H202" s="1" t="s">
        <v>27</v>
      </c>
      <c r="I202" s="2">
        <v>45861.0</v>
      </c>
      <c r="J202" s="1">
        <v>3200000.0</v>
      </c>
      <c r="K202" s="2">
        <v>45839.0</v>
      </c>
    </row>
    <row r="203" hidden="1">
      <c r="A203" s="1" t="s">
        <v>21</v>
      </c>
      <c r="B203" s="1" t="s">
        <v>22</v>
      </c>
      <c r="C203" s="1" t="s">
        <v>23</v>
      </c>
      <c r="D203" s="1">
        <v>13.0</v>
      </c>
      <c r="E203" s="1">
        <v>50.0</v>
      </c>
      <c r="F203" s="1">
        <v>8.0</v>
      </c>
      <c r="G203" s="1">
        <v>4.0</v>
      </c>
      <c r="H203" s="1" t="s">
        <v>24</v>
      </c>
      <c r="I203" s="2">
        <v>45691.0</v>
      </c>
      <c r="J203" s="1">
        <v>350000.0</v>
      </c>
      <c r="K203" s="2">
        <v>45689.0</v>
      </c>
    </row>
    <row r="204">
      <c r="A204" s="1" t="s">
        <v>40</v>
      </c>
      <c r="B204" s="1" t="s">
        <v>41</v>
      </c>
      <c r="C204" s="1" t="s">
        <v>42</v>
      </c>
      <c r="D204" s="3"/>
      <c r="E204" s="1">
        <v>15.0</v>
      </c>
      <c r="F204" s="1">
        <v>2.0</v>
      </c>
      <c r="G204" s="1">
        <v>4.0</v>
      </c>
      <c r="H204" s="1" t="s">
        <v>43</v>
      </c>
      <c r="I204" s="2">
        <v>45688.0</v>
      </c>
      <c r="J204" s="1">
        <v>1200000.0</v>
      </c>
      <c r="K204" s="2">
        <v>45658.0</v>
      </c>
    </row>
    <row r="205" hidden="1">
      <c r="A205" s="1" t="s">
        <v>55</v>
      </c>
      <c r="B205" s="1" t="s">
        <v>56</v>
      </c>
      <c r="C205" s="1" t="s">
        <v>36</v>
      </c>
      <c r="D205" s="1">
        <v>19.0</v>
      </c>
      <c r="E205" s="1">
        <v>100.0</v>
      </c>
      <c r="F205" s="1">
        <v>16.0</v>
      </c>
      <c r="G205" s="1">
        <v>4.0</v>
      </c>
      <c r="H205" s="1" t="s">
        <v>37</v>
      </c>
      <c r="I205" s="2">
        <v>45965.0</v>
      </c>
      <c r="J205" s="1">
        <v>85000.0</v>
      </c>
      <c r="K205" s="2">
        <v>45962.0</v>
      </c>
    </row>
    <row r="206" hidden="1">
      <c r="A206" s="1" t="s">
        <v>55</v>
      </c>
      <c r="B206" s="1" t="s">
        <v>56</v>
      </c>
      <c r="C206" s="1" t="s">
        <v>36</v>
      </c>
      <c r="D206" s="1">
        <v>36.0</v>
      </c>
      <c r="E206" s="1">
        <v>100.0</v>
      </c>
      <c r="F206" s="1">
        <v>16.0</v>
      </c>
      <c r="G206" s="1">
        <v>5.0</v>
      </c>
      <c r="H206" s="1" t="s">
        <v>37</v>
      </c>
      <c r="I206" s="2">
        <v>45851.0</v>
      </c>
      <c r="J206" s="1">
        <v>85000.0</v>
      </c>
      <c r="K206" s="2">
        <v>45839.0</v>
      </c>
    </row>
    <row r="207" hidden="1">
      <c r="A207" s="1" t="s">
        <v>34</v>
      </c>
      <c r="B207" s="1" t="s">
        <v>35</v>
      </c>
      <c r="C207" s="1" t="s">
        <v>36</v>
      </c>
      <c r="D207" s="1">
        <v>33.0</v>
      </c>
      <c r="E207" s="1">
        <v>80.0</v>
      </c>
      <c r="F207" s="1">
        <v>13.0</v>
      </c>
      <c r="G207" s="1">
        <v>4.0</v>
      </c>
      <c r="H207" s="1" t="s">
        <v>37</v>
      </c>
      <c r="I207" s="2">
        <v>45697.0</v>
      </c>
      <c r="J207" s="1">
        <v>65000.0</v>
      </c>
      <c r="K207" s="2">
        <v>45689.0</v>
      </c>
    </row>
    <row r="208" hidden="1">
      <c r="A208" s="1" t="s">
        <v>15</v>
      </c>
      <c r="B208" s="1" t="s">
        <v>16</v>
      </c>
      <c r="C208" s="1" t="s">
        <v>17</v>
      </c>
      <c r="D208" s="1">
        <v>0.0</v>
      </c>
      <c r="E208" s="1">
        <v>15.0</v>
      </c>
      <c r="F208" s="1">
        <v>2.0</v>
      </c>
      <c r="G208" s="1">
        <v>8.0</v>
      </c>
      <c r="H208" s="1" t="s">
        <v>18</v>
      </c>
      <c r="I208" s="2">
        <v>45994.0</v>
      </c>
      <c r="J208" s="1">
        <v>8500000.0</v>
      </c>
      <c r="K208" s="2">
        <v>45992.0</v>
      </c>
    </row>
    <row r="209" hidden="1">
      <c r="A209" s="1" t="s">
        <v>19</v>
      </c>
      <c r="B209" s="1" t="s">
        <v>20</v>
      </c>
      <c r="C209" s="1" t="s">
        <v>17</v>
      </c>
      <c r="D209" s="1">
        <v>34.0</v>
      </c>
      <c r="E209" s="1">
        <v>30.0</v>
      </c>
      <c r="F209" s="1">
        <v>4.0</v>
      </c>
      <c r="G209" s="1">
        <v>5.0</v>
      </c>
      <c r="H209" s="1" t="s">
        <v>18</v>
      </c>
      <c r="I209" s="2">
        <v>46083.0</v>
      </c>
      <c r="J209" s="1">
        <v>1200000.0</v>
      </c>
      <c r="K209" s="2">
        <v>46082.0</v>
      </c>
    </row>
    <row r="210" hidden="1">
      <c r="A210" s="1" t="s">
        <v>62</v>
      </c>
      <c r="B210" s="1" t="s">
        <v>63</v>
      </c>
      <c r="C210" s="1" t="s">
        <v>13</v>
      </c>
      <c r="D210" s="1">
        <v>427.0</v>
      </c>
      <c r="E210" s="1">
        <v>80.0</v>
      </c>
      <c r="F210" s="1">
        <v>2.0</v>
      </c>
      <c r="G210" s="1">
        <v>5.0</v>
      </c>
      <c r="H210" s="1" t="s">
        <v>33</v>
      </c>
      <c r="I210" s="2">
        <v>45838.0</v>
      </c>
      <c r="J210" s="1">
        <v>85000.0</v>
      </c>
      <c r="K210" s="2">
        <v>45809.0</v>
      </c>
    </row>
    <row r="211" hidden="1">
      <c r="A211" s="1" t="s">
        <v>51</v>
      </c>
      <c r="B211" s="1" t="s">
        <v>52</v>
      </c>
      <c r="C211" s="1" t="s">
        <v>36</v>
      </c>
      <c r="D211" s="1">
        <v>14.0</v>
      </c>
      <c r="E211" s="1">
        <v>60.0</v>
      </c>
      <c r="F211" s="1">
        <v>8.0</v>
      </c>
      <c r="G211" s="1">
        <v>6.0</v>
      </c>
      <c r="H211" s="1" t="s">
        <v>50</v>
      </c>
      <c r="I211" s="2">
        <v>45930.0</v>
      </c>
      <c r="J211" s="1">
        <v>175000.0</v>
      </c>
      <c r="K211" s="2">
        <v>45901.0</v>
      </c>
    </row>
    <row r="212" hidden="1">
      <c r="A212" s="1" t="s">
        <v>25</v>
      </c>
      <c r="B212" s="1" t="s">
        <v>26</v>
      </c>
      <c r="C212" s="1" t="s">
        <v>17</v>
      </c>
      <c r="D212" s="1">
        <v>32.0</v>
      </c>
      <c r="E212" s="1">
        <v>25.0</v>
      </c>
      <c r="F212" s="1">
        <v>6.0</v>
      </c>
      <c r="G212" s="1">
        <v>17.0</v>
      </c>
      <c r="H212" s="1" t="s">
        <v>27</v>
      </c>
      <c r="I212" s="2">
        <v>46026.0</v>
      </c>
      <c r="J212" s="1">
        <v>4500000.0</v>
      </c>
      <c r="K212" s="2">
        <v>46023.0</v>
      </c>
    </row>
    <row r="213">
      <c r="A213" s="1" t="s">
        <v>11</v>
      </c>
      <c r="B213" s="1" t="s">
        <v>12</v>
      </c>
      <c r="C213" s="1" t="s">
        <v>13</v>
      </c>
      <c r="D213" s="3"/>
      <c r="E213" s="1">
        <v>50.0</v>
      </c>
      <c r="F213" s="1">
        <v>1.0</v>
      </c>
      <c r="G213" s="1">
        <v>7.0</v>
      </c>
      <c r="H213" s="1" t="s">
        <v>14</v>
      </c>
      <c r="I213" s="2">
        <v>45885.0</v>
      </c>
      <c r="J213" s="1">
        <v>125000.0</v>
      </c>
      <c r="K213" s="2">
        <v>45870.0</v>
      </c>
    </row>
    <row r="214" hidden="1">
      <c r="A214" s="1" t="s">
        <v>15</v>
      </c>
      <c r="B214" s="1" t="s">
        <v>16</v>
      </c>
      <c r="C214" s="1" t="s">
        <v>17</v>
      </c>
      <c r="D214" s="1">
        <v>28.0</v>
      </c>
      <c r="E214" s="1">
        <v>15.0</v>
      </c>
      <c r="F214" s="1">
        <v>1.0</v>
      </c>
      <c r="G214" s="1">
        <v>6.0</v>
      </c>
      <c r="H214" s="1" t="s">
        <v>18</v>
      </c>
      <c r="I214" s="2">
        <v>45800.0</v>
      </c>
      <c r="J214" s="1">
        <v>8500000.0</v>
      </c>
      <c r="K214" s="2">
        <v>45778.0</v>
      </c>
    </row>
    <row r="215" hidden="1">
      <c r="A215" s="1" t="s">
        <v>64</v>
      </c>
      <c r="B215" s="1" t="s">
        <v>65</v>
      </c>
      <c r="C215" s="1" t="s">
        <v>42</v>
      </c>
      <c r="D215" s="1">
        <v>21.0</v>
      </c>
      <c r="E215" s="1">
        <v>20.0</v>
      </c>
      <c r="F215" s="1">
        <v>2.0</v>
      </c>
      <c r="G215" s="1">
        <v>9.0</v>
      </c>
      <c r="H215" s="1" t="s">
        <v>59</v>
      </c>
      <c r="I215" s="2">
        <v>45724.0</v>
      </c>
      <c r="J215" s="1">
        <v>750000.0</v>
      </c>
      <c r="K215" s="2">
        <v>45717.0</v>
      </c>
    </row>
    <row r="216" hidden="1">
      <c r="A216" s="1" t="s">
        <v>60</v>
      </c>
      <c r="B216" s="1" t="s">
        <v>61</v>
      </c>
      <c r="C216" s="1" t="s">
        <v>17</v>
      </c>
      <c r="D216" s="1">
        <v>12.0</v>
      </c>
      <c r="E216" s="1">
        <v>20.0</v>
      </c>
      <c r="F216" s="1">
        <v>2.0</v>
      </c>
      <c r="G216" s="1">
        <v>16.0</v>
      </c>
      <c r="H216" s="1" t="s">
        <v>27</v>
      </c>
      <c r="I216" s="2">
        <v>45724.0</v>
      </c>
      <c r="J216" s="1">
        <v>3200000.0</v>
      </c>
      <c r="K216" s="2">
        <v>45717.0</v>
      </c>
    </row>
    <row r="217" hidden="1">
      <c r="A217" s="1" t="s">
        <v>48</v>
      </c>
      <c r="B217" s="1" t="s">
        <v>49</v>
      </c>
      <c r="C217" s="1" t="s">
        <v>36</v>
      </c>
      <c r="D217" s="1">
        <v>72.0</v>
      </c>
      <c r="E217" s="1">
        <v>120.0</v>
      </c>
      <c r="F217" s="1">
        <v>18.0</v>
      </c>
      <c r="G217" s="1">
        <v>7.0</v>
      </c>
      <c r="H217" s="1" t="s">
        <v>50</v>
      </c>
      <c r="I217" s="2">
        <v>45815.0</v>
      </c>
      <c r="J217" s="1">
        <v>55000.0</v>
      </c>
      <c r="K217" s="2">
        <v>45809.0</v>
      </c>
    </row>
    <row r="218" hidden="1">
      <c r="A218" s="1" t="s">
        <v>40</v>
      </c>
      <c r="B218" s="1" t="s">
        <v>41</v>
      </c>
      <c r="C218" s="1" t="s">
        <v>42</v>
      </c>
      <c r="D218" s="1">
        <v>33.0</v>
      </c>
      <c r="E218" s="1">
        <v>15.0</v>
      </c>
      <c r="F218" s="1">
        <v>2.0</v>
      </c>
      <c r="G218" s="1">
        <v>10.0</v>
      </c>
      <c r="H218" s="1" t="s">
        <v>43</v>
      </c>
      <c r="I218" s="2">
        <v>46032.0</v>
      </c>
      <c r="J218" s="1">
        <v>1200000.0</v>
      </c>
      <c r="K218" s="2">
        <v>46023.0</v>
      </c>
    </row>
    <row r="219" hidden="1">
      <c r="A219" s="1" t="s">
        <v>53</v>
      </c>
      <c r="B219" s="1" t="s">
        <v>54</v>
      </c>
      <c r="C219" s="1" t="s">
        <v>13</v>
      </c>
      <c r="D219" s="1">
        <v>246.0</v>
      </c>
      <c r="E219" s="1">
        <v>60.0</v>
      </c>
      <c r="F219" s="1">
        <v>3.0</v>
      </c>
      <c r="G219" s="1">
        <v>7.0</v>
      </c>
      <c r="H219" s="1" t="s">
        <v>14</v>
      </c>
      <c r="I219" s="2">
        <v>46049.0</v>
      </c>
      <c r="J219" s="1">
        <v>165000.0</v>
      </c>
      <c r="K219" s="2">
        <v>46023.0</v>
      </c>
    </row>
    <row r="220" hidden="1">
      <c r="A220" s="1" t="s">
        <v>34</v>
      </c>
      <c r="B220" s="1" t="s">
        <v>35</v>
      </c>
      <c r="C220" s="1" t="s">
        <v>36</v>
      </c>
      <c r="D220" s="1">
        <v>64.0</v>
      </c>
      <c r="E220" s="1">
        <v>80.0</v>
      </c>
      <c r="F220" s="1">
        <v>13.0</v>
      </c>
      <c r="G220" s="1">
        <v>5.0</v>
      </c>
      <c r="H220" s="1" t="s">
        <v>37</v>
      </c>
      <c r="I220" s="2">
        <v>45970.0</v>
      </c>
      <c r="J220" s="1">
        <v>65000.0</v>
      </c>
      <c r="K220" s="2">
        <v>45962.0</v>
      </c>
    </row>
    <row r="221" hidden="1">
      <c r="A221" s="1" t="s">
        <v>57</v>
      </c>
      <c r="B221" s="1" t="s">
        <v>58</v>
      </c>
      <c r="C221" s="1" t="s">
        <v>42</v>
      </c>
      <c r="D221" s="1">
        <v>37.0</v>
      </c>
      <c r="E221" s="1">
        <v>25.0</v>
      </c>
      <c r="F221" s="1">
        <v>1.0</v>
      </c>
      <c r="G221" s="1">
        <v>9.0</v>
      </c>
      <c r="H221" s="1" t="s">
        <v>59</v>
      </c>
      <c r="I221" s="2">
        <v>45775.0</v>
      </c>
      <c r="J221" s="1">
        <v>450000.0</v>
      </c>
      <c r="K221" s="2">
        <v>45748.0</v>
      </c>
    </row>
    <row r="222" hidden="1">
      <c r="A222" s="1" t="s">
        <v>21</v>
      </c>
      <c r="B222" s="1" t="s">
        <v>22</v>
      </c>
      <c r="C222" s="1" t="s">
        <v>23</v>
      </c>
      <c r="D222" s="1">
        <v>0.0</v>
      </c>
      <c r="E222" s="1">
        <v>50.0</v>
      </c>
      <c r="F222" s="1">
        <v>13.0</v>
      </c>
      <c r="G222" s="1">
        <v>3.0</v>
      </c>
      <c r="H222" s="1" t="s">
        <v>24</v>
      </c>
      <c r="I222" s="2">
        <v>45747.0</v>
      </c>
      <c r="J222" s="1">
        <v>350000.0</v>
      </c>
      <c r="K222" s="2">
        <v>45717.0</v>
      </c>
    </row>
    <row r="223" hidden="1">
      <c r="A223" s="1" t="s">
        <v>53</v>
      </c>
      <c r="B223" s="1" t="s">
        <v>54</v>
      </c>
      <c r="C223" s="1" t="s">
        <v>13</v>
      </c>
      <c r="D223" s="1">
        <v>230.0</v>
      </c>
      <c r="E223" s="1">
        <v>60.0</v>
      </c>
      <c r="F223" s="1">
        <v>2.0</v>
      </c>
      <c r="G223" s="1">
        <v>8.0</v>
      </c>
      <c r="H223" s="1" t="s">
        <v>14</v>
      </c>
      <c r="I223" s="2">
        <v>45817.0</v>
      </c>
      <c r="J223" s="1">
        <v>165000.0</v>
      </c>
      <c r="K223" s="2">
        <v>45809.0</v>
      </c>
    </row>
    <row r="224" hidden="1">
      <c r="A224" s="1" t="s">
        <v>57</v>
      </c>
      <c r="B224" s="1" t="s">
        <v>58</v>
      </c>
      <c r="C224" s="1" t="s">
        <v>42</v>
      </c>
      <c r="D224" s="1">
        <v>52.0</v>
      </c>
      <c r="E224" s="1">
        <v>25.0</v>
      </c>
      <c r="F224" s="1">
        <v>4.0</v>
      </c>
      <c r="G224" s="1">
        <v>9.0</v>
      </c>
      <c r="H224" s="1" t="s">
        <v>59</v>
      </c>
      <c r="I224" s="2">
        <v>45671.0</v>
      </c>
      <c r="J224" s="1">
        <v>450000.0</v>
      </c>
      <c r="K224" s="2">
        <v>45658.0</v>
      </c>
    </row>
    <row r="225" hidden="1">
      <c r="A225" s="1" t="s">
        <v>64</v>
      </c>
      <c r="B225" s="1" t="s">
        <v>65</v>
      </c>
      <c r="C225" s="1" t="s">
        <v>42</v>
      </c>
      <c r="D225" s="1">
        <v>47.0</v>
      </c>
      <c r="E225" s="1">
        <v>20.0</v>
      </c>
      <c r="F225" s="1">
        <v>4.0</v>
      </c>
      <c r="G225" s="1">
        <v>9.0</v>
      </c>
      <c r="H225" s="1" t="s">
        <v>59</v>
      </c>
      <c r="I225" s="2">
        <v>45909.0</v>
      </c>
      <c r="J225" s="1">
        <v>750000.0</v>
      </c>
      <c r="K225" s="2">
        <v>45901.0</v>
      </c>
    </row>
    <row r="226" hidden="1">
      <c r="A226" s="1" t="s">
        <v>31</v>
      </c>
      <c r="B226" s="1" t="s">
        <v>32</v>
      </c>
      <c r="C226" s="1" t="s">
        <v>13</v>
      </c>
      <c r="D226" s="1">
        <v>153.0</v>
      </c>
      <c r="E226" s="1">
        <v>40.0</v>
      </c>
      <c r="F226" s="1">
        <v>4.0</v>
      </c>
      <c r="G226" s="1">
        <v>5.0</v>
      </c>
      <c r="H226" s="1" t="s">
        <v>33</v>
      </c>
      <c r="I226" s="2">
        <v>46097.0</v>
      </c>
      <c r="J226" s="1">
        <v>550000.0</v>
      </c>
      <c r="K226" s="2">
        <v>46082.0</v>
      </c>
    </row>
    <row r="227" hidden="1">
      <c r="A227" s="1" t="s">
        <v>15</v>
      </c>
      <c r="B227" s="1" t="s">
        <v>16</v>
      </c>
      <c r="C227" s="1" t="s">
        <v>17</v>
      </c>
      <c r="D227" s="1">
        <v>19.0</v>
      </c>
      <c r="E227" s="1">
        <v>15.0</v>
      </c>
      <c r="F227" s="1">
        <v>3.0</v>
      </c>
      <c r="G227" s="1">
        <v>5.0</v>
      </c>
      <c r="H227" s="1" t="s">
        <v>18</v>
      </c>
      <c r="I227" s="2">
        <v>45903.0</v>
      </c>
      <c r="J227" s="1">
        <v>8500000.0</v>
      </c>
      <c r="K227" s="2">
        <v>45901.0</v>
      </c>
    </row>
    <row r="228" hidden="1">
      <c r="A228" s="1" t="s">
        <v>21</v>
      </c>
      <c r="B228" s="1" t="s">
        <v>22</v>
      </c>
      <c r="C228" s="1" t="s">
        <v>23</v>
      </c>
      <c r="D228" s="1">
        <v>0.0</v>
      </c>
      <c r="E228" s="1">
        <v>50.0</v>
      </c>
      <c r="F228" s="1">
        <v>12.0</v>
      </c>
      <c r="G228" s="1">
        <v>5.0</v>
      </c>
      <c r="H228" s="1" t="s">
        <v>24</v>
      </c>
      <c r="I228" s="2">
        <v>45971.0</v>
      </c>
      <c r="J228" s="1">
        <v>350000.0</v>
      </c>
      <c r="K228" s="2">
        <v>45962.0</v>
      </c>
    </row>
    <row r="229" hidden="1">
      <c r="A229" s="1" t="s">
        <v>51</v>
      </c>
      <c r="B229" s="1" t="s">
        <v>52</v>
      </c>
      <c r="C229" s="1" t="s">
        <v>36</v>
      </c>
      <c r="D229" s="1">
        <v>37.0</v>
      </c>
      <c r="E229" s="1">
        <v>60.0</v>
      </c>
      <c r="F229" s="1">
        <v>8.0</v>
      </c>
      <c r="G229" s="1">
        <v>5.0</v>
      </c>
      <c r="H229" s="1" t="s">
        <v>50</v>
      </c>
      <c r="I229" s="2">
        <v>45795.0</v>
      </c>
      <c r="J229" s="1">
        <v>175000.0</v>
      </c>
      <c r="K229" s="2">
        <v>45778.0</v>
      </c>
    </row>
    <row r="230">
      <c r="A230" s="1" t="s">
        <v>21</v>
      </c>
      <c r="B230" s="1" t="s">
        <v>22</v>
      </c>
      <c r="C230" s="1" t="s">
        <v>23</v>
      </c>
      <c r="D230" s="1">
        <v>49.0</v>
      </c>
      <c r="E230" s="1">
        <v>50.0</v>
      </c>
      <c r="F230" s="1">
        <v>5.0</v>
      </c>
      <c r="G230" s="3"/>
      <c r="H230" s="1" t="s">
        <v>24</v>
      </c>
      <c r="I230" s="2">
        <v>45784.0</v>
      </c>
      <c r="J230" s="1">
        <v>350000.0</v>
      </c>
      <c r="K230" s="2">
        <v>45778.0</v>
      </c>
    </row>
    <row r="231" hidden="1">
      <c r="A231" s="1" t="s">
        <v>60</v>
      </c>
      <c r="B231" s="1" t="s">
        <v>61</v>
      </c>
      <c r="C231" s="1" t="s">
        <v>17</v>
      </c>
      <c r="D231" s="1">
        <v>22.0</v>
      </c>
      <c r="E231" s="1">
        <v>20.0</v>
      </c>
      <c r="F231" s="1">
        <v>4.0</v>
      </c>
      <c r="G231" s="1">
        <v>8.0</v>
      </c>
      <c r="H231" s="1" t="s">
        <v>27</v>
      </c>
      <c r="I231" s="2">
        <v>46103.0</v>
      </c>
      <c r="J231" s="1">
        <v>3200000.0</v>
      </c>
      <c r="K231" s="2">
        <v>46082.0</v>
      </c>
    </row>
    <row r="232" hidden="1">
      <c r="A232" s="1" t="s">
        <v>55</v>
      </c>
      <c r="B232" s="1" t="s">
        <v>56</v>
      </c>
      <c r="C232" s="1" t="s">
        <v>36</v>
      </c>
      <c r="D232" s="1">
        <v>58.0</v>
      </c>
      <c r="E232" s="1">
        <v>100.0</v>
      </c>
      <c r="F232" s="1">
        <v>14.0</v>
      </c>
      <c r="G232" s="1">
        <v>3.0</v>
      </c>
      <c r="H232" s="1" t="s">
        <v>37</v>
      </c>
      <c r="I232" s="2">
        <v>45951.0</v>
      </c>
      <c r="J232" s="1">
        <v>85000.0</v>
      </c>
      <c r="K232" s="2">
        <v>45931.0</v>
      </c>
    </row>
    <row r="233" hidden="1">
      <c r="A233" s="1" t="s">
        <v>40</v>
      </c>
      <c r="B233" s="1" t="s">
        <v>41</v>
      </c>
      <c r="C233" s="1" t="s">
        <v>42</v>
      </c>
      <c r="D233" s="1">
        <v>14.0</v>
      </c>
      <c r="E233" s="1">
        <v>15.0</v>
      </c>
      <c r="F233" s="1">
        <v>2.0</v>
      </c>
      <c r="G233" s="1">
        <v>5.0</v>
      </c>
      <c r="H233" s="1" t="s">
        <v>43</v>
      </c>
      <c r="I233" s="2">
        <v>45858.0</v>
      </c>
      <c r="J233" s="1">
        <v>1200000.0</v>
      </c>
      <c r="K233" s="2">
        <v>45839.0</v>
      </c>
    </row>
    <row r="234" hidden="1">
      <c r="A234" s="1" t="s">
        <v>60</v>
      </c>
      <c r="B234" s="1" t="s">
        <v>61</v>
      </c>
      <c r="C234" s="1" t="s">
        <v>17</v>
      </c>
      <c r="D234" s="1">
        <v>0.0</v>
      </c>
      <c r="E234" s="1">
        <v>20.0</v>
      </c>
      <c r="F234" s="1">
        <v>4.0</v>
      </c>
      <c r="G234" s="1">
        <v>17.0</v>
      </c>
      <c r="H234" s="1" t="s">
        <v>27</v>
      </c>
      <c r="I234" s="2">
        <v>45964.0</v>
      </c>
      <c r="J234" s="1">
        <v>3200000.0</v>
      </c>
      <c r="K234" s="2">
        <v>45962.0</v>
      </c>
    </row>
    <row r="235" hidden="1">
      <c r="A235" s="1" t="s">
        <v>64</v>
      </c>
      <c r="B235" s="1" t="s">
        <v>65</v>
      </c>
      <c r="C235" s="1" t="s">
        <v>42</v>
      </c>
      <c r="D235" s="1">
        <v>26.0</v>
      </c>
      <c r="E235" s="1">
        <v>20.0</v>
      </c>
      <c r="F235" s="1">
        <v>2.0</v>
      </c>
      <c r="G235" s="1">
        <v>10.0</v>
      </c>
      <c r="H235" s="1" t="s">
        <v>59</v>
      </c>
      <c r="I235" s="2">
        <v>45762.0</v>
      </c>
      <c r="J235" s="1">
        <v>750000.0</v>
      </c>
      <c r="K235" s="2">
        <v>45748.0</v>
      </c>
    </row>
    <row r="236" hidden="1">
      <c r="A236" s="1" t="s">
        <v>48</v>
      </c>
      <c r="B236" s="1" t="s">
        <v>49</v>
      </c>
      <c r="C236" s="1" t="s">
        <v>36</v>
      </c>
      <c r="D236" s="1">
        <v>12.0</v>
      </c>
      <c r="E236" s="1">
        <v>120.0</v>
      </c>
      <c r="F236" s="1">
        <v>21.0</v>
      </c>
      <c r="G236" s="1">
        <v>5.0</v>
      </c>
      <c r="H236" s="1" t="s">
        <v>50</v>
      </c>
      <c r="I236" s="2">
        <v>45706.0</v>
      </c>
      <c r="J236" s="1">
        <v>55000.0</v>
      </c>
      <c r="K236" s="2">
        <v>45689.0</v>
      </c>
    </row>
    <row r="237" hidden="1">
      <c r="A237" s="1" t="s">
        <v>53</v>
      </c>
      <c r="B237" s="1" t="s">
        <v>54</v>
      </c>
      <c r="C237" s="1" t="s">
        <v>13</v>
      </c>
      <c r="D237" s="1">
        <v>292.0</v>
      </c>
      <c r="E237" s="1">
        <v>60.0</v>
      </c>
      <c r="F237" s="1">
        <v>3.0</v>
      </c>
      <c r="G237" s="1">
        <v>8.0</v>
      </c>
      <c r="H237" s="1" t="s">
        <v>14</v>
      </c>
      <c r="I237" s="2">
        <v>45869.0</v>
      </c>
      <c r="J237" s="1">
        <v>165000.0</v>
      </c>
      <c r="K237" s="2">
        <v>45839.0</v>
      </c>
    </row>
    <row r="238" hidden="1">
      <c r="A238" s="1" t="s">
        <v>40</v>
      </c>
      <c r="B238" s="1" t="s">
        <v>41</v>
      </c>
      <c r="C238" s="1" t="s">
        <v>42</v>
      </c>
      <c r="D238" s="1">
        <v>18.0</v>
      </c>
      <c r="E238" s="1">
        <v>15.0</v>
      </c>
      <c r="F238" s="1">
        <v>3.0</v>
      </c>
      <c r="G238" s="1">
        <v>5.0</v>
      </c>
      <c r="H238" s="1" t="s">
        <v>43</v>
      </c>
      <c r="I238" s="2">
        <v>45774.0</v>
      </c>
      <c r="J238" s="1">
        <v>1200000.0</v>
      </c>
      <c r="K238" s="2">
        <v>45748.0</v>
      </c>
    </row>
    <row r="239" hidden="1">
      <c r="A239" s="1" t="s">
        <v>25</v>
      </c>
      <c r="B239" s="1" t="s">
        <v>26</v>
      </c>
      <c r="C239" s="1" t="s">
        <v>17</v>
      </c>
      <c r="D239" s="1">
        <v>29.0</v>
      </c>
      <c r="E239" s="1">
        <v>25.0</v>
      </c>
      <c r="F239" s="1">
        <v>4.0</v>
      </c>
      <c r="G239" s="1">
        <v>11.0</v>
      </c>
      <c r="H239" s="1" t="s">
        <v>27</v>
      </c>
      <c r="I239" s="2">
        <v>45917.0</v>
      </c>
      <c r="J239" s="1">
        <v>4500000.0</v>
      </c>
      <c r="K239" s="2">
        <v>45901.0</v>
      </c>
    </row>
    <row r="240" hidden="1">
      <c r="A240" s="1" t="s">
        <v>48</v>
      </c>
      <c r="B240" s="1" t="s">
        <v>49</v>
      </c>
      <c r="C240" s="1" t="s">
        <v>36</v>
      </c>
      <c r="D240" s="1">
        <v>68.0</v>
      </c>
      <c r="E240" s="1">
        <v>120.0</v>
      </c>
      <c r="F240" s="1">
        <v>16.0</v>
      </c>
      <c r="G240" s="1">
        <v>6.0</v>
      </c>
      <c r="H240" s="1" t="s">
        <v>50</v>
      </c>
      <c r="I240" s="2">
        <v>45672.0</v>
      </c>
      <c r="J240" s="1">
        <v>55000.0</v>
      </c>
      <c r="K240" s="2">
        <v>45658.0</v>
      </c>
    </row>
    <row r="241" hidden="1">
      <c r="A241" s="1" t="s">
        <v>46</v>
      </c>
      <c r="B241" s="1" t="s">
        <v>47</v>
      </c>
      <c r="C241" s="1" t="s">
        <v>23</v>
      </c>
      <c r="D241" s="1">
        <v>35.0</v>
      </c>
      <c r="E241" s="1">
        <v>40.0</v>
      </c>
      <c r="F241" s="1">
        <v>4.0</v>
      </c>
      <c r="G241" s="1">
        <v>5.0</v>
      </c>
      <c r="H241" s="1" t="s">
        <v>30</v>
      </c>
      <c r="I241" s="2">
        <v>46161.0</v>
      </c>
      <c r="J241" s="1">
        <v>550000.0</v>
      </c>
      <c r="K241" s="2">
        <v>45809.0</v>
      </c>
    </row>
    <row r="242" hidden="1">
      <c r="A242" s="1" t="s">
        <v>38</v>
      </c>
      <c r="B242" s="1" t="s">
        <v>39</v>
      </c>
      <c r="C242" s="1" t="s">
        <v>23</v>
      </c>
      <c r="D242" s="1">
        <v>15.0</v>
      </c>
      <c r="E242" s="1">
        <v>45.0</v>
      </c>
      <c r="F242" s="1">
        <v>7.0</v>
      </c>
      <c r="G242" s="1">
        <v>4.0</v>
      </c>
      <c r="H242" s="1" t="s">
        <v>24</v>
      </c>
      <c r="I242" s="2">
        <v>45856.0</v>
      </c>
      <c r="J242" s="1">
        <v>450000.0</v>
      </c>
      <c r="K242" s="2">
        <v>45839.0</v>
      </c>
    </row>
    <row r="243" hidden="1">
      <c r="A243" s="1" t="s">
        <v>11</v>
      </c>
      <c r="B243" s="1" t="s">
        <v>12</v>
      </c>
      <c r="C243" s="1" t="s">
        <v>13</v>
      </c>
      <c r="D243" s="1">
        <v>172.0</v>
      </c>
      <c r="E243" s="1">
        <v>50.0</v>
      </c>
      <c r="F243" s="1">
        <v>2.0</v>
      </c>
      <c r="G243" s="1">
        <v>6.0</v>
      </c>
      <c r="H243" s="1" t="s">
        <v>14</v>
      </c>
      <c r="I243" s="2">
        <v>46018.0</v>
      </c>
      <c r="J243" s="1">
        <v>125000.0</v>
      </c>
      <c r="K243" s="2">
        <v>45992.0</v>
      </c>
    </row>
    <row r="244" hidden="1">
      <c r="A244" s="1" t="s">
        <v>62</v>
      </c>
      <c r="B244" s="1" t="s">
        <v>63</v>
      </c>
      <c r="C244" s="1" t="s">
        <v>13</v>
      </c>
      <c r="D244" s="1">
        <v>392.0</v>
      </c>
      <c r="E244" s="1">
        <v>80.0</v>
      </c>
      <c r="F244" s="1">
        <v>3.0</v>
      </c>
      <c r="G244" s="1">
        <v>6.0</v>
      </c>
      <c r="H244" s="1" t="s">
        <v>33</v>
      </c>
      <c r="I244" s="2">
        <v>46030.0</v>
      </c>
      <c r="J244" s="1">
        <v>85000.0</v>
      </c>
      <c r="K244" s="2">
        <v>46023.0</v>
      </c>
    </row>
    <row r="245" hidden="1">
      <c r="A245" s="1" t="s">
        <v>53</v>
      </c>
      <c r="B245" s="1" t="s">
        <v>54</v>
      </c>
      <c r="C245" s="1" t="s">
        <v>13</v>
      </c>
      <c r="D245" s="1">
        <v>205.0</v>
      </c>
      <c r="E245" s="1">
        <v>60.0</v>
      </c>
      <c r="F245" s="1">
        <v>4.0</v>
      </c>
      <c r="G245" s="1">
        <v>7.0</v>
      </c>
      <c r="H245" s="1" t="s">
        <v>14</v>
      </c>
      <c r="I245" s="2">
        <v>45739.0</v>
      </c>
      <c r="J245" s="1">
        <v>165000.0</v>
      </c>
      <c r="K245" s="2">
        <v>45717.0</v>
      </c>
    </row>
    <row r="246" hidden="1">
      <c r="A246" s="1" t="s">
        <v>60</v>
      </c>
      <c r="B246" s="1" t="s">
        <v>61</v>
      </c>
      <c r="C246" s="1" t="s">
        <v>17</v>
      </c>
      <c r="D246" s="1">
        <v>7.0</v>
      </c>
      <c r="E246" s="1">
        <v>20.0</v>
      </c>
      <c r="F246" s="1">
        <v>2.0</v>
      </c>
      <c r="G246" s="1">
        <v>7.0</v>
      </c>
      <c r="H246" s="1" t="s">
        <v>27</v>
      </c>
      <c r="I246" s="2">
        <v>45933.0</v>
      </c>
      <c r="J246" s="1">
        <v>3200000.0</v>
      </c>
      <c r="K246" s="2">
        <v>45931.0</v>
      </c>
    </row>
    <row r="247" hidden="1">
      <c r="A247" s="1" t="s">
        <v>55</v>
      </c>
      <c r="B247" s="1" t="s">
        <v>56</v>
      </c>
      <c r="C247" s="1" t="s">
        <v>36</v>
      </c>
      <c r="D247" s="1">
        <v>60.0</v>
      </c>
      <c r="E247" s="1">
        <v>100.0</v>
      </c>
      <c r="F247" s="1">
        <v>22.0</v>
      </c>
      <c r="G247" s="1">
        <v>5.0</v>
      </c>
      <c r="H247" s="1" t="s">
        <v>37</v>
      </c>
      <c r="I247" s="2">
        <v>46109.0</v>
      </c>
      <c r="J247" s="1">
        <v>85000.0</v>
      </c>
      <c r="K247" s="2">
        <v>46082.0</v>
      </c>
    </row>
    <row r="248" hidden="1">
      <c r="A248" s="1" t="s">
        <v>11</v>
      </c>
      <c r="B248" s="1" t="s">
        <v>12</v>
      </c>
      <c r="C248" s="1" t="s">
        <v>13</v>
      </c>
      <c r="D248" s="1">
        <v>230.0</v>
      </c>
      <c r="E248" s="1">
        <v>50.0</v>
      </c>
      <c r="F248" s="1">
        <v>1.0</v>
      </c>
      <c r="G248" s="1">
        <v>4.0</v>
      </c>
      <c r="H248" s="1" t="s">
        <v>14</v>
      </c>
      <c r="I248" s="2">
        <v>45939.0</v>
      </c>
      <c r="J248" s="1">
        <v>125000.0</v>
      </c>
      <c r="K248" s="2">
        <v>45931.0</v>
      </c>
    </row>
    <row r="249" hidden="1">
      <c r="A249" s="1" t="s">
        <v>34</v>
      </c>
      <c r="B249" s="1" t="s">
        <v>35</v>
      </c>
      <c r="C249" s="1" t="s">
        <v>36</v>
      </c>
      <c r="D249" s="1">
        <v>0.0</v>
      </c>
      <c r="E249" s="1">
        <v>80.0</v>
      </c>
      <c r="F249" s="1">
        <v>17.0</v>
      </c>
      <c r="G249" s="1">
        <v>5.0</v>
      </c>
      <c r="H249" s="1" t="s">
        <v>37</v>
      </c>
      <c r="I249" s="2">
        <v>46012.0</v>
      </c>
      <c r="J249" s="1">
        <v>65000.0</v>
      </c>
      <c r="K249" s="2">
        <v>45992.0</v>
      </c>
    </row>
    <row r="250" hidden="1">
      <c r="A250" s="1" t="s">
        <v>62</v>
      </c>
      <c r="B250" s="1" t="s">
        <v>63</v>
      </c>
      <c r="C250" s="1" t="s">
        <v>13</v>
      </c>
      <c r="D250" s="1">
        <v>302.0</v>
      </c>
      <c r="E250" s="1">
        <v>80.0</v>
      </c>
      <c r="F250" s="1">
        <v>3.0</v>
      </c>
      <c r="G250" s="1">
        <v>5.0</v>
      </c>
      <c r="H250" s="1" t="s">
        <v>33</v>
      </c>
      <c r="I250" s="2">
        <v>45797.0</v>
      </c>
      <c r="J250" s="1">
        <v>85000.0</v>
      </c>
      <c r="K250" s="2">
        <v>45778.0</v>
      </c>
    </row>
    <row r="251" hidden="1">
      <c r="A251" s="1" t="s">
        <v>15</v>
      </c>
      <c r="B251" s="1" t="s">
        <v>16</v>
      </c>
      <c r="C251" s="1" t="s">
        <v>17</v>
      </c>
      <c r="D251" s="1">
        <v>9.0</v>
      </c>
      <c r="E251" s="1">
        <v>15.0</v>
      </c>
      <c r="F251" s="1">
        <v>1.0</v>
      </c>
      <c r="G251" s="1">
        <v>6.0</v>
      </c>
      <c r="H251" s="1" t="s">
        <v>18</v>
      </c>
      <c r="I251" s="2">
        <v>46109.0</v>
      </c>
      <c r="J251" s="1">
        <v>8500000.0</v>
      </c>
      <c r="K251" s="2">
        <v>46082.0</v>
      </c>
    </row>
    <row r="252" hidden="1">
      <c r="A252" s="1" t="s">
        <v>19</v>
      </c>
      <c r="B252" s="1" t="s">
        <v>20</v>
      </c>
      <c r="C252" s="1" t="s">
        <v>17</v>
      </c>
      <c r="D252" s="1">
        <v>26.0</v>
      </c>
      <c r="E252" s="1">
        <v>30.0</v>
      </c>
      <c r="F252" s="1">
        <v>2.0</v>
      </c>
      <c r="G252" s="1">
        <v>9.0</v>
      </c>
      <c r="H252" s="1" t="s">
        <v>18</v>
      </c>
      <c r="I252" s="2">
        <v>45731.0</v>
      </c>
      <c r="J252" s="1">
        <v>1200000.0</v>
      </c>
      <c r="K252" s="2">
        <v>45717.0</v>
      </c>
    </row>
    <row r="253" hidden="1">
      <c r="A253" s="1" t="s">
        <v>28</v>
      </c>
      <c r="B253" s="1" t="s">
        <v>29</v>
      </c>
      <c r="C253" s="1" t="s">
        <v>23</v>
      </c>
      <c r="D253" s="1">
        <v>20.0</v>
      </c>
      <c r="E253" s="1">
        <v>35.0</v>
      </c>
      <c r="F253" s="1">
        <v>5.0</v>
      </c>
      <c r="G253" s="1">
        <v>8.0</v>
      </c>
      <c r="H253" s="1" t="s">
        <v>30</v>
      </c>
      <c r="I253" s="2">
        <v>45784.0</v>
      </c>
      <c r="J253" s="1">
        <v>1250000.0</v>
      </c>
      <c r="K253" s="2">
        <v>45778.0</v>
      </c>
    </row>
    <row r="254" hidden="1">
      <c r="A254" s="1" t="s">
        <v>51</v>
      </c>
      <c r="B254" s="1" t="s">
        <v>52</v>
      </c>
      <c r="C254" s="1" t="s">
        <v>36</v>
      </c>
      <c r="D254" s="1">
        <v>15.0</v>
      </c>
      <c r="E254" s="1">
        <v>60.0</v>
      </c>
      <c r="F254" s="1">
        <v>7.0</v>
      </c>
      <c r="G254" s="1">
        <v>5.0</v>
      </c>
      <c r="H254" s="1" t="s">
        <v>50</v>
      </c>
      <c r="I254" s="2">
        <v>45827.0</v>
      </c>
      <c r="J254" s="1">
        <v>175000.0</v>
      </c>
      <c r="K254" s="2">
        <v>45809.0</v>
      </c>
    </row>
    <row r="255" hidden="1">
      <c r="A255" s="1" t="s">
        <v>11</v>
      </c>
      <c r="B255" s="1" t="s">
        <v>12</v>
      </c>
      <c r="C255" s="1" t="s">
        <v>13</v>
      </c>
      <c r="D255" s="1">
        <v>-15.0</v>
      </c>
      <c r="E255" s="1">
        <v>50.0</v>
      </c>
      <c r="F255" s="1">
        <v>3.0</v>
      </c>
      <c r="G255" s="1">
        <v>6.0</v>
      </c>
      <c r="H255" s="1" t="s">
        <v>14</v>
      </c>
      <c r="I255" s="2">
        <v>45734.0</v>
      </c>
      <c r="J255" s="1">
        <v>125000.0</v>
      </c>
      <c r="K255" s="2">
        <v>45717.0</v>
      </c>
    </row>
    <row r="256" hidden="1">
      <c r="A256" s="1" t="s">
        <v>51</v>
      </c>
      <c r="B256" s="1" t="s">
        <v>52</v>
      </c>
      <c r="C256" s="1" t="s">
        <v>36</v>
      </c>
      <c r="D256" s="1">
        <v>0.0</v>
      </c>
      <c r="E256" s="1">
        <v>60.0</v>
      </c>
      <c r="F256" s="1">
        <v>11.0</v>
      </c>
      <c r="G256" s="1">
        <v>5.0</v>
      </c>
      <c r="H256" s="1" t="s">
        <v>50</v>
      </c>
      <c r="I256" s="2">
        <v>46083.0</v>
      </c>
      <c r="J256" s="1">
        <v>175000.0</v>
      </c>
      <c r="K256" s="2">
        <v>46082.0</v>
      </c>
    </row>
    <row r="257" hidden="1">
      <c r="A257" s="1" t="s">
        <v>62</v>
      </c>
      <c r="B257" s="1" t="s">
        <v>63</v>
      </c>
      <c r="C257" s="1" t="s">
        <v>13</v>
      </c>
      <c r="D257" s="1">
        <v>386.0</v>
      </c>
      <c r="E257" s="1">
        <v>80.0</v>
      </c>
      <c r="F257" s="1">
        <v>3.0</v>
      </c>
      <c r="G257" s="1">
        <v>6.0</v>
      </c>
      <c r="H257" s="1" t="s">
        <v>33</v>
      </c>
      <c r="I257" s="2">
        <v>45852.0</v>
      </c>
      <c r="J257" s="1">
        <v>85000.0</v>
      </c>
      <c r="K257" s="2">
        <v>45839.0</v>
      </c>
    </row>
    <row r="258" hidden="1">
      <c r="A258" s="1" t="s">
        <v>40</v>
      </c>
      <c r="B258" s="1" t="s">
        <v>41</v>
      </c>
      <c r="C258" s="1" t="s">
        <v>42</v>
      </c>
      <c r="D258" s="1">
        <v>9.0</v>
      </c>
      <c r="E258" s="1">
        <v>15.0</v>
      </c>
      <c r="F258" s="1">
        <v>1.0</v>
      </c>
      <c r="G258" s="1">
        <v>8.0</v>
      </c>
      <c r="H258" s="1" t="s">
        <v>43</v>
      </c>
      <c r="I258" s="2">
        <v>46014.0</v>
      </c>
      <c r="J258" s="1">
        <v>1200000.0</v>
      </c>
      <c r="K258" s="2">
        <v>45992.0</v>
      </c>
    </row>
    <row r="259" hidden="1">
      <c r="A259" s="1" t="s">
        <v>60</v>
      </c>
      <c r="B259" s="1" t="s">
        <v>61</v>
      </c>
      <c r="C259" s="1" t="s">
        <v>17</v>
      </c>
      <c r="D259" s="1">
        <v>27.0</v>
      </c>
      <c r="E259" s="1">
        <v>20.0</v>
      </c>
      <c r="F259" s="1">
        <v>2.0</v>
      </c>
      <c r="G259" s="1">
        <v>13.0</v>
      </c>
      <c r="H259" s="1" t="s">
        <v>27</v>
      </c>
      <c r="I259" s="2">
        <v>46057.0</v>
      </c>
      <c r="J259" s="1">
        <v>3200000.0</v>
      </c>
      <c r="K259" s="2">
        <v>46054.0</v>
      </c>
    </row>
    <row r="260" hidden="1">
      <c r="A260" s="1" t="s">
        <v>53</v>
      </c>
      <c r="B260" s="1" t="s">
        <v>54</v>
      </c>
      <c r="C260" s="1" t="s">
        <v>13</v>
      </c>
      <c r="D260" s="1">
        <v>292.0</v>
      </c>
      <c r="E260" s="1">
        <v>60.0</v>
      </c>
      <c r="F260" s="1">
        <v>3.0</v>
      </c>
      <c r="G260" s="1">
        <v>6.0</v>
      </c>
      <c r="H260" s="1" t="s">
        <v>14</v>
      </c>
      <c r="I260" s="2">
        <v>45888.0</v>
      </c>
      <c r="J260" s="1">
        <v>165000.0</v>
      </c>
      <c r="K260" s="2">
        <v>45870.0</v>
      </c>
    </row>
    <row r="261" hidden="1">
      <c r="A261" s="1" t="s">
        <v>31</v>
      </c>
      <c r="B261" s="1" t="s">
        <v>32</v>
      </c>
      <c r="C261" s="1" t="s">
        <v>13</v>
      </c>
      <c r="D261" s="1">
        <v>186.0</v>
      </c>
      <c r="E261" s="1">
        <v>40.0</v>
      </c>
      <c r="F261" s="1">
        <v>2.0</v>
      </c>
      <c r="G261" s="1">
        <v>4.0</v>
      </c>
      <c r="H261" s="1" t="s">
        <v>33</v>
      </c>
      <c r="I261" s="2">
        <v>45971.0</v>
      </c>
      <c r="J261" s="1">
        <v>550000.0</v>
      </c>
      <c r="K261" s="2">
        <v>45962.0</v>
      </c>
    </row>
    <row r="262" hidden="1">
      <c r="A262" s="1" t="s">
        <v>34</v>
      </c>
      <c r="B262" s="1" t="s">
        <v>35</v>
      </c>
      <c r="C262" s="1" t="s">
        <v>36</v>
      </c>
      <c r="D262" s="1">
        <v>35.0</v>
      </c>
      <c r="E262" s="1">
        <v>80.0</v>
      </c>
      <c r="F262" s="1">
        <v>13.0</v>
      </c>
      <c r="G262" s="1">
        <v>4.0</v>
      </c>
      <c r="H262" s="1" t="s">
        <v>37</v>
      </c>
      <c r="I262" s="2">
        <v>45800.0</v>
      </c>
      <c r="J262" s="1">
        <v>65000.0</v>
      </c>
      <c r="K262" s="2">
        <v>45778.0</v>
      </c>
    </row>
    <row r="263" hidden="1">
      <c r="A263" s="1" t="s">
        <v>46</v>
      </c>
      <c r="B263" s="1" t="s">
        <v>47</v>
      </c>
      <c r="C263" s="1" t="s">
        <v>23</v>
      </c>
      <c r="D263" s="1">
        <v>14.0</v>
      </c>
      <c r="E263" s="1">
        <v>40.0</v>
      </c>
      <c r="F263" s="1">
        <v>4.0</v>
      </c>
      <c r="G263" s="1">
        <v>8.0</v>
      </c>
      <c r="H263" s="1" t="s">
        <v>30</v>
      </c>
      <c r="I263" s="2">
        <v>45687.0</v>
      </c>
      <c r="J263" s="1">
        <v>550000.0</v>
      </c>
      <c r="K263" s="2">
        <v>45658.0</v>
      </c>
    </row>
    <row r="264" hidden="1">
      <c r="A264" s="1" t="s">
        <v>19</v>
      </c>
      <c r="B264" s="1" t="s">
        <v>20</v>
      </c>
      <c r="C264" s="1" t="s">
        <v>17</v>
      </c>
      <c r="D264" s="1">
        <v>31.0</v>
      </c>
      <c r="E264" s="1">
        <v>30.0</v>
      </c>
      <c r="F264" s="1">
        <v>3.0</v>
      </c>
      <c r="G264" s="1">
        <v>8.0</v>
      </c>
      <c r="H264" s="1" t="s">
        <v>18</v>
      </c>
      <c r="I264" s="2">
        <v>45929.0</v>
      </c>
      <c r="J264" s="1">
        <v>1200000.0</v>
      </c>
      <c r="K264" s="2">
        <v>45901.0</v>
      </c>
    </row>
    <row r="265" hidden="1">
      <c r="A265" s="1" t="s">
        <v>15</v>
      </c>
      <c r="B265" s="1" t="s">
        <v>16</v>
      </c>
      <c r="C265" s="1" t="s">
        <v>17</v>
      </c>
      <c r="D265" s="1">
        <v>13.0</v>
      </c>
      <c r="E265" s="1">
        <v>15.0</v>
      </c>
      <c r="F265" s="1">
        <v>1.0</v>
      </c>
      <c r="G265" s="1">
        <v>5.0</v>
      </c>
      <c r="H265" s="1" t="s">
        <v>18</v>
      </c>
      <c r="I265" s="2">
        <v>45710.0</v>
      </c>
      <c r="J265" s="1">
        <v>8500000.0</v>
      </c>
      <c r="K265" s="2">
        <v>45689.0</v>
      </c>
    </row>
    <row r="266" hidden="1">
      <c r="A266" s="1" t="s">
        <v>19</v>
      </c>
      <c r="B266" s="1" t="s">
        <v>20</v>
      </c>
      <c r="C266" s="1" t="s">
        <v>17</v>
      </c>
      <c r="D266" s="1">
        <v>26.0</v>
      </c>
      <c r="E266" s="1">
        <v>30.0</v>
      </c>
      <c r="F266" s="1">
        <v>4.0</v>
      </c>
      <c r="G266" s="1">
        <v>8.0</v>
      </c>
      <c r="H266" s="1" t="s">
        <v>18</v>
      </c>
      <c r="I266" s="2">
        <v>45803.0</v>
      </c>
      <c r="J266" s="1">
        <v>1200000.0</v>
      </c>
      <c r="K266" s="2">
        <v>45778.0</v>
      </c>
    </row>
    <row r="267" hidden="1">
      <c r="A267" s="1" t="s">
        <v>38</v>
      </c>
      <c r="B267" s="1" t="s">
        <v>39</v>
      </c>
      <c r="C267" s="1" t="s">
        <v>23</v>
      </c>
      <c r="D267" s="1">
        <v>36.0</v>
      </c>
      <c r="E267" s="1">
        <v>45.0</v>
      </c>
      <c r="F267" s="1">
        <v>4.0</v>
      </c>
      <c r="G267" s="1">
        <v>3.0</v>
      </c>
      <c r="H267" s="1" t="s">
        <v>24</v>
      </c>
      <c r="I267" s="2">
        <v>45812.0</v>
      </c>
      <c r="J267" s="1">
        <v>450000.0</v>
      </c>
      <c r="K267" s="2">
        <v>45809.0</v>
      </c>
    </row>
    <row r="268" hidden="1">
      <c r="A268" s="1" t="s">
        <v>62</v>
      </c>
      <c r="B268" s="1" t="s">
        <v>63</v>
      </c>
      <c r="C268" s="1" t="s">
        <v>13</v>
      </c>
      <c r="D268" s="1">
        <v>264.0</v>
      </c>
      <c r="E268" s="1">
        <v>80.0</v>
      </c>
      <c r="F268" s="1">
        <v>3.0</v>
      </c>
      <c r="G268" s="1">
        <v>5.0</v>
      </c>
      <c r="H268" s="1" t="s">
        <v>33</v>
      </c>
      <c r="I268" s="2">
        <v>45984.0</v>
      </c>
      <c r="J268" s="1">
        <v>85000.0</v>
      </c>
      <c r="K268" s="2">
        <v>45962.0</v>
      </c>
    </row>
    <row r="269" hidden="1">
      <c r="A269" s="1" t="s">
        <v>60</v>
      </c>
      <c r="B269" s="1" t="s">
        <v>61</v>
      </c>
      <c r="C269" s="1" t="s">
        <v>17</v>
      </c>
      <c r="D269" s="1">
        <v>38.0</v>
      </c>
      <c r="E269" s="1">
        <v>20.0</v>
      </c>
      <c r="F269" s="1">
        <v>2.0</v>
      </c>
      <c r="G269" s="1">
        <v>11.0</v>
      </c>
      <c r="H269" s="1" t="s">
        <v>27</v>
      </c>
      <c r="I269" s="2">
        <v>45782.0</v>
      </c>
      <c r="J269" s="1">
        <v>3200000.0</v>
      </c>
      <c r="K269" s="2">
        <v>45778.0</v>
      </c>
    </row>
    <row r="270" hidden="1">
      <c r="A270" s="1" t="s">
        <v>34</v>
      </c>
      <c r="B270" s="1" t="s">
        <v>35</v>
      </c>
      <c r="C270" s="1" t="s">
        <v>36</v>
      </c>
      <c r="D270" s="1">
        <v>46.0</v>
      </c>
      <c r="E270" s="1">
        <v>80.0</v>
      </c>
      <c r="F270" s="1">
        <v>13.0</v>
      </c>
      <c r="G270" s="1">
        <v>5.0</v>
      </c>
      <c r="H270" s="1" t="s">
        <v>37</v>
      </c>
      <c r="I270" s="2">
        <v>45924.0</v>
      </c>
      <c r="J270" s="1">
        <v>65000.0</v>
      </c>
      <c r="K270" s="2">
        <v>45901.0</v>
      </c>
    </row>
    <row r="271" hidden="1">
      <c r="A271" s="1" t="s">
        <v>28</v>
      </c>
      <c r="B271" s="1" t="s">
        <v>29</v>
      </c>
      <c r="C271" s="1" t="s">
        <v>23</v>
      </c>
      <c r="D271" s="1">
        <v>27.0</v>
      </c>
      <c r="E271" s="1">
        <v>35.0</v>
      </c>
      <c r="F271" s="1">
        <v>5.0</v>
      </c>
      <c r="G271" s="1">
        <v>3.0</v>
      </c>
      <c r="H271" s="1" t="s">
        <v>30</v>
      </c>
      <c r="I271" s="2">
        <v>45701.0</v>
      </c>
      <c r="J271" s="1">
        <v>1250000.0</v>
      </c>
      <c r="K271" s="2">
        <v>45689.0</v>
      </c>
    </row>
    <row r="272" hidden="1">
      <c r="A272" s="1" t="s">
        <v>19</v>
      </c>
      <c r="B272" s="1" t="s">
        <v>20</v>
      </c>
      <c r="C272" s="1" t="s">
        <v>17</v>
      </c>
      <c r="D272" s="1">
        <v>44.0</v>
      </c>
      <c r="E272" s="1">
        <v>30.0</v>
      </c>
      <c r="F272" s="1">
        <v>4.0</v>
      </c>
      <c r="G272" s="1">
        <v>8.0</v>
      </c>
      <c r="H272" s="1" t="s">
        <v>18</v>
      </c>
      <c r="I272" s="2">
        <v>45885.0</v>
      </c>
      <c r="J272" s="1">
        <v>1200000.0</v>
      </c>
      <c r="K272" s="2">
        <v>45870.0</v>
      </c>
    </row>
    <row r="273" hidden="1">
      <c r="A273" s="1" t="s">
        <v>34</v>
      </c>
      <c r="B273" s="1" t="s">
        <v>35</v>
      </c>
      <c r="C273" s="1" t="s">
        <v>36</v>
      </c>
      <c r="D273" s="1">
        <v>34.0</v>
      </c>
      <c r="E273" s="1">
        <v>80.0</v>
      </c>
      <c r="F273" s="1">
        <v>9.0</v>
      </c>
      <c r="G273" s="1">
        <v>3.0</v>
      </c>
      <c r="H273" s="1" t="s">
        <v>37</v>
      </c>
      <c r="I273" s="2">
        <v>45950.0</v>
      </c>
      <c r="J273" s="1">
        <v>65000.0</v>
      </c>
      <c r="K273" s="2">
        <v>45931.0</v>
      </c>
    </row>
    <row r="274" hidden="1">
      <c r="A274" s="1" t="s">
        <v>55</v>
      </c>
      <c r="B274" s="1" t="s">
        <v>56</v>
      </c>
      <c r="C274" s="1" t="s">
        <v>36</v>
      </c>
      <c r="D274" s="1">
        <v>145.0</v>
      </c>
      <c r="E274" s="1">
        <v>100.0</v>
      </c>
      <c r="F274" s="1">
        <v>17.0</v>
      </c>
      <c r="G274" s="1">
        <v>4.0</v>
      </c>
      <c r="H274" s="1" t="s">
        <v>37</v>
      </c>
      <c r="I274" s="2">
        <v>45711.0</v>
      </c>
      <c r="J274" s="1">
        <v>85000.0</v>
      </c>
      <c r="K274" s="2">
        <v>45689.0</v>
      </c>
    </row>
    <row r="275" hidden="1">
      <c r="A275" s="1" t="s">
        <v>15</v>
      </c>
      <c r="B275" s="1" t="s">
        <v>16</v>
      </c>
      <c r="C275" s="1" t="s">
        <v>17</v>
      </c>
      <c r="D275" s="1">
        <v>15.0</v>
      </c>
      <c r="E275" s="1">
        <v>15.0</v>
      </c>
      <c r="F275" s="1">
        <v>1.0</v>
      </c>
      <c r="G275" s="1">
        <v>5.0</v>
      </c>
      <c r="H275" s="1" t="s">
        <v>18</v>
      </c>
      <c r="I275" s="2">
        <v>46055.0</v>
      </c>
      <c r="J275" s="1">
        <v>8500000.0</v>
      </c>
      <c r="K275" s="2">
        <v>46054.0</v>
      </c>
    </row>
    <row r="276" hidden="1">
      <c r="A276" s="1" t="s">
        <v>38</v>
      </c>
      <c r="B276" s="1" t="s">
        <v>39</v>
      </c>
      <c r="C276" s="1" t="s">
        <v>23</v>
      </c>
      <c r="D276" s="1">
        <v>12.0</v>
      </c>
      <c r="E276" s="1">
        <v>45.0</v>
      </c>
      <c r="F276" s="1">
        <v>8.0</v>
      </c>
      <c r="G276" s="1">
        <v>6.0</v>
      </c>
      <c r="H276" s="1" t="s">
        <v>24</v>
      </c>
      <c r="I276" s="2">
        <v>46054.0</v>
      </c>
      <c r="J276" s="1">
        <v>450000.0</v>
      </c>
      <c r="K276" s="2">
        <v>46054.0</v>
      </c>
    </row>
    <row r="277" hidden="1">
      <c r="A277" s="1" t="s">
        <v>51</v>
      </c>
      <c r="B277" s="1" t="s">
        <v>52</v>
      </c>
      <c r="C277" s="1" t="s">
        <v>36</v>
      </c>
      <c r="D277" s="1">
        <v>19.0</v>
      </c>
      <c r="E277" s="1">
        <v>60.0</v>
      </c>
      <c r="F277" s="1">
        <v>6.0</v>
      </c>
      <c r="G277" s="1">
        <v>6.0</v>
      </c>
      <c r="H277" s="1" t="s">
        <v>50</v>
      </c>
      <c r="I277" s="2">
        <v>45775.0</v>
      </c>
      <c r="J277" s="1">
        <v>175000.0</v>
      </c>
      <c r="K277" s="2">
        <v>45748.0</v>
      </c>
    </row>
    <row r="278">
      <c r="A278" s="1" t="s">
        <v>44</v>
      </c>
      <c r="B278" s="1" t="s">
        <v>45</v>
      </c>
      <c r="C278" s="1" t="s">
        <v>42</v>
      </c>
      <c r="D278" s="1">
        <v>22.0</v>
      </c>
      <c r="E278" s="1">
        <v>30.0</v>
      </c>
      <c r="F278" s="1">
        <v>6.0</v>
      </c>
      <c r="G278" s="3"/>
      <c r="H278" s="1" t="s">
        <v>43</v>
      </c>
      <c r="I278" s="2">
        <v>45702.0</v>
      </c>
      <c r="J278" s="1">
        <v>350000.0</v>
      </c>
      <c r="K278" s="2">
        <v>45689.0</v>
      </c>
    </row>
    <row r="279" hidden="1">
      <c r="A279" s="1" t="s">
        <v>44</v>
      </c>
      <c r="B279" s="1" t="s">
        <v>45</v>
      </c>
      <c r="C279" s="1" t="s">
        <v>42</v>
      </c>
      <c r="D279" s="1">
        <v>59.0</v>
      </c>
      <c r="E279" s="1">
        <v>30.0</v>
      </c>
      <c r="F279" s="1">
        <v>3.0</v>
      </c>
      <c r="G279" s="1">
        <v>6.0</v>
      </c>
      <c r="H279" s="1" t="s">
        <v>43</v>
      </c>
      <c r="I279" s="2">
        <v>45880.0</v>
      </c>
      <c r="J279" s="1">
        <v>350000.0</v>
      </c>
      <c r="K279" s="2">
        <v>45870.0</v>
      </c>
    </row>
    <row r="280" hidden="1">
      <c r="A280" s="1" t="s">
        <v>64</v>
      </c>
      <c r="B280" s="1" t="s">
        <v>65</v>
      </c>
      <c r="C280" s="1" t="s">
        <v>42</v>
      </c>
      <c r="D280" s="1">
        <v>41.0</v>
      </c>
      <c r="E280" s="1">
        <v>20.0</v>
      </c>
      <c r="F280" s="1">
        <v>3.0</v>
      </c>
      <c r="G280" s="1">
        <v>9.0</v>
      </c>
      <c r="H280" s="1" t="s">
        <v>59</v>
      </c>
      <c r="I280" s="2">
        <v>46092.0</v>
      </c>
      <c r="J280" s="1">
        <v>750000.0</v>
      </c>
      <c r="K280" s="2">
        <v>46082.0</v>
      </c>
    </row>
    <row r="281">
      <c r="A281" s="1" t="s">
        <v>48</v>
      </c>
      <c r="B281" s="1" t="s">
        <v>49</v>
      </c>
      <c r="C281" s="1" t="s">
        <v>36</v>
      </c>
      <c r="D281" s="1">
        <v>121.0</v>
      </c>
      <c r="E281" s="1">
        <v>120.0</v>
      </c>
      <c r="F281" s="1">
        <v>27.0</v>
      </c>
      <c r="G281" s="3"/>
      <c r="H281" s="1" t="s">
        <v>50</v>
      </c>
      <c r="I281" s="2">
        <v>46095.0</v>
      </c>
      <c r="J281" s="1">
        <v>55000.0</v>
      </c>
      <c r="K281" s="2">
        <v>46082.0</v>
      </c>
    </row>
    <row r="282" hidden="1">
      <c r="A282" s="1" t="s">
        <v>55</v>
      </c>
      <c r="B282" s="1" t="s">
        <v>56</v>
      </c>
      <c r="C282" s="1" t="s">
        <v>36</v>
      </c>
      <c r="D282" s="1">
        <v>125.0</v>
      </c>
      <c r="E282" s="1">
        <v>100.0</v>
      </c>
      <c r="F282" s="1">
        <v>14.0</v>
      </c>
      <c r="G282" s="1">
        <v>4.0</v>
      </c>
      <c r="H282" s="1" t="s">
        <v>37</v>
      </c>
      <c r="I282" s="2">
        <v>45775.0</v>
      </c>
      <c r="J282" s="1">
        <v>85000.0</v>
      </c>
      <c r="K282" s="2">
        <v>45748.0</v>
      </c>
    </row>
    <row r="283" hidden="1">
      <c r="A283" s="1" t="s">
        <v>19</v>
      </c>
      <c r="B283" s="1" t="s">
        <v>20</v>
      </c>
      <c r="C283" s="1" t="s">
        <v>17</v>
      </c>
      <c r="D283" s="1">
        <v>42.0</v>
      </c>
      <c r="E283" s="1">
        <v>30.0</v>
      </c>
      <c r="F283" s="1">
        <v>4.0</v>
      </c>
      <c r="G283" s="1">
        <v>7.0</v>
      </c>
      <c r="H283" s="1" t="s">
        <v>18</v>
      </c>
      <c r="I283" s="2">
        <v>45960.0</v>
      </c>
      <c r="J283" s="1">
        <v>1200000.0</v>
      </c>
      <c r="K283" s="2">
        <v>45931.0</v>
      </c>
    </row>
    <row r="284" hidden="1">
      <c r="A284" s="1" t="s">
        <v>19</v>
      </c>
      <c r="B284" s="1" t="s">
        <v>20</v>
      </c>
      <c r="C284" s="1" t="s">
        <v>17</v>
      </c>
      <c r="D284" s="1">
        <v>21.0</v>
      </c>
      <c r="E284" s="1">
        <v>30.0</v>
      </c>
      <c r="F284" s="1">
        <v>4.0</v>
      </c>
      <c r="G284" s="1">
        <v>9.0</v>
      </c>
      <c r="H284" s="1" t="s">
        <v>18</v>
      </c>
      <c r="I284" s="2">
        <v>46197.0</v>
      </c>
      <c r="J284" s="1">
        <v>1200000.0</v>
      </c>
      <c r="K284" s="2">
        <v>45809.0</v>
      </c>
    </row>
    <row r="285" hidden="1">
      <c r="A285" s="1" t="s">
        <v>44</v>
      </c>
      <c r="B285" s="1" t="s">
        <v>45</v>
      </c>
      <c r="C285" s="1" t="s">
        <v>42</v>
      </c>
      <c r="D285" s="1">
        <v>41.0</v>
      </c>
      <c r="E285" s="1">
        <v>30.0</v>
      </c>
      <c r="F285" s="1">
        <v>6.0</v>
      </c>
      <c r="G285" s="1">
        <v>10.0</v>
      </c>
      <c r="H285" s="1" t="s">
        <v>43</v>
      </c>
      <c r="I285" s="2">
        <v>45945.0</v>
      </c>
      <c r="J285" s="1">
        <v>350000.0</v>
      </c>
      <c r="K285" s="2">
        <v>45931.0</v>
      </c>
    </row>
    <row r="286" hidden="1">
      <c r="A286" s="1" t="s">
        <v>31</v>
      </c>
      <c r="B286" s="1" t="s">
        <v>32</v>
      </c>
      <c r="C286" s="1" t="s">
        <v>13</v>
      </c>
      <c r="D286" s="1">
        <v>172.0</v>
      </c>
      <c r="E286" s="1">
        <v>40.0</v>
      </c>
      <c r="F286" s="1">
        <v>2.0</v>
      </c>
      <c r="G286" s="1">
        <v>6.0</v>
      </c>
      <c r="H286" s="1" t="s">
        <v>33</v>
      </c>
      <c r="I286" s="2">
        <v>45955.0</v>
      </c>
      <c r="J286" s="1">
        <v>550000.0</v>
      </c>
      <c r="K286" s="2">
        <v>45931.0</v>
      </c>
    </row>
    <row r="287" hidden="1">
      <c r="A287" s="1" t="s">
        <v>46</v>
      </c>
      <c r="B287" s="1" t="s">
        <v>47</v>
      </c>
      <c r="C287" s="1" t="s">
        <v>23</v>
      </c>
      <c r="D287" s="1">
        <v>36.0</v>
      </c>
      <c r="E287" s="1">
        <v>40.0</v>
      </c>
      <c r="F287" s="1">
        <v>6.0</v>
      </c>
      <c r="G287" s="1">
        <v>4.0</v>
      </c>
      <c r="H287" s="1" t="s">
        <v>30</v>
      </c>
      <c r="I287" s="2">
        <v>46044.0</v>
      </c>
      <c r="J287" s="1">
        <v>550000.0</v>
      </c>
      <c r="K287" s="2">
        <v>46023.0</v>
      </c>
    </row>
    <row r="288" hidden="1">
      <c r="A288" s="1" t="s">
        <v>31</v>
      </c>
      <c r="B288" s="1" t="s">
        <v>32</v>
      </c>
      <c r="C288" s="1" t="s">
        <v>13</v>
      </c>
      <c r="D288" s="1">
        <v>160.0</v>
      </c>
      <c r="E288" s="1">
        <v>40.0</v>
      </c>
      <c r="F288" s="1">
        <v>3.0</v>
      </c>
      <c r="G288" s="1">
        <v>6.0</v>
      </c>
      <c r="H288" s="1" t="s">
        <v>33</v>
      </c>
      <c r="I288" s="2">
        <v>45887.0</v>
      </c>
      <c r="J288" s="1">
        <v>550000.0</v>
      </c>
      <c r="K288" s="2">
        <v>45870.0</v>
      </c>
    </row>
    <row r="289" hidden="1">
      <c r="A289" s="1" t="s">
        <v>44</v>
      </c>
      <c r="B289" s="1" t="s">
        <v>45</v>
      </c>
      <c r="C289" s="1" t="s">
        <v>42</v>
      </c>
      <c r="D289" s="1">
        <v>45.0</v>
      </c>
      <c r="E289" s="1">
        <v>30.0</v>
      </c>
      <c r="F289" s="1">
        <v>5.0</v>
      </c>
      <c r="G289" s="1">
        <v>5.0</v>
      </c>
      <c r="H289" s="1" t="s">
        <v>43</v>
      </c>
      <c r="I289" s="2">
        <v>45801.0</v>
      </c>
      <c r="J289" s="1">
        <v>350000.0</v>
      </c>
      <c r="K289" s="2">
        <v>45778.0</v>
      </c>
    </row>
    <row r="290" hidden="1">
      <c r="A290" s="1" t="s">
        <v>19</v>
      </c>
      <c r="B290" s="1" t="s">
        <v>20</v>
      </c>
      <c r="C290" s="1" t="s">
        <v>17</v>
      </c>
      <c r="D290" s="1">
        <v>52.0</v>
      </c>
      <c r="E290" s="1">
        <v>30.0</v>
      </c>
      <c r="F290" s="1">
        <v>5.0</v>
      </c>
      <c r="G290" s="1">
        <v>5.0</v>
      </c>
      <c r="H290" s="1" t="s">
        <v>18</v>
      </c>
      <c r="I290" s="2">
        <v>46321.0</v>
      </c>
      <c r="J290" s="1">
        <v>1200000.0</v>
      </c>
      <c r="K290" s="2">
        <v>46054.0</v>
      </c>
    </row>
    <row r="291" hidden="1">
      <c r="A291" s="1" t="s">
        <v>19</v>
      </c>
      <c r="B291" s="1" t="s">
        <v>20</v>
      </c>
      <c r="C291" s="1" t="s">
        <v>17</v>
      </c>
      <c r="D291" s="1">
        <v>51.0</v>
      </c>
      <c r="E291" s="1">
        <v>30.0</v>
      </c>
      <c r="F291" s="1">
        <v>4.0</v>
      </c>
      <c r="G291" s="1">
        <v>6.0</v>
      </c>
      <c r="H291" s="1" t="s">
        <v>18</v>
      </c>
      <c r="I291" s="2">
        <v>45775.0</v>
      </c>
      <c r="J291" s="1">
        <v>1200000.0</v>
      </c>
      <c r="K291" s="2">
        <v>45748.0</v>
      </c>
    </row>
    <row r="292" hidden="1">
      <c r="A292" s="1" t="s">
        <v>11</v>
      </c>
      <c r="B292" s="1" t="s">
        <v>12</v>
      </c>
      <c r="C292" s="1" t="s">
        <v>13</v>
      </c>
      <c r="D292" s="1">
        <v>290.0</v>
      </c>
      <c r="E292" s="1">
        <v>50.0</v>
      </c>
      <c r="F292" s="1">
        <v>3.0</v>
      </c>
      <c r="G292" s="1">
        <v>6.0</v>
      </c>
      <c r="H292" s="1" t="s">
        <v>14</v>
      </c>
      <c r="I292" s="2">
        <v>45991.0</v>
      </c>
      <c r="J292" s="1">
        <v>125000.0</v>
      </c>
      <c r="K292" s="2">
        <v>45962.0</v>
      </c>
    </row>
    <row r="293" hidden="1">
      <c r="A293" s="1" t="s">
        <v>55</v>
      </c>
      <c r="B293" s="1" t="s">
        <v>56</v>
      </c>
      <c r="C293" s="1" t="s">
        <v>36</v>
      </c>
      <c r="D293" s="1">
        <v>57.0</v>
      </c>
      <c r="E293" s="1">
        <v>100.0</v>
      </c>
      <c r="F293" s="1">
        <v>15.0</v>
      </c>
      <c r="G293" s="1">
        <v>4.0</v>
      </c>
      <c r="H293" s="1" t="s">
        <v>37</v>
      </c>
      <c r="I293" s="2">
        <v>46034.0</v>
      </c>
      <c r="J293" s="1">
        <v>85000.0</v>
      </c>
      <c r="K293" s="2">
        <v>46023.0</v>
      </c>
    </row>
    <row r="294" hidden="1">
      <c r="A294" s="1" t="s">
        <v>25</v>
      </c>
      <c r="B294" s="1" t="s">
        <v>26</v>
      </c>
      <c r="C294" s="1" t="s">
        <v>17</v>
      </c>
      <c r="D294" s="1">
        <v>11.0</v>
      </c>
      <c r="E294" s="1">
        <v>25.0</v>
      </c>
      <c r="F294" s="1">
        <v>7.0</v>
      </c>
      <c r="G294" s="1">
        <v>14.0</v>
      </c>
      <c r="H294" s="1" t="s">
        <v>27</v>
      </c>
      <c r="I294" s="2">
        <v>45862.0</v>
      </c>
      <c r="J294" s="1">
        <v>4500000.0</v>
      </c>
      <c r="K294" s="2">
        <v>45839.0</v>
      </c>
    </row>
    <row r="295" hidden="1">
      <c r="A295" s="1" t="s">
        <v>40</v>
      </c>
      <c r="B295" s="1" t="s">
        <v>41</v>
      </c>
      <c r="C295" s="1" t="s">
        <v>42</v>
      </c>
      <c r="D295" s="1">
        <v>21.0</v>
      </c>
      <c r="E295" s="1">
        <v>15.0</v>
      </c>
      <c r="F295" s="1">
        <v>1.0</v>
      </c>
      <c r="G295" s="1">
        <v>9.0</v>
      </c>
      <c r="H295" s="1" t="s">
        <v>43</v>
      </c>
      <c r="I295" s="2">
        <v>45968.0</v>
      </c>
      <c r="J295" s="1">
        <v>1200000.0</v>
      </c>
      <c r="K295" s="2">
        <v>45962.0</v>
      </c>
    </row>
    <row r="296" hidden="1">
      <c r="A296" s="1" t="s">
        <v>51</v>
      </c>
      <c r="B296" s="1" t="s">
        <v>52</v>
      </c>
      <c r="C296" s="1" t="s">
        <v>36</v>
      </c>
      <c r="D296" s="1">
        <v>44.0</v>
      </c>
      <c r="E296" s="1">
        <v>60.0</v>
      </c>
      <c r="F296" s="1">
        <v>6.0</v>
      </c>
      <c r="G296" s="1">
        <v>6.0</v>
      </c>
      <c r="H296" s="1" t="s">
        <v>50</v>
      </c>
      <c r="I296" s="2">
        <v>45839.0</v>
      </c>
      <c r="J296" s="1">
        <v>175000.0</v>
      </c>
      <c r="K296" s="2">
        <v>45839.0</v>
      </c>
    </row>
    <row r="297" hidden="1">
      <c r="A297" s="1" t="s">
        <v>31</v>
      </c>
      <c r="B297" s="1" t="s">
        <v>32</v>
      </c>
      <c r="C297" s="1" t="s">
        <v>13</v>
      </c>
      <c r="D297" s="1">
        <v>127.0</v>
      </c>
      <c r="E297" s="1">
        <v>40.0</v>
      </c>
      <c r="F297" s="1">
        <v>3.0</v>
      </c>
      <c r="G297" s="1">
        <v>4.0</v>
      </c>
      <c r="H297" s="1" t="s">
        <v>33</v>
      </c>
      <c r="I297" s="2">
        <v>46001.0</v>
      </c>
      <c r="J297" s="1">
        <v>550000.0</v>
      </c>
      <c r="K297" s="2">
        <v>45992.0</v>
      </c>
    </row>
    <row r="298" hidden="1">
      <c r="A298" s="1" t="s">
        <v>48</v>
      </c>
      <c r="B298" s="1" t="s">
        <v>49</v>
      </c>
      <c r="C298" s="1" t="s">
        <v>36</v>
      </c>
      <c r="D298" s="1">
        <v>170.0</v>
      </c>
      <c r="E298" s="1">
        <v>120.0</v>
      </c>
      <c r="F298" s="1">
        <v>17.0</v>
      </c>
      <c r="G298" s="1">
        <v>3.0</v>
      </c>
      <c r="H298" s="1" t="s">
        <v>50</v>
      </c>
      <c r="I298" s="2">
        <v>45905.0</v>
      </c>
      <c r="J298" s="1">
        <v>55000.0</v>
      </c>
      <c r="K298" s="2">
        <v>45901.0</v>
      </c>
    </row>
    <row r="299" hidden="1">
      <c r="A299" s="1" t="s">
        <v>34</v>
      </c>
      <c r="B299" s="1" t="s">
        <v>35</v>
      </c>
      <c r="C299" s="1" t="s">
        <v>36</v>
      </c>
      <c r="D299" s="1">
        <v>0.0</v>
      </c>
      <c r="E299" s="1">
        <v>80.0</v>
      </c>
      <c r="F299" s="1">
        <v>18.0</v>
      </c>
      <c r="G299" s="1">
        <v>4.0</v>
      </c>
      <c r="H299" s="1" t="s">
        <v>37</v>
      </c>
      <c r="I299" s="2">
        <v>45745.0</v>
      </c>
      <c r="J299" s="1">
        <v>65000.0</v>
      </c>
      <c r="K299" s="2">
        <v>45717.0</v>
      </c>
    </row>
    <row r="300" hidden="1">
      <c r="A300" s="1" t="s">
        <v>57</v>
      </c>
      <c r="B300" s="1" t="s">
        <v>58</v>
      </c>
      <c r="C300" s="1" t="s">
        <v>42</v>
      </c>
      <c r="D300" s="1">
        <v>44.0</v>
      </c>
      <c r="E300" s="1">
        <v>25.0</v>
      </c>
      <c r="F300" s="1">
        <v>4.0</v>
      </c>
      <c r="G300" s="1">
        <v>8.0</v>
      </c>
      <c r="H300" s="1" t="s">
        <v>59</v>
      </c>
      <c r="I300" s="2">
        <v>46108.0</v>
      </c>
      <c r="J300" s="1">
        <v>450000.0</v>
      </c>
      <c r="K300" s="2">
        <v>46082.0</v>
      </c>
    </row>
    <row r="301" hidden="1">
      <c r="A301" s="1" t="s">
        <v>64</v>
      </c>
      <c r="B301" s="1" t="s">
        <v>65</v>
      </c>
      <c r="C301" s="1" t="s">
        <v>42</v>
      </c>
      <c r="D301" s="1">
        <v>27.0</v>
      </c>
      <c r="E301" s="1">
        <v>20.0</v>
      </c>
      <c r="F301" s="1">
        <v>3.0</v>
      </c>
      <c r="G301" s="1">
        <v>8.0</v>
      </c>
      <c r="H301" s="1" t="s">
        <v>59</v>
      </c>
      <c r="I301" s="2">
        <v>45976.0</v>
      </c>
      <c r="J301" s="1">
        <v>750000.0</v>
      </c>
      <c r="K301" s="2">
        <v>45962.0</v>
      </c>
    </row>
    <row r="302" hidden="1">
      <c r="A302" s="1" t="s">
        <v>40</v>
      </c>
      <c r="B302" s="1" t="s">
        <v>41</v>
      </c>
      <c r="C302" s="1" t="s">
        <v>42</v>
      </c>
      <c r="D302" s="1">
        <v>22.0</v>
      </c>
      <c r="E302" s="1">
        <v>15.0</v>
      </c>
      <c r="F302" s="1">
        <v>2.0</v>
      </c>
      <c r="G302" s="1">
        <v>5.0</v>
      </c>
      <c r="H302" s="1" t="s">
        <v>43</v>
      </c>
      <c r="I302" s="2">
        <v>45709.0</v>
      </c>
      <c r="J302" s="1">
        <v>1200000.0</v>
      </c>
      <c r="K302" s="2">
        <v>45689.0</v>
      </c>
    </row>
    <row r="303" hidden="1">
      <c r="A303" s="1" t="s">
        <v>28</v>
      </c>
      <c r="B303" s="1" t="s">
        <v>29</v>
      </c>
      <c r="C303" s="1" t="s">
        <v>23</v>
      </c>
      <c r="D303" s="1">
        <v>18.0</v>
      </c>
      <c r="E303" s="1">
        <v>35.0</v>
      </c>
      <c r="F303" s="1">
        <v>5.0</v>
      </c>
      <c r="G303" s="1">
        <v>4.0</v>
      </c>
      <c r="H303" s="1" t="s">
        <v>30</v>
      </c>
      <c r="I303" s="2">
        <v>45949.0</v>
      </c>
      <c r="J303" s="1">
        <v>1250000.0</v>
      </c>
      <c r="K303" s="2">
        <v>45931.0</v>
      </c>
    </row>
    <row r="304" hidden="1">
      <c r="A304" s="1" t="s">
        <v>38</v>
      </c>
      <c r="B304" s="1" t="s">
        <v>39</v>
      </c>
      <c r="C304" s="1" t="s">
        <v>23</v>
      </c>
      <c r="D304" s="1">
        <v>17.0</v>
      </c>
      <c r="E304" s="1">
        <v>45.0</v>
      </c>
      <c r="F304" s="1">
        <v>8.0</v>
      </c>
      <c r="G304" s="1">
        <v>4.0</v>
      </c>
      <c r="H304" s="1" t="s">
        <v>24</v>
      </c>
      <c r="I304" s="2">
        <v>46050.0</v>
      </c>
      <c r="J304" s="1">
        <v>450000.0</v>
      </c>
      <c r="K304" s="2">
        <v>46023.0</v>
      </c>
    </row>
    <row r="305" hidden="1">
      <c r="A305" s="1" t="s">
        <v>53</v>
      </c>
      <c r="B305" s="1" t="s">
        <v>54</v>
      </c>
      <c r="C305" s="1" t="s">
        <v>13</v>
      </c>
      <c r="D305" s="1">
        <v>273.0</v>
      </c>
      <c r="E305" s="1">
        <v>60.0</v>
      </c>
      <c r="F305" s="1">
        <v>1.0</v>
      </c>
      <c r="G305" s="1">
        <v>4.0</v>
      </c>
      <c r="H305" s="1" t="s">
        <v>14</v>
      </c>
      <c r="I305" s="2">
        <v>45806.0</v>
      </c>
      <c r="J305" s="1">
        <v>165000.0</v>
      </c>
      <c r="K305" s="2">
        <v>45778.0</v>
      </c>
    </row>
    <row r="306" hidden="1">
      <c r="A306" s="1" t="s">
        <v>64</v>
      </c>
      <c r="B306" s="1" t="s">
        <v>65</v>
      </c>
      <c r="C306" s="1" t="s">
        <v>42</v>
      </c>
      <c r="D306" s="1">
        <v>40.0</v>
      </c>
      <c r="E306" s="1">
        <v>20.0</v>
      </c>
      <c r="F306" s="1">
        <v>1.0</v>
      </c>
      <c r="G306" s="1">
        <v>7.0</v>
      </c>
      <c r="H306" s="1" t="s">
        <v>59</v>
      </c>
      <c r="I306" s="2">
        <v>45693.0</v>
      </c>
      <c r="J306" s="1">
        <v>750000.0</v>
      </c>
      <c r="K306" s="2">
        <v>45689.0</v>
      </c>
    </row>
    <row r="307" hidden="1">
      <c r="A307" s="1" t="s">
        <v>38</v>
      </c>
      <c r="B307" s="1" t="s">
        <v>39</v>
      </c>
      <c r="C307" s="1" t="s">
        <v>23</v>
      </c>
      <c r="D307" s="1">
        <v>17.0</v>
      </c>
      <c r="E307" s="1">
        <v>45.0</v>
      </c>
      <c r="F307" s="1">
        <v>8.0</v>
      </c>
      <c r="G307" s="1">
        <v>4.0</v>
      </c>
      <c r="H307" s="1" t="s">
        <v>24</v>
      </c>
      <c r="I307" s="2">
        <v>46050.0</v>
      </c>
      <c r="J307" s="1">
        <v>450000.0</v>
      </c>
      <c r="K307" s="2">
        <v>46023.0</v>
      </c>
    </row>
    <row r="308" hidden="1">
      <c r="A308" s="1" t="s">
        <v>25</v>
      </c>
      <c r="B308" s="1" t="s">
        <v>26</v>
      </c>
      <c r="C308" s="1" t="s">
        <v>17</v>
      </c>
      <c r="D308" s="1">
        <v>5.0</v>
      </c>
      <c r="E308" s="1">
        <v>25.0</v>
      </c>
      <c r="F308" s="1">
        <v>7.0</v>
      </c>
      <c r="G308" s="1">
        <v>19.0</v>
      </c>
      <c r="H308" s="1" t="s">
        <v>27</v>
      </c>
      <c r="I308" s="2">
        <v>45837.0</v>
      </c>
      <c r="J308" s="1">
        <v>4500000.0</v>
      </c>
      <c r="K308" s="2">
        <v>45809.0</v>
      </c>
    </row>
    <row r="309" hidden="1">
      <c r="A309" s="1" t="s">
        <v>31</v>
      </c>
      <c r="B309" s="1" t="s">
        <v>32</v>
      </c>
      <c r="C309" s="1" t="s">
        <v>13</v>
      </c>
      <c r="D309" s="1">
        <v>129.0</v>
      </c>
      <c r="E309" s="1">
        <v>40.0</v>
      </c>
      <c r="F309" s="1">
        <v>4.0</v>
      </c>
      <c r="G309" s="1">
        <v>6.0</v>
      </c>
      <c r="H309" s="1" t="s">
        <v>33</v>
      </c>
      <c r="I309" s="2">
        <v>45916.0</v>
      </c>
      <c r="J309" s="1">
        <v>550000.0</v>
      </c>
      <c r="K309" s="2">
        <v>45901.0</v>
      </c>
    </row>
    <row r="310" hidden="1">
      <c r="A310" s="1" t="s">
        <v>21</v>
      </c>
      <c r="B310" s="1" t="s">
        <v>22</v>
      </c>
      <c r="C310" s="1" t="s">
        <v>23</v>
      </c>
      <c r="D310" s="1">
        <v>0.0</v>
      </c>
      <c r="E310" s="1">
        <v>50.0</v>
      </c>
      <c r="F310" s="1">
        <v>14.0</v>
      </c>
      <c r="G310" s="1">
        <v>7.0</v>
      </c>
      <c r="H310" s="1" t="s">
        <v>24</v>
      </c>
      <c r="I310" s="2">
        <v>46014.0</v>
      </c>
      <c r="J310" s="1">
        <v>350000.0</v>
      </c>
      <c r="K310" s="2">
        <v>45992.0</v>
      </c>
    </row>
    <row r="311" hidden="1">
      <c r="A311" s="1" t="s">
        <v>46</v>
      </c>
      <c r="B311" s="1" t="s">
        <v>47</v>
      </c>
      <c r="C311" s="1" t="s">
        <v>23</v>
      </c>
      <c r="D311" s="1">
        <v>9.0</v>
      </c>
      <c r="E311" s="1">
        <v>40.0</v>
      </c>
      <c r="F311" s="1">
        <v>5.0</v>
      </c>
      <c r="G311" s="1">
        <v>8.0</v>
      </c>
      <c r="H311" s="1" t="s">
        <v>30</v>
      </c>
      <c r="I311" s="2">
        <v>45698.0</v>
      </c>
      <c r="J311" s="1">
        <v>550000.0</v>
      </c>
      <c r="K311" s="2">
        <v>45689.0</v>
      </c>
    </row>
    <row r="312" hidden="1">
      <c r="A312" s="1" t="s">
        <v>51</v>
      </c>
      <c r="B312" s="1" t="s">
        <v>52</v>
      </c>
      <c r="C312" s="1" t="s">
        <v>36</v>
      </c>
      <c r="D312" s="1">
        <v>20.0</v>
      </c>
      <c r="E312" s="1">
        <v>60.0</v>
      </c>
      <c r="F312" s="1">
        <v>9.0</v>
      </c>
      <c r="G312" s="1">
        <v>5.0</v>
      </c>
      <c r="H312" s="1" t="s">
        <v>50</v>
      </c>
      <c r="I312" s="2">
        <v>45687.0</v>
      </c>
      <c r="J312" s="1">
        <v>175000.0</v>
      </c>
      <c r="K312" s="2">
        <v>45658.0</v>
      </c>
    </row>
    <row r="313" hidden="1">
      <c r="A313" s="1" t="s">
        <v>28</v>
      </c>
      <c r="B313" s="1" t="s">
        <v>29</v>
      </c>
      <c r="C313" s="1" t="s">
        <v>23</v>
      </c>
      <c r="D313" s="1">
        <v>16.0</v>
      </c>
      <c r="E313" s="1">
        <v>35.0</v>
      </c>
      <c r="F313" s="1">
        <v>7.0</v>
      </c>
      <c r="G313" s="1">
        <v>5.0</v>
      </c>
      <c r="H313" s="1" t="s">
        <v>30</v>
      </c>
      <c r="I313" s="2">
        <v>46024.0</v>
      </c>
      <c r="J313" s="1">
        <v>1250000.0</v>
      </c>
      <c r="K313" s="2">
        <v>46023.0</v>
      </c>
    </row>
  </sheetData>
  <autoFilter ref="$A$1:$K$313">
    <filterColumn colId="4">
      <colorFilter dxfId="3"/>
    </filterColumn>
  </autoFilter>
  <conditionalFormatting sqref="A2:K313">
    <cfRule type="expression" dxfId="2" priority="1">
      <formula>COUNTBLANK($A2:$K2) &gt; 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</row>
    <row r="3" hidden="1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</row>
    <row r="4" hidden="1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</row>
    <row r="5" hidden="1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</row>
    <row r="6" hidden="1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</row>
    <row r="7" hidden="1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</row>
    <row r="8" hidden="1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</row>
    <row r="9" hidden="1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</row>
    <row r="10" hidden="1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</row>
    <row r="11" hidden="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</row>
    <row r="12" hidden="1">
      <c r="A12" s="1" t="s">
        <v>38</v>
      </c>
      <c r="B12" s="1" t="s">
        <v>39</v>
      </c>
      <c r="C12" s="1" t="s">
        <v>23</v>
      </c>
      <c r="D12" s="1">
        <v>-28.0</v>
      </c>
      <c r="E12" s="1">
        <v>45.0</v>
      </c>
      <c r="F12" s="1">
        <v>7.0</v>
      </c>
      <c r="G12" s="1">
        <v>5.0</v>
      </c>
      <c r="H12" s="1" t="s">
        <v>24</v>
      </c>
      <c r="I12" s="2">
        <v>45664.0</v>
      </c>
      <c r="J12" s="1">
        <v>450000.0</v>
      </c>
      <c r="K12" s="2">
        <v>45658.0</v>
      </c>
    </row>
    <row r="13" hidden="1">
      <c r="A13" s="1" t="s">
        <v>40</v>
      </c>
      <c r="B13" s="1" t="s">
        <v>41</v>
      </c>
      <c r="C13" s="1" t="s">
        <v>42</v>
      </c>
      <c r="D13" s="1">
        <v>-18.0</v>
      </c>
      <c r="E13" s="1">
        <v>15.0</v>
      </c>
      <c r="F13" s="1">
        <v>4.0</v>
      </c>
      <c r="G13" s="1">
        <v>6.0</v>
      </c>
      <c r="H13" s="1" t="s">
        <v>43</v>
      </c>
      <c r="I13" s="2">
        <v>46099.0</v>
      </c>
      <c r="J13" s="1">
        <v>1200000.0</v>
      </c>
      <c r="K13" s="2">
        <v>46082.0</v>
      </c>
    </row>
    <row r="14" hidden="1">
      <c r="A14" s="1" t="s">
        <v>44</v>
      </c>
      <c r="B14" s="1" t="s">
        <v>45</v>
      </c>
      <c r="C14" s="1" t="s">
        <v>42</v>
      </c>
      <c r="D14" s="1">
        <v>54.0</v>
      </c>
      <c r="E14" s="1">
        <v>30.0</v>
      </c>
      <c r="F14" s="1">
        <v>6.0</v>
      </c>
      <c r="G14" s="1">
        <v>8.0</v>
      </c>
      <c r="H14" s="1" t="s">
        <v>43</v>
      </c>
      <c r="I14" s="2">
        <v>45983.0</v>
      </c>
      <c r="J14" s="1">
        <v>350000.0</v>
      </c>
      <c r="K14" s="2">
        <v>45962.0</v>
      </c>
    </row>
    <row r="15" hidden="1">
      <c r="A15" s="1" t="s">
        <v>46</v>
      </c>
      <c r="B15" s="1" t="s">
        <v>47</v>
      </c>
      <c r="C15" s="1" t="s">
        <v>23</v>
      </c>
      <c r="D15" s="1">
        <v>0.0</v>
      </c>
      <c r="E15" s="1">
        <v>40.0</v>
      </c>
      <c r="F15" s="1">
        <v>7.0</v>
      </c>
      <c r="G15" s="1">
        <v>4.0</v>
      </c>
      <c r="H15" s="1" t="s">
        <v>30</v>
      </c>
      <c r="I15" s="2">
        <v>45761.0</v>
      </c>
      <c r="J15" s="1">
        <v>550000.0</v>
      </c>
      <c r="K15" s="2">
        <v>45748.0</v>
      </c>
    </row>
    <row r="16" hidden="1">
      <c r="A16" s="1" t="s">
        <v>44</v>
      </c>
      <c r="B16" s="1" t="s">
        <v>45</v>
      </c>
      <c r="C16" s="1" t="s">
        <v>42</v>
      </c>
      <c r="D16" s="1">
        <v>41.0</v>
      </c>
      <c r="E16" s="1">
        <v>30.0</v>
      </c>
      <c r="F16" s="1">
        <v>4.0</v>
      </c>
      <c r="G16" s="1">
        <v>10.0</v>
      </c>
      <c r="H16" s="1" t="s">
        <v>43</v>
      </c>
      <c r="I16" s="2">
        <v>45930.0</v>
      </c>
      <c r="J16" s="1">
        <v>350000.0</v>
      </c>
      <c r="K16" s="2">
        <v>45901.0</v>
      </c>
    </row>
    <row r="17" hidden="1">
      <c r="A17" s="1" t="s">
        <v>48</v>
      </c>
      <c r="B17" s="1" t="s">
        <v>49</v>
      </c>
      <c r="C17" s="1" t="s">
        <v>36</v>
      </c>
      <c r="D17" s="1">
        <v>33.0</v>
      </c>
      <c r="E17" s="1">
        <v>120.0</v>
      </c>
      <c r="F17" s="1">
        <v>18.0</v>
      </c>
      <c r="G17" s="1">
        <v>7.0</v>
      </c>
      <c r="H17" s="1" t="s">
        <v>50</v>
      </c>
      <c r="I17" s="2">
        <v>45878.0</v>
      </c>
      <c r="J17" s="1">
        <v>55000.0</v>
      </c>
      <c r="K17" s="2">
        <v>45870.0</v>
      </c>
    </row>
    <row r="18" hidden="1">
      <c r="A18" s="1" t="s">
        <v>15</v>
      </c>
      <c r="B18" s="1" t="s">
        <v>16</v>
      </c>
      <c r="C18" s="1" t="s">
        <v>17</v>
      </c>
      <c r="D18" s="1">
        <v>26.0</v>
      </c>
      <c r="E18" s="1">
        <v>15.0</v>
      </c>
      <c r="F18" s="1">
        <v>3.0</v>
      </c>
      <c r="G18" s="1">
        <v>8.0</v>
      </c>
      <c r="H18" s="1" t="s">
        <v>18</v>
      </c>
      <c r="I18" s="2">
        <v>45816.0</v>
      </c>
      <c r="J18" s="1">
        <v>8500000.0</v>
      </c>
      <c r="K18" s="2">
        <v>45809.0</v>
      </c>
    </row>
    <row r="19">
      <c r="A19" s="1" t="s">
        <v>11</v>
      </c>
      <c r="B19" s="1" t="s">
        <v>12</v>
      </c>
      <c r="C19" s="1" t="s">
        <v>13</v>
      </c>
      <c r="D19" s="1">
        <v>139.0</v>
      </c>
      <c r="E19" s="1">
        <v>50.0</v>
      </c>
      <c r="F19" s="1">
        <v>1.0</v>
      </c>
      <c r="G19" s="1">
        <v>7.0</v>
      </c>
      <c r="H19" s="1" t="s">
        <v>14</v>
      </c>
      <c r="I19" s="2">
        <v>46317.0</v>
      </c>
      <c r="J19" s="1">
        <v>125000.0</v>
      </c>
      <c r="K19" s="2">
        <v>45839.0</v>
      </c>
    </row>
    <row r="20" hidden="1">
      <c r="A20" s="1" t="s">
        <v>44</v>
      </c>
      <c r="B20" s="1" t="s">
        <v>45</v>
      </c>
      <c r="C20" s="1" t="s">
        <v>42</v>
      </c>
      <c r="D20" s="1">
        <v>49.0</v>
      </c>
      <c r="E20" s="1">
        <v>30.0</v>
      </c>
      <c r="F20" s="1">
        <v>6.0</v>
      </c>
      <c r="G20" s="1">
        <v>9.0</v>
      </c>
      <c r="H20" s="1" t="s">
        <v>43</v>
      </c>
      <c r="I20" s="2">
        <v>45669.0</v>
      </c>
      <c r="J20" s="1">
        <v>350000.0</v>
      </c>
      <c r="K20" s="2">
        <v>45658.0</v>
      </c>
    </row>
    <row r="21" hidden="1">
      <c r="A21" s="1" t="s">
        <v>48</v>
      </c>
      <c r="B21" s="1" t="s">
        <v>49</v>
      </c>
      <c r="C21" s="1" t="s">
        <v>36</v>
      </c>
      <c r="D21" s="1">
        <v>0.0</v>
      </c>
      <c r="E21" s="1">
        <v>120.0</v>
      </c>
      <c r="F21" s="1">
        <v>27.0</v>
      </c>
      <c r="G21" s="1">
        <v>7.0</v>
      </c>
      <c r="H21" s="1" t="s">
        <v>50</v>
      </c>
      <c r="I21" s="2">
        <v>46010.0</v>
      </c>
      <c r="J21" s="1">
        <v>55000.0</v>
      </c>
      <c r="K21" s="2">
        <v>45992.0</v>
      </c>
    </row>
    <row r="22" hidden="1">
      <c r="A22" s="1" t="s">
        <v>21</v>
      </c>
      <c r="B22" s="1" t="s">
        <v>22</v>
      </c>
      <c r="C22" s="1" t="s">
        <v>23</v>
      </c>
      <c r="D22" s="1">
        <v>14.0</v>
      </c>
      <c r="E22" s="1">
        <v>50.0</v>
      </c>
      <c r="F22" s="1">
        <v>11.0</v>
      </c>
      <c r="G22" s="1">
        <v>4.0</v>
      </c>
      <c r="H22" s="1" t="s">
        <v>24</v>
      </c>
      <c r="I22" s="2">
        <v>46062.0</v>
      </c>
      <c r="J22" s="1">
        <v>350000.0</v>
      </c>
      <c r="K22" s="2">
        <v>46054.0</v>
      </c>
    </row>
    <row r="23" hidden="1">
      <c r="A23" s="1" t="s">
        <v>51</v>
      </c>
      <c r="B23" s="1" t="s">
        <v>52</v>
      </c>
      <c r="C23" s="1" t="s">
        <v>36</v>
      </c>
      <c r="D23" s="1">
        <v>0.0</v>
      </c>
      <c r="E23" s="1">
        <v>60.0</v>
      </c>
      <c r="F23" s="1">
        <v>13.0</v>
      </c>
      <c r="G23" s="1">
        <v>4.0</v>
      </c>
      <c r="H23" s="1" t="s">
        <v>50</v>
      </c>
      <c r="I23" s="2">
        <v>46004.0</v>
      </c>
      <c r="J23" s="1">
        <v>175000.0</v>
      </c>
      <c r="K23" s="2">
        <v>45992.0</v>
      </c>
    </row>
    <row r="24" hidden="1">
      <c r="A24" s="1" t="s">
        <v>53</v>
      </c>
      <c r="B24" s="1" t="s">
        <v>54</v>
      </c>
      <c r="C24" s="1" t="s">
        <v>13</v>
      </c>
      <c r="D24" s="1">
        <v>191.0</v>
      </c>
      <c r="E24" s="1">
        <v>60.0</v>
      </c>
      <c r="F24" s="1">
        <v>3.0</v>
      </c>
      <c r="G24" s="1">
        <v>8.0</v>
      </c>
      <c r="H24" s="1" t="s">
        <v>14</v>
      </c>
      <c r="I24" s="2">
        <v>45944.0</v>
      </c>
      <c r="J24" s="1">
        <v>165000.0</v>
      </c>
      <c r="K24" s="2">
        <v>45931.0</v>
      </c>
    </row>
    <row r="25" hidden="1">
      <c r="A25" s="1" t="s">
        <v>55</v>
      </c>
      <c r="B25" s="1" t="s">
        <v>56</v>
      </c>
      <c r="C25" s="1" t="s">
        <v>36</v>
      </c>
      <c r="D25" s="1">
        <v>0.0</v>
      </c>
      <c r="E25" s="1">
        <v>100.0</v>
      </c>
      <c r="F25" s="1">
        <v>24.0</v>
      </c>
      <c r="G25" s="1">
        <v>4.0</v>
      </c>
      <c r="H25" s="1" t="s">
        <v>37</v>
      </c>
      <c r="I25" s="2">
        <v>45747.0</v>
      </c>
      <c r="J25" s="1">
        <v>85000.0</v>
      </c>
      <c r="K25" s="2">
        <v>45717.0</v>
      </c>
    </row>
    <row r="26" hidden="1">
      <c r="A26" s="1" t="s">
        <v>38</v>
      </c>
      <c r="B26" s="1" t="s">
        <v>39</v>
      </c>
      <c r="C26" s="1" t="s">
        <v>23</v>
      </c>
      <c r="D26" s="1">
        <v>23.0</v>
      </c>
      <c r="E26" s="1">
        <v>45.0</v>
      </c>
      <c r="F26" s="1">
        <v>6.0</v>
      </c>
      <c r="G26" s="1">
        <v>6.0</v>
      </c>
      <c r="H26" s="1" t="s">
        <v>24</v>
      </c>
      <c r="I26" s="2">
        <v>45697.0</v>
      </c>
      <c r="J26" s="1">
        <v>450000.0</v>
      </c>
      <c r="K26" s="2">
        <v>45689.0</v>
      </c>
    </row>
    <row r="27" hidden="1">
      <c r="A27" s="1" t="s">
        <v>57</v>
      </c>
      <c r="B27" s="1" t="s">
        <v>58</v>
      </c>
      <c r="C27" s="1" t="s">
        <v>42</v>
      </c>
      <c r="D27" s="1">
        <v>50.0</v>
      </c>
      <c r="E27" s="1">
        <v>25.0</v>
      </c>
      <c r="F27" s="1">
        <v>3.0</v>
      </c>
      <c r="G27" s="1">
        <v>7.0</v>
      </c>
      <c r="H27" s="1" t="s">
        <v>59</v>
      </c>
      <c r="I27" s="2">
        <v>45920.0</v>
      </c>
      <c r="J27" s="1">
        <v>450000.0</v>
      </c>
      <c r="K27" s="2">
        <v>45901.0</v>
      </c>
    </row>
    <row r="28" hidden="1">
      <c r="A28" s="1" t="s">
        <v>57</v>
      </c>
      <c r="B28" s="1" t="s">
        <v>58</v>
      </c>
      <c r="C28" s="1" t="s">
        <v>42</v>
      </c>
      <c r="D28" s="1">
        <v>42.0</v>
      </c>
      <c r="E28" s="1">
        <v>25.0</v>
      </c>
      <c r="F28" s="1">
        <v>3.0</v>
      </c>
      <c r="G28" s="1">
        <v>8.0</v>
      </c>
      <c r="H28" s="1" t="s">
        <v>59</v>
      </c>
      <c r="I28" s="2">
        <v>46078.0</v>
      </c>
      <c r="J28" s="1">
        <v>450000.0</v>
      </c>
      <c r="K28" s="2">
        <v>46054.0</v>
      </c>
    </row>
    <row r="29" hidden="1">
      <c r="A29" s="1" t="s">
        <v>60</v>
      </c>
      <c r="B29" s="1" t="s">
        <v>61</v>
      </c>
      <c r="C29" s="1" t="s">
        <v>17</v>
      </c>
      <c r="D29" s="1">
        <v>-8.0</v>
      </c>
      <c r="E29" s="1">
        <v>20.0</v>
      </c>
      <c r="F29" s="1">
        <v>2.0</v>
      </c>
      <c r="G29" s="1">
        <v>9.0</v>
      </c>
      <c r="H29" s="1" t="s">
        <v>27</v>
      </c>
      <c r="I29" s="2">
        <v>45750.0</v>
      </c>
      <c r="J29" s="1">
        <v>3200000.0</v>
      </c>
      <c r="K29" s="2">
        <v>45748.0</v>
      </c>
    </row>
    <row r="30" hidden="1">
      <c r="A30" s="1" t="s">
        <v>51</v>
      </c>
      <c r="B30" s="1" t="s">
        <v>52</v>
      </c>
      <c r="C30" s="1" t="s">
        <v>36</v>
      </c>
      <c r="D30" s="1">
        <v>31.0</v>
      </c>
      <c r="E30" s="1">
        <v>60.0</v>
      </c>
      <c r="F30" s="1">
        <v>8.0</v>
      </c>
      <c r="G30" s="1">
        <v>7.0</v>
      </c>
      <c r="H30" s="1" t="s">
        <v>50</v>
      </c>
      <c r="I30" s="2">
        <v>45880.0</v>
      </c>
      <c r="J30" s="1">
        <v>175000.0</v>
      </c>
      <c r="K30" s="2">
        <v>45870.0</v>
      </c>
    </row>
    <row r="31" hidden="1">
      <c r="A31" s="1" t="s">
        <v>48</v>
      </c>
      <c r="B31" s="1" t="s">
        <v>49</v>
      </c>
      <c r="C31" s="1" t="s">
        <v>36</v>
      </c>
      <c r="D31" s="1">
        <v>38.0</v>
      </c>
      <c r="E31" s="1">
        <v>120.0</v>
      </c>
      <c r="F31" s="1">
        <v>17.0</v>
      </c>
      <c r="G31" s="1">
        <v>4.0</v>
      </c>
      <c r="H31" s="1" t="s">
        <v>50</v>
      </c>
      <c r="I31" s="2">
        <v>45864.0</v>
      </c>
      <c r="J31" s="1">
        <v>55000.0</v>
      </c>
      <c r="K31" s="2">
        <v>45839.0</v>
      </c>
    </row>
    <row r="32" hidden="1">
      <c r="A32" s="1" t="s">
        <v>11</v>
      </c>
      <c r="B32" s="1" t="s">
        <v>12</v>
      </c>
      <c r="C32" s="1" t="s">
        <v>13</v>
      </c>
      <c r="D32" s="1">
        <v>217.0</v>
      </c>
      <c r="E32" s="1">
        <v>50.0</v>
      </c>
      <c r="F32" s="1">
        <v>3.0</v>
      </c>
      <c r="G32" s="1">
        <v>7.0</v>
      </c>
      <c r="H32" s="1" t="s">
        <v>14</v>
      </c>
      <c r="I32" s="2">
        <v>46111.0</v>
      </c>
      <c r="J32" s="1">
        <v>125000.0</v>
      </c>
      <c r="K32" s="2">
        <v>46082.0</v>
      </c>
    </row>
    <row r="33" hidden="1">
      <c r="A33" s="1" t="s">
        <v>15</v>
      </c>
      <c r="B33" s="1" t="s">
        <v>16</v>
      </c>
      <c r="C33" s="1" t="s">
        <v>17</v>
      </c>
      <c r="D33" s="1">
        <v>11.0</v>
      </c>
      <c r="E33" s="1">
        <v>15.0</v>
      </c>
      <c r="F33" s="1">
        <v>1.0</v>
      </c>
      <c r="G33" s="1">
        <v>5.0</v>
      </c>
      <c r="H33" s="1" t="s">
        <v>18</v>
      </c>
      <c r="I33" s="2">
        <v>45754.0</v>
      </c>
      <c r="J33" s="1">
        <v>8500000.0</v>
      </c>
      <c r="K33" s="2">
        <v>45748.0</v>
      </c>
    </row>
    <row r="34" hidden="1">
      <c r="A34" s="1" t="s">
        <v>38</v>
      </c>
      <c r="B34" s="1" t="s">
        <v>39</v>
      </c>
      <c r="C34" s="1" t="s">
        <v>23</v>
      </c>
      <c r="D34" s="1">
        <v>36.0</v>
      </c>
      <c r="E34" s="1">
        <v>45.0</v>
      </c>
      <c r="F34" s="1">
        <v>7.0</v>
      </c>
      <c r="G34" s="1">
        <v>4.0</v>
      </c>
      <c r="H34" s="1" t="s">
        <v>24</v>
      </c>
      <c r="I34" s="2">
        <v>45883.0</v>
      </c>
      <c r="J34" s="1">
        <v>450000.0</v>
      </c>
      <c r="K34" s="2">
        <v>45870.0</v>
      </c>
    </row>
    <row r="35" hidden="1">
      <c r="A35" s="1" t="s">
        <v>48</v>
      </c>
      <c r="B35" s="1" t="s">
        <v>49</v>
      </c>
      <c r="C35" s="1" t="s">
        <v>36</v>
      </c>
      <c r="D35" s="1">
        <v>0.0</v>
      </c>
      <c r="E35" s="1">
        <v>120.0</v>
      </c>
      <c r="F35" s="1">
        <v>28.0</v>
      </c>
      <c r="G35" s="1">
        <v>6.0</v>
      </c>
      <c r="H35" s="1" t="s">
        <v>50</v>
      </c>
      <c r="I35" s="2">
        <v>45725.0</v>
      </c>
      <c r="J35" s="1">
        <v>55000.0</v>
      </c>
      <c r="K35" s="2">
        <v>45717.0</v>
      </c>
    </row>
    <row r="36" hidden="1">
      <c r="A36" s="1" t="s">
        <v>55</v>
      </c>
      <c r="B36" s="1" t="s">
        <v>56</v>
      </c>
      <c r="C36" s="1" t="s">
        <v>36</v>
      </c>
      <c r="D36" s="1">
        <v>-18.0</v>
      </c>
      <c r="E36" s="1">
        <v>100.0</v>
      </c>
      <c r="F36" s="1">
        <v>21.0</v>
      </c>
      <c r="G36" s="1">
        <v>3.0</v>
      </c>
      <c r="H36" s="1" t="s">
        <v>37</v>
      </c>
      <c r="I36" s="2">
        <v>46006.0</v>
      </c>
      <c r="J36" s="1">
        <v>85000.0</v>
      </c>
      <c r="K36" s="2">
        <v>45992.0</v>
      </c>
    </row>
    <row r="37" hidden="1">
      <c r="A37" s="1" t="s">
        <v>62</v>
      </c>
      <c r="B37" s="1" t="s">
        <v>63</v>
      </c>
      <c r="C37" s="1" t="s">
        <v>13</v>
      </c>
      <c r="D37" s="1">
        <v>375.0</v>
      </c>
      <c r="E37" s="1">
        <v>80.0</v>
      </c>
      <c r="F37" s="1">
        <v>5.0</v>
      </c>
      <c r="G37" s="1">
        <v>6.0</v>
      </c>
      <c r="H37" s="1" t="s">
        <v>33</v>
      </c>
      <c r="I37" s="2">
        <v>45737.0</v>
      </c>
      <c r="J37" s="1">
        <v>85000.0</v>
      </c>
      <c r="K37" s="2">
        <v>45717.0</v>
      </c>
    </row>
    <row r="38" hidden="1">
      <c r="A38" s="1" t="s">
        <v>19</v>
      </c>
      <c r="B38" s="1" t="s">
        <v>20</v>
      </c>
      <c r="C38" s="1" t="s">
        <v>17</v>
      </c>
      <c r="D38" s="1">
        <v>24.0</v>
      </c>
      <c r="E38" s="1">
        <v>30.0</v>
      </c>
      <c r="F38" s="1">
        <v>4.0</v>
      </c>
      <c r="G38" s="1">
        <v>5.0</v>
      </c>
      <c r="H38" s="1" t="s">
        <v>18</v>
      </c>
      <c r="I38" s="2">
        <v>45670.0</v>
      </c>
      <c r="J38" s="1">
        <v>1200000.0</v>
      </c>
      <c r="K38" s="2">
        <v>45658.0</v>
      </c>
    </row>
    <row r="39" hidden="1">
      <c r="A39" s="1" t="s">
        <v>25</v>
      </c>
      <c r="B39" s="1" t="s">
        <v>26</v>
      </c>
      <c r="C39" s="1" t="s">
        <v>17</v>
      </c>
      <c r="D39" s="1">
        <v>22.0</v>
      </c>
      <c r="E39" s="1">
        <v>25.0</v>
      </c>
      <c r="F39" s="1">
        <v>5.0</v>
      </c>
      <c r="G39" s="1">
        <v>14.0</v>
      </c>
      <c r="H39" s="1" t="s">
        <v>27</v>
      </c>
      <c r="I39" s="2">
        <v>45722.0</v>
      </c>
      <c r="J39" s="1">
        <v>4500000.0</v>
      </c>
      <c r="K39" s="2">
        <v>45717.0</v>
      </c>
    </row>
    <row r="40" hidden="1">
      <c r="A40" s="1" t="s">
        <v>44</v>
      </c>
      <c r="B40" s="1" t="s">
        <v>45</v>
      </c>
      <c r="C40" s="1" t="s">
        <v>42</v>
      </c>
      <c r="D40" s="1">
        <v>59.0</v>
      </c>
      <c r="E40" s="1">
        <v>30.0</v>
      </c>
      <c r="F40" s="1">
        <v>3.0</v>
      </c>
      <c r="G40" s="1">
        <v>6.0</v>
      </c>
      <c r="H40" s="1" t="s">
        <v>43</v>
      </c>
      <c r="I40" s="2">
        <v>45880.0</v>
      </c>
      <c r="J40" s="1">
        <v>350000.0</v>
      </c>
      <c r="K40" s="2">
        <v>45870.0</v>
      </c>
    </row>
    <row r="41" hidden="1">
      <c r="A41" s="1" t="s">
        <v>57</v>
      </c>
      <c r="B41" s="1" t="s">
        <v>58</v>
      </c>
      <c r="C41" s="1" t="s">
        <v>42</v>
      </c>
      <c r="D41" s="1">
        <v>22.0</v>
      </c>
      <c r="E41" s="1">
        <v>25.0</v>
      </c>
      <c r="F41" s="1">
        <v>2.0</v>
      </c>
      <c r="G41" s="1">
        <v>6.0</v>
      </c>
      <c r="H41" s="1" t="s">
        <v>59</v>
      </c>
      <c r="I41" s="2">
        <v>46000.0</v>
      </c>
      <c r="J41" s="1">
        <v>450000.0</v>
      </c>
      <c r="K41" s="2">
        <v>45992.0</v>
      </c>
    </row>
    <row r="42" hidden="1">
      <c r="A42" s="1" t="s">
        <v>60</v>
      </c>
      <c r="B42" s="1" t="s">
        <v>61</v>
      </c>
      <c r="C42" s="1" t="s">
        <v>17</v>
      </c>
      <c r="D42" s="1">
        <v>30.0</v>
      </c>
      <c r="E42" s="1">
        <v>20.0</v>
      </c>
      <c r="F42" s="1">
        <v>1.0</v>
      </c>
      <c r="G42" s="1">
        <v>14.0</v>
      </c>
      <c r="H42" s="1" t="s">
        <v>27</v>
      </c>
      <c r="I42" s="2">
        <v>46048.0</v>
      </c>
      <c r="J42" s="1">
        <v>3200000.0</v>
      </c>
      <c r="K42" s="2">
        <v>46023.0</v>
      </c>
    </row>
    <row r="43" hidden="1">
      <c r="A43" s="1" t="s">
        <v>25</v>
      </c>
      <c r="B43" s="1" t="s">
        <v>26</v>
      </c>
      <c r="C43" s="1" t="s">
        <v>17</v>
      </c>
      <c r="D43" s="1">
        <v>2.0</v>
      </c>
      <c r="E43" s="1">
        <v>25.0</v>
      </c>
      <c r="F43" s="1">
        <v>3.0</v>
      </c>
      <c r="G43" s="1">
        <v>20.0</v>
      </c>
      <c r="H43" s="1" t="s">
        <v>27</v>
      </c>
      <c r="I43" s="2">
        <v>45950.0</v>
      </c>
      <c r="J43" s="1">
        <v>4500000.0</v>
      </c>
      <c r="K43" s="2">
        <v>45931.0</v>
      </c>
    </row>
    <row r="44" hidden="1">
      <c r="A44" s="1" t="s">
        <v>31</v>
      </c>
      <c r="B44" s="1" t="s">
        <v>32</v>
      </c>
      <c r="C44" s="1" t="s">
        <v>13</v>
      </c>
      <c r="D44" s="1">
        <v>184.0</v>
      </c>
      <c r="E44" s="1">
        <v>40.0</v>
      </c>
      <c r="F44" s="1">
        <v>3.0</v>
      </c>
      <c r="G44" s="1">
        <v>6.0</v>
      </c>
      <c r="H44" s="1" t="s">
        <v>33</v>
      </c>
      <c r="I44" s="2">
        <v>45682.0</v>
      </c>
      <c r="J44" s="1">
        <v>550000.0</v>
      </c>
      <c r="K44" s="2">
        <v>45658.0</v>
      </c>
    </row>
    <row r="45" hidden="1">
      <c r="A45" s="1" t="s">
        <v>64</v>
      </c>
      <c r="B45" s="1" t="s">
        <v>65</v>
      </c>
      <c r="C45" s="1" t="s">
        <v>42</v>
      </c>
      <c r="D45" s="1">
        <v>19.0</v>
      </c>
      <c r="E45" s="1">
        <v>20.0</v>
      </c>
      <c r="F45" s="1">
        <v>4.0</v>
      </c>
      <c r="G45" s="1">
        <v>9.0</v>
      </c>
      <c r="H45" s="1" t="s">
        <v>59</v>
      </c>
      <c r="I45" s="2">
        <v>45782.0</v>
      </c>
      <c r="J45" s="1">
        <v>750000.0</v>
      </c>
      <c r="K45" s="2">
        <v>45778.0</v>
      </c>
    </row>
    <row r="46" hidden="1">
      <c r="A46" s="1" t="s">
        <v>62</v>
      </c>
      <c r="B46" s="1" t="s">
        <v>63</v>
      </c>
      <c r="C46" s="1" t="s">
        <v>13</v>
      </c>
      <c r="D46" s="1">
        <v>268.0</v>
      </c>
      <c r="E46" s="1">
        <v>80.0</v>
      </c>
      <c r="F46" s="1">
        <v>4.0</v>
      </c>
      <c r="G46" s="1">
        <v>4.0</v>
      </c>
      <c r="H46" s="1" t="s">
        <v>33</v>
      </c>
      <c r="I46" s="2">
        <v>46099.0</v>
      </c>
      <c r="J46" s="1">
        <v>85000.0</v>
      </c>
      <c r="K46" s="2">
        <v>46082.0</v>
      </c>
    </row>
    <row r="47" hidden="1">
      <c r="A47" s="1" t="s">
        <v>34</v>
      </c>
      <c r="B47" s="1" t="s">
        <v>35</v>
      </c>
      <c r="C47" s="1" t="s">
        <v>36</v>
      </c>
      <c r="D47" s="1">
        <v>31.0</v>
      </c>
      <c r="E47" s="1">
        <v>80.0</v>
      </c>
      <c r="F47" s="1">
        <v>13.0</v>
      </c>
      <c r="G47" s="1">
        <v>4.0</v>
      </c>
      <c r="H47" s="1" t="s">
        <v>37</v>
      </c>
      <c r="I47" s="2">
        <v>45857.0</v>
      </c>
      <c r="J47" s="1">
        <v>65000.0</v>
      </c>
      <c r="K47" s="2">
        <v>45839.0</v>
      </c>
    </row>
    <row r="48" hidden="1">
      <c r="A48" s="1" t="s">
        <v>55</v>
      </c>
      <c r="B48" s="1" t="s">
        <v>56</v>
      </c>
      <c r="C48" s="1" t="s">
        <v>36</v>
      </c>
      <c r="D48" s="1">
        <v>28.0</v>
      </c>
      <c r="E48" s="1">
        <v>100.0</v>
      </c>
      <c r="F48" s="1">
        <v>17.0</v>
      </c>
      <c r="G48" s="1">
        <v>3.0</v>
      </c>
      <c r="H48" s="1" t="s">
        <v>37</v>
      </c>
      <c r="I48" s="2">
        <v>46070.0</v>
      </c>
      <c r="J48" s="1">
        <v>85000.0</v>
      </c>
      <c r="K48" s="2">
        <v>46054.0</v>
      </c>
    </row>
    <row r="49" hidden="1">
      <c r="A49" s="1" t="s">
        <v>15</v>
      </c>
      <c r="B49" s="1" t="s">
        <v>16</v>
      </c>
      <c r="C49" s="1" t="s">
        <v>17</v>
      </c>
      <c r="D49" s="1">
        <v>22.0</v>
      </c>
      <c r="E49" s="1">
        <v>15.0</v>
      </c>
      <c r="F49" s="1">
        <v>2.0</v>
      </c>
      <c r="G49" s="1">
        <v>7.0</v>
      </c>
      <c r="H49" s="1" t="s">
        <v>18</v>
      </c>
      <c r="I49" s="2">
        <v>45878.0</v>
      </c>
      <c r="J49" s="1">
        <v>8500000.0</v>
      </c>
      <c r="K49" s="2">
        <v>45870.0</v>
      </c>
    </row>
    <row r="50" hidden="1">
      <c r="A50" s="1" t="s">
        <v>48</v>
      </c>
      <c r="B50" s="1" t="s">
        <v>49</v>
      </c>
      <c r="C50" s="1" t="s">
        <v>36</v>
      </c>
      <c r="D50" s="1">
        <v>27.0</v>
      </c>
      <c r="E50" s="1">
        <v>120.0</v>
      </c>
      <c r="F50" s="1">
        <v>18.0</v>
      </c>
      <c r="G50" s="1">
        <v>4.0</v>
      </c>
      <c r="H50" s="1" t="s">
        <v>50</v>
      </c>
      <c r="I50" s="2">
        <v>45782.0</v>
      </c>
      <c r="J50" s="1">
        <v>55000.0</v>
      </c>
      <c r="K50" s="2">
        <v>45778.0</v>
      </c>
    </row>
    <row r="51" hidden="1">
      <c r="A51" s="1" t="s">
        <v>38</v>
      </c>
      <c r="B51" s="1" t="s">
        <v>39</v>
      </c>
      <c r="C51" s="1" t="s">
        <v>23</v>
      </c>
      <c r="D51" s="1">
        <v>0.0</v>
      </c>
      <c r="E51" s="1">
        <v>45.0</v>
      </c>
      <c r="F51" s="1">
        <v>10.0</v>
      </c>
      <c r="G51" s="1">
        <v>3.0</v>
      </c>
      <c r="H51" s="1" t="s">
        <v>24</v>
      </c>
      <c r="I51" s="2">
        <v>45737.0</v>
      </c>
      <c r="J51" s="1">
        <v>450000.0</v>
      </c>
      <c r="K51" s="2">
        <v>45717.0</v>
      </c>
    </row>
    <row r="52" hidden="1">
      <c r="A52" s="1" t="s">
        <v>46</v>
      </c>
      <c r="B52" s="1" t="s">
        <v>47</v>
      </c>
      <c r="C52" s="1" t="s">
        <v>23</v>
      </c>
      <c r="D52" s="1">
        <v>0.0</v>
      </c>
      <c r="E52" s="1">
        <v>40.0</v>
      </c>
      <c r="F52" s="1">
        <v>8.0</v>
      </c>
      <c r="G52" s="1">
        <v>3.0</v>
      </c>
      <c r="H52" s="1" t="s">
        <v>30</v>
      </c>
      <c r="I52" s="2">
        <v>46018.0</v>
      </c>
      <c r="J52" s="1">
        <v>550000.0</v>
      </c>
      <c r="K52" s="2">
        <v>45992.0</v>
      </c>
    </row>
    <row r="53" hidden="1">
      <c r="A53" s="1" t="s">
        <v>55</v>
      </c>
      <c r="B53" s="1" t="s">
        <v>56</v>
      </c>
      <c r="C53" s="1" t="s">
        <v>36</v>
      </c>
      <c r="D53" s="1">
        <v>35.0</v>
      </c>
      <c r="E53" s="1">
        <v>100.0</v>
      </c>
      <c r="F53" s="1">
        <v>14.0</v>
      </c>
      <c r="G53" s="1">
        <v>3.0</v>
      </c>
      <c r="H53" s="1" t="s">
        <v>37</v>
      </c>
      <c r="I53" s="2">
        <v>45685.0</v>
      </c>
      <c r="J53" s="1">
        <v>85000.0</v>
      </c>
      <c r="K53" s="2">
        <v>45658.0</v>
      </c>
    </row>
    <row r="54" hidden="1">
      <c r="A54" s="1" t="s">
        <v>28</v>
      </c>
      <c r="B54" s="1" t="s">
        <v>29</v>
      </c>
      <c r="C54" s="1" t="s">
        <v>23</v>
      </c>
      <c r="D54" s="1">
        <v>0.0</v>
      </c>
      <c r="E54" s="1">
        <v>35.0</v>
      </c>
      <c r="F54" s="1">
        <v>9.0</v>
      </c>
      <c r="G54" s="1">
        <v>5.0</v>
      </c>
      <c r="H54" s="1" t="s">
        <v>30</v>
      </c>
      <c r="I54" s="2">
        <v>46095.0</v>
      </c>
      <c r="J54" s="1">
        <v>1250000.0</v>
      </c>
      <c r="K54" s="2">
        <v>46082.0</v>
      </c>
    </row>
    <row r="55" hidden="1">
      <c r="A55" s="1" t="s">
        <v>38</v>
      </c>
      <c r="B55" s="1" t="s">
        <v>39</v>
      </c>
      <c r="C55" s="1" t="s">
        <v>23</v>
      </c>
      <c r="D55" s="1">
        <v>40.0</v>
      </c>
      <c r="E55" s="1">
        <v>45.0</v>
      </c>
      <c r="F55" s="1">
        <v>5.0</v>
      </c>
      <c r="G55" s="1">
        <v>3.0</v>
      </c>
      <c r="H55" s="1" t="s">
        <v>24</v>
      </c>
      <c r="I55" s="2">
        <v>45959.0</v>
      </c>
      <c r="J55" s="1">
        <v>450000.0</v>
      </c>
      <c r="K55" s="2">
        <v>45931.0</v>
      </c>
    </row>
    <row r="56" hidden="1">
      <c r="A56" s="1" t="s">
        <v>64</v>
      </c>
      <c r="B56" s="1" t="s">
        <v>65</v>
      </c>
      <c r="C56" s="1" t="s">
        <v>42</v>
      </c>
      <c r="D56" s="1">
        <v>29.0</v>
      </c>
      <c r="E56" s="1">
        <v>20.0</v>
      </c>
      <c r="F56" s="1">
        <v>4.0</v>
      </c>
      <c r="G56" s="1">
        <v>10.0</v>
      </c>
      <c r="H56" s="1" t="s">
        <v>59</v>
      </c>
      <c r="I56" s="2">
        <v>45826.0</v>
      </c>
      <c r="J56" s="1">
        <v>750000.0</v>
      </c>
      <c r="K56" s="2">
        <v>45809.0</v>
      </c>
    </row>
    <row r="57" hidden="1">
      <c r="A57" s="1" t="s">
        <v>40</v>
      </c>
      <c r="B57" s="1" t="s">
        <v>41</v>
      </c>
      <c r="C57" s="1" t="s">
        <v>42</v>
      </c>
      <c r="D57" s="1">
        <v>30.0</v>
      </c>
      <c r="E57" s="1">
        <v>15.0</v>
      </c>
      <c r="F57" s="1">
        <v>2.0</v>
      </c>
      <c r="G57" s="1">
        <v>9.0</v>
      </c>
      <c r="H57" s="1" t="s">
        <v>43</v>
      </c>
      <c r="I57" s="2">
        <v>45892.0</v>
      </c>
      <c r="J57" s="1">
        <v>1200000.0</v>
      </c>
      <c r="K57" s="2">
        <v>45870.0</v>
      </c>
    </row>
    <row r="58" hidden="1">
      <c r="A58" s="1" t="s">
        <v>31</v>
      </c>
      <c r="B58" s="1" t="s">
        <v>32</v>
      </c>
      <c r="C58" s="1" t="s">
        <v>13</v>
      </c>
      <c r="D58" s="1">
        <v>91.0</v>
      </c>
      <c r="E58" s="1">
        <v>40.0</v>
      </c>
      <c r="F58" s="1">
        <v>3.0</v>
      </c>
      <c r="G58" s="1">
        <v>5.0</v>
      </c>
      <c r="H58" s="1" t="s">
        <v>33</v>
      </c>
      <c r="I58" s="2">
        <v>45724.0</v>
      </c>
      <c r="J58" s="1">
        <v>550000.0</v>
      </c>
      <c r="K58" s="2">
        <v>45717.0</v>
      </c>
    </row>
    <row r="59" hidden="1">
      <c r="A59" s="1" t="s">
        <v>53</v>
      </c>
      <c r="B59" s="1" t="s">
        <v>54</v>
      </c>
      <c r="C59" s="1" t="s">
        <v>13</v>
      </c>
      <c r="D59" s="1">
        <v>299.0</v>
      </c>
      <c r="E59" s="1">
        <v>60.0</v>
      </c>
      <c r="F59" s="1">
        <v>1.0</v>
      </c>
      <c r="G59" s="1">
        <v>7.0</v>
      </c>
      <c r="H59" s="1" t="s">
        <v>14</v>
      </c>
      <c r="I59" s="2">
        <v>45756.0</v>
      </c>
      <c r="J59" s="1">
        <v>165000.0</v>
      </c>
      <c r="K59" s="2">
        <v>45748.0</v>
      </c>
    </row>
    <row r="60" hidden="1">
      <c r="A60" s="1" t="s">
        <v>62</v>
      </c>
      <c r="B60" s="1" t="s">
        <v>63</v>
      </c>
      <c r="C60" s="1" t="s">
        <v>13</v>
      </c>
      <c r="D60" s="1">
        <v>392.0</v>
      </c>
      <c r="E60" s="1">
        <v>80.0</v>
      </c>
      <c r="F60" s="1">
        <v>5.0</v>
      </c>
      <c r="G60" s="1">
        <v>4.0</v>
      </c>
      <c r="H60" s="1" t="s">
        <v>33</v>
      </c>
      <c r="I60" s="2">
        <v>45701.0</v>
      </c>
      <c r="J60" s="1">
        <v>85000.0</v>
      </c>
      <c r="K60" s="2">
        <v>45689.0</v>
      </c>
    </row>
    <row r="61" hidden="1">
      <c r="A61" s="1" t="s">
        <v>53</v>
      </c>
      <c r="B61" s="1" t="s">
        <v>54</v>
      </c>
      <c r="C61" s="1" t="s">
        <v>13</v>
      </c>
      <c r="D61" s="1">
        <v>198.0</v>
      </c>
      <c r="E61" s="1">
        <v>60.0</v>
      </c>
      <c r="F61" s="1">
        <v>3.0</v>
      </c>
      <c r="G61" s="1">
        <v>8.0</v>
      </c>
      <c r="H61" s="1" t="s">
        <v>14</v>
      </c>
      <c r="I61" s="2">
        <v>45712.0</v>
      </c>
      <c r="J61" s="1">
        <v>165000.0</v>
      </c>
      <c r="K61" s="2">
        <v>45689.0</v>
      </c>
    </row>
    <row r="62" hidden="1">
      <c r="A62" s="1" t="s">
        <v>11</v>
      </c>
      <c r="B62" s="1" t="s">
        <v>12</v>
      </c>
      <c r="C62" s="1" t="s">
        <v>13</v>
      </c>
      <c r="D62" s="1">
        <v>238.0</v>
      </c>
      <c r="E62" s="1">
        <v>50.0</v>
      </c>
      <c r="F62" s="1">
        <v>2.0</v>
      </c>
      <c r="G62" s="1">
        <v>7.0</v>
      </c>
      <c r="H62" s="1" t="s">
        <v>14</v>
      </c>
      <c r="I62" s="2">
        <v>45671.0</v>
      </c>
      <c r="J62" s="1">
        <v>125000.0</v>
      </c>
      <c r="K62" s="2">
        <v>45658.0</v>
      </c>
    </row>
    <row r="63" hidden="1">
      <c r="A63" s="1" t="s">
        <v>46</v>
      </c>
      <c r="B63" s="1" t="s">
        <v>47</v>
      </c>
      <c r="C63" s="1" t="s">
        <v>23</v>
      </c>
      <c r="D63" s="1">
        <v>44.0</v>
      </c>
      <c r="E63" s="1">
        <v>40.0</v>
      </c>
      <c r="F63" s="1">
        <v>5.0</v>
      </c>
      <c r="G63" s="1">
        <v>6.0</v>
      </c>
      <c r="H63" s="1" t="s">
        <v>30</v>
      </c>
      <c r="I63" s="2">
        <v>45799.0</v>
      </c>
      <c r="J63" s="1">
        <v>550000.0</v>
      </c>
      <c r="K63" s="2">
        <v>45778.0</v>
      </c>
    </row>
    <row r="64" hidden="1">
      <c r="A64" s="1" t="s">
        <v>46</v>
      </c>
      <c r="B64" s="1" t="s">
        <v>47</v>
      </c>
      <c r="C64" s="1" t="s">
        <v>23</v>
      </c>
      <c r="D64" s="1">
        <v>28.0</v>
      </c>
      <c r="E64" s="1">
        <v>40.0</v>
      </c>
      <c r="F64" s="1">
        <v>3.0</v>
      </c>
      <c r="G64" s="1">
        <v>6.0</v>
      </c>
      <c r="H64" s="1" t="s">
        <v>30</v>
      </c>
      <c r="I64" s="2">
        <v>45956.0</v>
      </c>
      <c r="J64" s="1">
        <v>550000.0</v>
      </c>
      <c r="K64" s="2">
        <v>45931.0</v>
      </c>
    </row>
    <row r="65" hidden="1">
      <c r="A65" s="1" t="s">
        <v>46</v>
      </c>
      <c r="B65" s="1" t="s">
        <v>47</v>
      </c>
      <c r="C65" s="1" t="s">
        <v>23</v>
      </c>
      <c r="D65" s="1">
        <v>29.0</v>
      </c>
      <c r="E65" s="1">
        <v>40.0</v>
      </c>
      <c r="F65" s="1">
        <v>4.0</v>
      </c>
      <c r="G65" s="1">
        <v>9.0</v>
      </c>
      <c r="H65" s="1" t="s">
        <v>30</v>
      </c>
      <c r="I65" s="2">
        <v>45839.0</v>
      </c>
      <c r="J65" s="1">
        <v>550000.0</v>
      </c>
      <c r="K65" s="2">
        <v>45839.0</v>
      </c>
    </row>
    <row r="66" hidden="1">
      <c r="A66" s="1" t="s">
        <v>62</v>
      </c>
      <c r="B66" s="1" t="s">
        <v>63</v>
      </c>
      <c r="C66" s="1" t="s">
        <v>13</v>
      </c>
      <c r="D66" s="1">
        <v>468.0</v>
      </c>
      <c r="E66" s="1">
        <v>80.0</v>
      </c>
      <c r="F66" s="1">
        <v>5.0</v>
      </c>
      <c r="G66" s="1">
        <v>6.0</v>
      </c>
      <c r="H66" s="1" t="s">
        <v>33</v>
      </c>
      <c r="I66" s="2">
        <v>46079.0</v>
      </c>
      <c r="J66" s="1">
        <v>85000.0</v>
      </c>
      <c r="K66" s="2">
        <v>46054.0</v>
      </c>
    </row>
    <row r="67" hidden="1">
      <c r="A67" s="1" t="s">
        <v>57</v>
      </c>
      <c r="B67" s="1" t="s">
        <v>58</v>
      </c>
      <c r="C67" s="1" t="s">
        <v>42</v>
      </c>
      <c r="D67" s="1">
        <v>16.0</v>
      </c>
      <c r="E67" s="1">
        <v>25.0</v>
      </c>
      <c r="F67" s="1">
        <v>3.0</v>
      </c>
      <c r="G67" s="1">
        <v>6.0</v>
      </c>
      <c r="H67" s="1" t="s">
        <v>59</v>
      </c>
      <c r="I67" s="2">
        <v>45982.0</v>
      </c>
      <c r="J67" s="1">
        <v>450000.0</v>
      </c>
      <c r="K67" s="2">
        <v>45962.0</v>
      </c>
    </row>
    <row r="68" hidden="1">
      <c r="A68" s="1" t="s">
        <v>62</v>
      </c>
      <c r="B68" s="1" t="s">
        <v>63</v>
      </c>
      <c r="C68" s="1" t="s">
        <v>13</v>
      </c>
      <c r="D68" s="1">
        <v>320.0</v>
      </c>
      <c r="E68" s="1">
        <v>80.0</v>
      </c>
      <c r="F68" s="1">
        <v>5.0</v>
      </c>
      <c r="G68" s="1">
        <v>4.0</v>
      </c>
      <c r="H68" s="1" t="s">
        <v>33</v>
      </c>
      <c r="I68" s="2">
        <v>45909.0</v>
      </c>
      <c r="J68" s="1">
        <v>85000.0</v>
      </c>
      <c r="K68" s="2">
        <v>45901.0</v>
      </c>
    </row>
    <row r="69" hidden="1">
      <c r="A69" s="1" t="s">
        <v>38</v>
      </c>
      <c r="B69" s="1" t="s">
        <v>39</v>
      </c>
      <c r="C69" s="1" t="s">
        <v>23</v>
      </c>
      <c r="D69" s="1">
        <v>0.0</v>
      </c>
      <c r="E69" s="1">
        <v>45.0</v>
      </c>
      <c r="F69" s="1">
        <v>10.0</v>
      </c>
      <c r="G69" s="1">
        <v>4.0</v>
      </c>
      <c r="H69" s="1" t="s">
        <v>24</v>
      </c>
      <c r="I69" s="2">
        <v>45768.0</v>
      </c>
      <c r="J69" s="1">
        <v>450000.0</v>
      </c>
      <c r="K69" s="2">
        <v>45748.0</v>
      </c>
    </row>
    <row r="70" hidden="1">
      <c r="A70" s="1" t="s">
        <v>55</v>
      </c>
      <c r="B70" s="1" t="s">
        <v>56</v>
      </c>
      <c r="C70" s="1" t="s">
        <v>36</v>
      </c>
      <c r="D70" s="1">
        <v>29.0</v>
      </c>
      <c r="E70" s="1">
        <v>100.0</v>
      </c>
      <c r="F70" s="1">
        <v>16.0</v>
      </c>
      <c r="G70" s="1">
        <v>5.0</v>
      </c>
      <c r="H70" s="1" t="s">
        <v>37</v>
      </c>
      <c r="I70" s="2">
        <v>45813.0</v>
      </c>
      <c r="J70" s="1">
        <v>85000.0</v>
      </c>
      <c r="K70" s="2">
        <v>45809.0</v>
      </c>
    </row>
    <row r="71" hidden="1">
      <c r="A71" s="1" t="s">
        <v>19</v>
      </c>
      <c r="B71" s="1" t="s">
        <v>20</v>
      </c>
      <c r="C71" s="1" t="s">
        <v>17</v>
      </c>
      <c r="D71" s="1">
        <v>34.0</v>
      </c>
      <c r="E71" s="1">
        <v>30.0</v>
      </c>
      <c r="F71" s="1">
        <v>4.0</v>
      </c>
      <c r="G71" s="1">
        <v>5.0</v>
      </c>
      <c r="H71" s="1" t="s">
        <v>18</v>
      </c>
      <c r="I71" s="2">
        <v>46083.0</v>
      </c>
      <c r="J71" s="1">
        <v>1200000.0</v>
      </c>
      <c r="K71" s="2">
        <v>46082.0</v>
      </c>
    </row>
    <row r="72" hidden="1">
      <c r="A72" s="1" t="s">
        <v>55</v>
      </c>
      <c r="B72" s="1" t="s">
        <v>56</v>
      </c>
      <c r="C72" s="1" t="s">
        <v>36</v>
      </c>
      <c r="D72" s="1">
        <v>60.0</v>
      </c>
      <c r="E72" s="1">
        <v>100.0</v>
      </c>
      <c r="F72" s="1">
        <v>12.0</v>
      </c>
      <c r="G72" s="1">
        <v>4.0</v>
      </c>
      <c r="H72" s="1" t="s">
        <v>37</v>
      </c>
      <c r="I72" s="2">
        <v>45928.0</v>
      </c>
      <c r="J72" s="1">
        <v>85000.0</v>
      </c>
      <c r="K72" s="2">
        <v>45901.0</v>
      </c>
    </row>
    <row r="73" hidden="1">
      <c r="A73" s="1" t="s">
        <v>15</v>
      </c>
      <c r="B73" s="1" t="s">
        <v>16</v>
      </c>
      <c r="C73" s="1" t="s">
        <v>17</v>
      </c>
      <c r="D73" s="1">
        <v>1.0</v>
      </c>
      <c r="E73" s="1">
        <v>15.0</v>
      </c>
      <c r="F73" s="1">
        <v>2.0</v>
      </c>
      <c r="G73" s="1">
        <v>6.0</v>
      </c>
      <c r="H73" s="1" t="s">
        <v>18</v>
      </c>
      <c r="I73" s="2">
        <v>45861.0</v>
      </c>
      <c r="J73" s="1">
        <v>8500000.0</v>
      </c>
      <c r="K73" s="2">
        <v>45839.0</v>
      </c>
    </row>
    <row r="74" hidden="1">
      <c r="A74" s="1" t="s">
        <v>31</v>
      </c>
      <c r="B74" s="1" t="s">
        <v>32</v>
      </c>
      <c r="C74" s="1" t="s">
        <v>13</v>
      </c>
      <c r="D74" s="1">
        <v>177.0</v>
      </c>
      <c r="E74" s="1">
        <v>40.0</v>
      </c>
      <c r="F74" s="1">
        <v>2.0</v>
      </c>
      <c r="G74" s="1">
        <v>4.0</v>
      </c>
      <c r="H74" s="1" t="s">
        <v>33</v>
      </c>
      <c r="I74" s="2">
        <v>45757.0</v>
      </c>
      <c r="J74" s="1">
        <v>550000.0</v>
      </c>
      <c r="K74" s="2">
        <v>45748.0</v>
      </c>
    </row>
    <row r="75" hidden="1">
      <c r="A75" s="1" t="s">
        <v>60</v>
      </c>
      <c r="B75" s="1" t="s">
        <v>61</v>
      </c>
      <c r="C75" s="1" t="s">
        <v>17</v>
      </c>
      <c r="D75" s="1">
        <v>28.0</v>
      </c>
      <c r="E75" s="1">
        <v>20.0</v>
      </c>
      <c r="F75" s="1">
        <v>1.0</v>
      </c>
      <c r="G75" s="1">
        <v>11.0</v>
      </c>
      <c r="H75" s="1" t="s">
        <v>27</v>
      </c>
      <c r="I75" s="2">
        <v>45669.0</v>
      </c>
      <c r="J75" s="1">
        <v>3200000.0</v>
      </c>
      <c r="K75" s="2">
        <v>45658.0</v>
      </c>
    </row>
    <row r="76" hidden="1">
      <c r="A76" s="1" t="s">
        <v>25</v>
      </c>
      <c r="B76" s="1" t="s">
        <v>26</v>
      </c>
      <c r="C76" s="1" t="s">
        <v>17</v>
      </c>
      <c r="D76" s="1">
        <v>42.0</v>
      </c>
      <c r="E76" s="1">
        <v>25.0</v>
      </c>
      <c r="F76" s="1">
        <v>4.0</v>
      </c>
      <c r="G76" s="1">
        <v>19.0</v>
      </c>
      <c r="H76" s="1" t="s">
        <v>27</v>
      </c>
      <c r="I76" s="2">
        <v>45881.0</v>
      </c>
      <c r="J76" s="1">
        <v>4500000.0</v>
      </c>
      <c r="K76" s="2">
        <v>45870.0</v>
      </c>
    </row>
    <row r="77" hidden="1">
      <c r="A77" s="1" t="s">
        <v>51</v>
      </c>
      <c r="B77" s="1" t="s">
        <v>52</v>
      </c>
      <c r="C77" s="1" t="s">
        <v>36</v>
      </c>
      <c r="D77" s="1">
        <v>18.0</v>
      </c>
      <c r="E77" s="1">
        <v>60.0</v>
      </c>
      <c r="F77" s="1">
        <v>8.0</v>
      </c>
      <c r="G77" s="1">
        <v>5.0</v>
      </c>
      <c r="H77" s="1" t="s">
        <v>50</v>
      </c>
      <c r="I77" s="2">
        <v>45712.0</v>
      </c>
      <c r="K77" s="2">
        <v>45689.0</v>
      </c>
    </row>
    <row r="78" hidden="1">
      <c r="A78" s="1" t="s">
        <v>19</v>
      </c>
      <c r="B78" s="1" t="s">
        <v>20</v>
      </c>
      <c r="C78" s="1" t="s">
        <v>17</v>
      </c>
      <c r="D78" s="1">
        <v>17.0</v>
      </c>
      <c r="E78" s="1">
        <v>30.0</v>
      </c>
      <c r="F78" s="1">
        <v>6.0</v>
      </c>
      <c r="G78" s="1">
        <v>8.0</v>
      </c>
      <c r="H78" s="1" t="s">
        <v>18</v>
      </c>
      <c r="I78" s="2">
        <v>45996.0</v>
      </c>
      <c r="J78" s="1">
        <v>1200000.0</v>
      </c>
      <c r="K78" s="2">
        <v>45992.0</v>
      </c>
    </row>
    <row r="79" hidden="1">
      <c r="A79" s="1" t="s">
        <v>11</v>
      </c>
      <c r="B79" s="1" t="s">
        <v>12</v>
      </c>
      <c r="C79" s="1" t="s">
        <v>13</v>
      </c>
      <c r="D79" s="1">
        <v>238.0</v>
      </c>
      <c r="E79" s="1">
        <v>50.0</v>
      </c>
      <c r="F79" s="1">
        <v>2.0</v>
      </c>
      <c r="G79" s="1">
        <v>7.0</v>
      </c>
      <c r="H79" s="1" t="s">
        <v>14</v>
      </c>
      <c r="I79" s="2">
        <v>45671.0</v>
      </c>
      <c r="J79" s="1">
        <v>125000.0</v>
      </c>
      <c r="K79" s="2">
        <v>45658.0</v>
      </c>
    </row>
    <row r="80" hidden="1">
      <c r="A80" s="1" t="s">
        <v>46</v>
      </c>
      <c r="B80" s="1" t="s">
        <v>47</v>
      </c>
      <c r="C80" s="1" t="s">
        <v>23</v>
      </c>
      <c r="D80" s="1">
        <v>0.0</v>
      </c>
      <c r="E80" s="1">
        <v>40.0</v>
      </c>
      <c r="F80" s="1">
        <v>10.0</v>
      </c>
      <c r="G80" s="1">
        <v>7.0</v>
      </c>
      <c r="H80" s="1" t="s">
        <v>30</v>
      </c>
      <c r="I80" s="2">
        <v>46109.0</v>
      </c>
      <c r="J80" s="1">
        <v>550000.0</v>
      </c>
      <c r="K80" s="2">
        <v>46082.0</v>
      </c>
    </row>
    <row r="81" hidden="1">
      <c r="A81" s="1" t="s">
        <v>34</v>
      </c>
      <c r="B81" s="1" t="s">
        <v>35</v>
      </c>
      <c r="C81" s="1" t="s">
        <v>36</v>
      </c>
      <c r="E81" s="1">
        <v>80.0</v>
      </c>
      <c r="F81" s="1">
        <v>11.0</v>
      </c>
      <c r="G81" s="1">
        <v>4.0</v>
      </c>
      <c r="H81" s="1" t="s">
        <v>37</v>
      </c>
      <c r="I81" s="2">
        <v>45766.0</v>
      </c>
      <c r="J81" s="1">
        <v>65000.0</v>
      </c>
      <c r="K81" s="2">
        <v>45748.0</v>
      </c>
    </row>
    <row r="82" hidden="1">
      <c r="A82" s="1" t="s">
        <v>55</v>
      </c>
      <c r="B82" s="1" t="s">
        <v>56</v>
      </c>
      <c r="C82" s="1" t="s">
        <v>36</v>
      </c>
      <c r="D82" s="1">
        <v>26.0</v>
      </c>
      <c r="E82" s="1">
        <v>100.0</v>
      </c>
      <c r="F82" s="1">
        <v>16.0</v>
      </c>
      <c r="G82" s="1">
        <v>4.0</v>
      </c>
      <c r="H82" s="1" t="s">
        <v>37</v>
      </c>
      <c r="I82" s="2">
        <v>45778.0</v>
      </c>
      <c r="J82" s="1">
        <v>85000.0</v>
      </c>
      <c r="K82" s="2">
        <v>45778.0</v>
      </c>
    </row>
    <row r="83" hidden="1">
      <c r="A83" s="1" t="s">
        <v>62</v>
      </c>
      <c r="B83" s="1" t="s">
        <v>63</v>
      </c>
      <c r="C83" s="1" t="s">
        <v>13</v>
      </c>
      <c r="D83" s="1">
        <v>301.0</v>
      </c>
      <c r="E83" s="1">
        <v>80.0</v>
      </c>
      <c r="F83" s="1">
        <v>3.0</v>
      </c>
      <c r="G83" s="1">
        <v>4.0</v>
      </c>
      <c r="H83" s="1" t="s">
        <v>33</v>
      </c>
      <c r="I83" s="2">
        <v>45936.0</v>
      </c>
      <c r="J83" s="1">
        <v>85000.0</v>
      </c>
      <c r="K83" s="2">
        <v>45931.0</v>
      </c>
    </row>
    <row r="84" hidden="1">
      <c r="A84" s="1" t="s">
        <v>57</v>
      </c>
      <c r="B84" s="1" t="s">
        <v>58</v>
      </c>
      <c r="C84" s="1" t="s">
        <v>42</v>
      </c>
      <c r="D84" s="1">
        <v>19.0</v>
      </c>
      <c r="E84" s="1">
        <v>25.0</v>
      </c>
      <c r="F84" s="1">
        <v>4.0</v>
      </c>
      <c r="G84" s="1">
        <v>10.0</v>
      </c>
      <c r="H84" s="1" t="s">
        <v>59</v>
      </c>
      <c r="I84" s="2">
        <v>45729.0</v>
      </c>
      <c r="J84" s="1">
        <v>450000.0</v>
      </c>
      <c r="K84" s="2">
        <v>45717.0</v>
      </c>
    </row>
    <row r="85" hidden="1">
      <c r="A85" s="1" t="s">
        <v>44</v>
      </c>
      <c r="B85" s="1" t="s">
        <v>45</v>
      </c>
      <c r="C85" s="1" t="s">
        <v>42</v>
      </c>
      <c r="D85" s="1">
        <v>51.0</v>
      </c>
      <c r="E85" s="1">
        <v>30.0</v>
      </c>
      <c r="F85" s="1">
        <v>6.0</v>
      </c>
      <c r="G85" s="1">
        <v>9.0</v>
      </c>
      <c r="H85" s="1" t="s">
        <v>43</v>
      </c>
      <c r="I85" s="2">
        <v>45752.0</v>
      </c>
      <c r="J85" s="1">
        <v>350000.0</v>
      </c>
      <c r="K85" s="2">
        <v>45748.0</v>
      </c>
    </row>
    <row r="86" hidden="1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</row>
    <row r="87" hidden="1">
      <c r="A87" s="1" t="s">
        <v>53</v>
      </c>
      <c r="B87" s="1" t="s">
        <v>54</v>
      </c>
      <c r="C87" s="1" t="s">
        <v>13</v>
      </c>
      <c r="D87" s="1">
        <v>223.0</v>
      </c>
      <c r="E87" s="1">
        <v>60.0</v>
      </c>
      <c r="F87" s="1">
        <v>4.0</v>
      </c>
      <c r="G87" s="1">
        <v>8.0</v>
      </c>
      <c r="H87" s="1" t="s">
        <v>14</v>
      </c>
      <c r="I87" s="2">
        <v>46108.0</v>
      </c>
      <c r="J87" s="1">
        <v>165000.0</v>
      </c>
      <c r="K87" s="2">
        <v>46082.0</v>
      </c>
    </row>
    <row r="88" hidden="1">
      <c r="A88" s="1" t="s">
        <v>21</v>
      </c>
      <c r="B88" s="1" t="s">
        <v>22</v>
      </c>
      <c r="C88" s="1" t="s">
        <v>23</v>
      </c>
      <c r="D88" s="1">
        <v>34.0</v>
      </c>
      <c r="E88" s="1">
        <v>50.0</v>
      </c>
      <c r="F88" s="1">
        <v>6.0</v>
      </c>
      <c r="G88" s="1">
        <v>6.0</v>
      </c>
      <c r="H88" s="1" t="s">
        <v>24</v>
      </c>
      <c r="I88" s="2">
        <v>45849.0</v>
      </c>
      <c r="J88" s="1">
        <v>350000.0</v>
      </c>
      <c r="K88" s="2">
        <v>45839.0</v>
      </c>
    </row>
    <row r="89" hidden="1">
      <c r="A89" s="1" t="s">
        <v>46</v>
      </c>
      <c r="B89" s="1" t="s">
        <v>47</v>
      </c>
      <c r="C89" s="1" t="s">
        <v>23</v>
      </c>
      <c r="D89" s="1">
        <v>10.0</v>
      </c>
      <c r="E89" s="1">
        <v>40.0</v>
      </c>
      <c r="F89" s="1">
        <v>4.0</v>
      </c>
      <c r="G89" s="1">
        <v>3.0</v>
      </c>
      <c r="H89" s="1" t="s">
        <v>30</v>
      </c>
      <c r="I89" s="2">
        <v>46055.0</v>
      </c>
      <c r="J89" s="1">
        <v>550000.0</v>
      </c>
      <c r="K89" s="2">
        <v>46054.0</v>
      </c>
    </row>
    <row r="90" hidden="1">
      <c r="A90" s="1" t="s">
        <v>62</v>
      </c>
      <c r="B90" s="1" t="s">
        <v>63</v>
      </c>
      <c r="C90" s="1" t="s">
        <v>13</v>
      </c>
      <c r="D90" s="1">
        <v>436.0</v>
      </c>
      <c r="E90" s="1">
        <v>80.0</v>
      </c>
      <c r="F90" s="1">
        <v>4.0</v>
      </c>
      <c r="G90" s="1">
        <v>4.0</v>
      </c>
      <c r="H90" s="1" t="s">
        <v>33</v>
      </c>
      <c r="I90" s="2">
        <v>45755.0</v>
      </c>
      <c r="J90" s="1">
        <v>85000.0</v>
      </c>
      <c r="K90" s="2">
        <v>45748.0</v>
      </c>
    </row>
    <row r="91" hidden="1">
      <c r="A91" s="1" t="s">
        <v>25</v>
      </c>
      <c r="B91" s="1" t="s">
        <v>26</v>
      </c>
      <c r="C91" s="1" t="s">
        <v>17</v>
      </c>
      <c r="D91" s="1">
        <v>0.0</v>
      </c>
      <c r="E91" s="1">
        <v>25.0</v>
      </c>
      <c r="F91" s="1">
        <v>8.0</v>
      </c>
      <c r="G91" s="1">
        <v>10.0</v>
      </c>
      <c r="H91" s="1" t="s">
        <v>27</v>
      </c>
      <c r="I91" s="2">
        <v>46013.0</v>
      </c>
      <c r="J91" s="1">
        <v>4500000.0</v>
      </c>
      <c r="K91" s="2">
        <v>45992.0</v>
      </c>
    </row>
    <row r="92" hidden="1">
      <c r="A92" s="1" t="s">
        <v>25</v>
      </c>
      <c r="B92" s="1" t="s">
        <v>26</v>
      </c>
      <c r="C92" s="1" t="s">
        <v>17</v>
      </c>
      <c r="D92" s="1">
        <v>20.0</v>
      </c>
      <c r="E92" s="1">
        <v>25.0</v>
      </c>
      <c r="F92" s="1">
        <v>4.0</v>
      </c>
      <c r="G92" s="1">
        <v>19.0</v>
      </c>
      <c r="H92" s="1" t="s">
        <v>27</v>
      </c>
      <c r="I92" s="2">
        <v>45786.0</v>
      </c>
      <c r="J92" s="1">
        <v>4500000.0</v>
      </c>
      <c r="K92" s="2">
        <v>45778.0</v>
      </c>
    </row>
    <row r="93" hidden="1">
      <c r="A93" s="1" t="s">
        <v>57</v>
      </c>
      <c r="B93" s="1" t="s">
        <v>58</v>
      </c>
      <c r="C93" s="1" t="s">
        <v>42</v>
      </c>
      <c r="D93" s="1">
        <v>42.0</v>
      </c>
      <c r="E93" s="1">
        <v>25.0</v>
      </c>
      <c r="F93" s="1">
        <v>4.0</v>
      </c>
      <c r="G93" s="1">
        <v>8.0</v>
      </c>
      <c r="H93" s="1" t="s">
        <v>59</v>
      </c>
      <c r="I93" s="2">
        <v>46029.0</v>
      </c>
      <c r="J93" s="1">
        <v>450000.0</v>
      </c>
      <c r="K93" s="2">
        <v>46023.0</v>
      </c>
    </row>
    <row r="94" hidden="1">
      <c r="A94" s="1" t="s">
        <v>28</v>
      </c>
      <c r="B94" s="1" t="s">
        <v>29</v>
      </c>
      <c r="C94" s="1" t="s">
        <v>23</v>
      </c>
      <c r="D94" s="1">
        <v>0.0</v>
      </c>
      <c r="E94" s="1">
        <v>35.0</v>
      </c>
      <c r="F94" s="1">
        <v>12.0</v>
      </c>
      <c r="G94" s="1">
        <v>9.0</v>
      </c>
      <c r="H94" s="1" t="s">
        <v>30</v>
      </c>
      <c r="I94" s="2">
        <v>45746.0</v>
      </c>
      <c r="J94" s="1">
        <v>1250000.0</v>
      </c>
      <c r="K94" s="2">
        <v>45717.0</v>
      </c>
    </row>
    <row r="95" hidden="1">
      <c r="A95" s="1" t="s">
        <v>38</v>
      </c>
      <c r="B95" s="1" t="s">
        <v>39</v>
      </c>
      <c r="C95" s="1" t="s">
        <v>23</v>
      </c>
      <c r="D95" s="1">
        <v>34.0</v>
      </c>
      <c r="E95" s="1">
        <v>45.0</v>
      </c>
      <c r="F95" s="1">
        <v>5.0</v>
      </c>
      <c r="G95" s="1">
        <v>4.0</v>
      </c>
      <c r="H95" s="1" t="s">
        <v>24</v>
      </c>
      <c r="I95" s="2">
        <v>45801.0</v>
      </c>
      <c r="J95" s="1">
        <v>450000.0</v>
      </c>
      <c r="K95" s="2">
        <v>45778.0</v>
      </c>
    </row>
    <row r="96" hidden="1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10.0</v>
      </c>
      <c r="G96" s="1">
        <v>7.0</v>
      </c>
      <c r="H96" s="1" t="s">
        <v>30</v>
      </c>
      <c r="I96" s="2">
        <v>46008.0</v>
      </c>
      <c r="J96" s="1">
        <v>1250000.0</v>
      </c>
      <c r="K96" s="2">
        <v>45992.0</v>
      </c>
    </row>
    <row r="97" hidden="1">
      <c r="A97" s="1" t="s">
        <v>31</v>
      </c>
      <c r="B97" s="1" t="s">
        <v>32</v>
      </c>
      <c r="C97" s="1" t="s">
        <v>13</v>
      </c>
      <c r="D97" s="1">
        <v>169.0</v>
      </c>
      <c r="E97" s="1">
        <v>40.0</v>
      </c>
      <c r="F97" s="1">
        <v>3.0</v>
      </c>
      <c r="G97" s="1">
        <v>4.0</v>
      </c>
      <c r="H97" s="1" t="s">
        <v>33</v>
      </c>
      <c r="I97" s="2">
        <v>46074.0</v>
      </c>
      <c r="J97" s="1">
        <v>550000.0</v>
      </c>
      <c r="K97" s="2">
        <v>46054.0</v>
      </c>
    </row>
    <row r="98" hidden="1">
      <c r="A98" s="1" t="s">
        <v>21</v>
      </c>
      <c r="B98" s="1" t="s">
        <v>22</v>
      </c>
      <c r="C98" s="1" t="s">
        <v>23</v>
      </c>
      <c r="D98" s="1">
        <v>15.0</v>
      </c>
      <c r="E98" s="1">
        <v>50.0</v>
      </c>
      <c r="F98" s="1">
        <v>7.0</v>
      </c>
      <c r="G98" s="1">
        <v>7.0</v>
      </c>
      <c r="H98" s="1" t="s">
        <v>24</v>
      </c>
      <c r="I98" s="2">
        <v>46032.0</v>
      </c>
      <c r="J98" s="1">
        <v>350000.0</v>
      </c>
      <c r="K98" s="2">
        <v>46023.0</v>
      </c>
    </row>
    <row r="99" hidden="1">
      <c r="A99" s="1" t="s">
        <v>48</v>
      </c>
      <c r="B99" s="1" t="s">
        <v>49</v>
      </c>
      <c r="C99" s="1" t="s">
        <v>36</v>
      </c>
      <c r="D99" s="1">
        <v>48.0</v>
      </c>
      <c r="E99" s="1">
        <v>120.0</v>
      </c>
      <c r="F99" s="1">
        <v>18.0</v>
      </c>
      <c r="G99" s="1">
        <v>6.0</v>
      </c>
      <c r="H99" s="1" t="s">
        <v>50</v>
      </c>
      <c r="I99" s="2">
        <v>46074.0</v>
      </c>
      <c r="J99" s="1">
        <v>55000.0</v>
      </c>
      <c r="K99" s="2">
        <v>46054.0</v>
      </c>
    </row>
    <row r="100" hidden="1">
      <c r="A100" s="1" t="s">
        <v>25</v>
      </c>
      <c r="B100" s="1" t="s">
        <v>26</v>
      </c>
      <c r="C100" s="1" t="s">
        <v>17</v>
      </c>
      <c r="D100" s="1">
        <v>0.0</v>
      </c>
      <c r="E100" s="1">
        <v>25.0</v>
      </c>
      <c r="F100" s="1">
        <v>3.0</v>
      </c>
      <c r="G100" s="1">
        <v>18.0</v>
      </c>
      <c r="H100" s="1" t="s">
        <v>27</v>
      </c>
      <c r="I100" s="2">
        <v>45663.0</v>
      </c>
      <c r="J100" s="1">
        <v>4500000.0</v>
      </c>
      <c r="K100" s="2">
        <v>45658.0</v>
      </c>
    </row>
    <row r="101" hidden="1">
      <c r="A101" s="1" t="s">
        <v>15</v>
      </c>
      <c r="B101" s="1" t="s">
        <v>16</v>
      </c>
      <c r="C101" s="1" t="s">
        <v>17</v>
      </c>
      <c r="D101" s="1">
        <v>0.0</v>
      </c>
      <c r="E101" s="1">
        <v>15.0</v>
      </c>
      <c r="F101" s="1">
        <v>3.0</v>
      </c>
      <c r="G101" s="1">
        <v>8.0</v>
      </c>
      <c r="H101" s="1" t="s">
        <v>18</v>
      </c>
      <c r="I101" s="2">
        <v>45979.0</v>
      </c>
      <c r="J101" s="1">
        <v>8500000.0</v>
      </c>
      <c r="K101" s="2">
        <v>45962.0</v>
      </c>
    </row>
    <row r="102" hidden="1">
      <c r="A102" s="1" t="s">
        <v>44</v>
      </c>
      <c r="B102" s="1" t="s">
        <v>45</v>
      </c>
      <c r="C102" s="1" t="s">
        <v>42</v>
      </c>
      <c r="D102" s="1">
        <v>53.0</v>
      </c>
      <c r="E102" s="1">
        <v>30.0</v>
      </c>
      <c r="F102" s="1">
        <v>5.0</v>
      </c>
      <c r="G102" s="1">
        <v>4.0</v>
      </c>
      <c r="H102" s="1" t="s">
        <v>43</v>
      </c>
      <c r="I102" s="2">
        <v>45730.0</v>
      </c>
      <c r="J102" s="1">
        <v>350000.0</v>
      </c>
      <c r="K102" s="2">
        <v>45717.0</v>
      </c>
    </row>
    <row r="103" hidden="1">
      <c r="A103" s="1" t="s">
        <v>40</v>
      </c>
      <c r="B103" s="1" t="s">
        <v>41</v>
      </c>
      <c r="C103" s="1" t="s">
        <v>42</v>
      </c>
      <c r="D103" s="1">
        <v>12.0</v>
      </c>
      <c r="E103" s="1">
        <v>15.0</v>
      </c>
      <c r="F103" s="1">
        <v>4.0</v>
      </c>
      <c r="G103" s="1">
        <v>10.0</v>
      </c>
      <c r="H103" s="1" t="s">
        <v>43</v>
      </c>
      <c r="I103" s="2">
        <v>45717.0</v>
      </c>
      <c r="J103" s="1">
        <v>1200000.0</v>
      </c>
      <c r="K103" s="2">
        <v>45717.0</v>
      </c>
    </row>
    <row r="104" hidden="1">
      <c r="A104" s="1" t="s">
        <v>28</v>
      </c>
      <c r="B104" s="1" t="s">
        <v>29</v>
      </c>
      <c r="C104" s="1" t="s">
        <v>23</v>
      </c>
      <c r="D104" s="1">
        <v>31.0</v>
      </c>
      <c r="E104" s="1">
        <v>35.0</v>
      </c>
      <c r="F104" s="1">
        <v>3.0</v>
      </c>
      <c r="G104" s="1">
        <v>6.0</v>
      </c>
      <c r="H104" s="1" t="s">
        <v>30</v>
      </c>
      <c r="I104" s="2">
        <v>45891.0</v>
      </c>
      <c r="J104" s="1">
        <v>1250000.0</v>
      </c>
      <c r="K104" s="2">
        <v>45870.0</v>
      </c>
    </row>
    <row r="105" hidden="1">
      <c r="A105" s="1" t="s">
        <v>21</v>
      </c>
      <c r="B105" s="1" t="s">
        <v>22</v>
      </c>
      <c r="C105" s="1" t="s">
        <v>23</v>
      </c>
      <c r="D105" s="1">
        <v>21.0</v>
      </c>
      <c r="E105" s="1">
        <v>50.0</v>
      </c>
      <c r="F105" s="1">
        <v>7.0</v>
      </c>
      <c r="G105" s="1">
        <v>3.0</v>
      </c>
      <c r="H105" s="1" t="s">
        <v>24</v>
      </c>
      <c r="I105" s="2">
        <v>45918.0</v>
      </c>
      <c r="J105" s="1">
        <v>350000.0</v>
      </c>
      <c r="K105" s="2">
        <v>45901.0</v>
      </c>
    </row>
    <row r="106" hidden="1">
      <c r="A106" s="1" t="s">
        <v>11</v>
      </c>
      <c r="B106" s="1" t="s">
        <v>12</v>
      </c>
      <c r="C106" s="1" t="s">
        <v>13</v>
      </c>
      <c r="D106" s="1">
        <v>250.0</v>
      </c>
      <c r="E106" s="1">
        <v>50.0</v>
      </c>
      <c r="F106" s="1">
        <v>1.0</v>
      </c>
      <c r="G106" s="1">
        <v>7.0</v>
      </c>
      <c r="H106" s="1" t="s">
        <v>14</v>
      </c>
      <c r="I106" s="2">
        <v>46050.0</v>
      </c>
      <c r="J106" s="1">
        <v>125000.0</v>
      </c>
      <c r="K106" s="2">
        <v>46023.0</v>
      </c>
    </row>
    <row r="107" hidden="1">
      <c r="A107" s="1" t="s">
        <v>60</v>
      </c>
      <c r="B107" s="1" t="s">
        <v>61</v>
      </c>
      <c r="C107" s="1" t="s">
        <v>17</v>
      </c>
      <c r="D107" s="1">
        <v>-19.0</v>
      </c>
      <c r="E107" s="1">
        <v>20.0</v>
      </c>
      <c r="F107" s="1">
        <v>2.0</v>
      </c>
      <c r="G107" s="1">
        <v>18.0</v>
      </c>
      <c r="H107" s="1" t="s">
        <v>27</v>
      </c>
      <c r="I107" s="2">
        <v>45884.0</v>
      </c>
      <c r="J107" s="1">
        <v>3200000.0</v>
      </c>
      <c r="K107" s="2">
        <v>45870.0</v>
      </c>
    </row>
    <row r="108" hidden="1">
      <c r="A108" s="1" t="s">
        <v>25</v>
      </c>
      <c r="B108" s="1" t="s">
        <v>26</v>
      </c>
      <c r="C108" s="1" t="s">
        <v>17</v>
      </c>
      <c r="D108" s="1">
        <v>32.0</v>
      </c>
      <c r="E108" s="1">
        <v>25.0</v>
      </c>
      <c r="F108" s="1">
        <v>4.0</v>
      </c>
      <c r="G108" s="1">
        <v>9.0</v>
      </c>
      <c r="H108" s="1" t="s">
        <v>27</v>
      </c>
      <c r="I108" s="2">
        <v>45708.0</v>
      </c>
      <c r="J108" s="1">
        <v>4500000.0</v>
      </c>
      <c r="K108" s="2">
        <v>45689.0</v>
      </c>
    </row>
    <row r="109" hidden="1">
      <c r="A109" s="1" t="s">
        <v>19</v>
      </c>
      <c r="B109" s="1" t="s">
        <v>20</v>
      </c>
      <c r="C109" s="1" t="s">
        <v>17</v>
      </c>
      <c r="D109" s="1">
        <v>-12.0</v>
      </c>
      <c r="E109" s="1">
        <v>30.0</v>
      </c>
      <c r="F109" s="1">
        <v>6.0</v>
      </c>
      <c r="G109" s="1">
        <v>7.0</v>
      </c>
      <c r="H109" s="1" t="s">
        <v>18</v>
      </c>
      <c r="I109" s="2">
        <v>45975.0</v>
      </c>
      <c r="J109" s="1">
        <v>1200000.0</v>
      </c>
      <c r="K109" s="2">
        <v>45962.0</v>
      </c>
    </row>
    <row r="110" hidden="1">
      <c r="A110" s="1" t="s">
        <v>40</v>
      </c>
      <c r="B110" s="1" t="s">
        <v>41</v>
      </c>
      <c r="C110" s="1" t="s">
        <v>42</v>
      </c>
      <c r="D110" s="1">
        <v>3.0</v>
      </c>
      <c r="E110" s="1">
        <v>15.0</v>
      </c>
      <c r="F110" s="1">
        <v>3.0</v>
      </c>
      <c r="G110" s="1">
        <v>8.0</v>
      </c>
      <c r="H110" s="1" t="s">
        <v>43</v>
      </c>
      <c r="I110" s="2">
        <v>45815.0</v>
      </c>
      <c r="J110" s="1">
        <v>1200000.0</v>
      </c>
      <c r="K110" s="2">
        <v>45809.0</v>
      </c>
    </row>
    <row r="111" hidden="1">
      <c r="A111" s="1" t="s">
        <v>51</v>
      </c>
      <c r="B111" s="1" t="s">
        <v>52</v>
      </c>
      <c r="C111" s="1" t="s">
        <v>36</v>
      </c>
      <c r="D111" s="1">
        <v>0.0</v>
      </c>
      <c r="E111" s="1">
        <v>60.0</v>
      </c>
      <c r="F111" s="1">
        <v>13.0</v>
      </c>
      <c r="G111" s="1">
        <v>4.0</v>
      </c>
      <c r="H111" s="1" t="s">
        <v>50</v>
      </c>
      <c r="I111" s="2">
        <v>46004.0</v>
      </c>
      <c r="J111" s="1">
        <v>175000.0</v>
      </c>
      <c r="K111" s="2">
        <v>45992.0</v>
      </c>
    </row>
    <row r="112" hidden="1">
      <c r="A112" s="1" t="s">
        <v>21</v>
      </c>
      <c r="B112" s="1" t="s">
        <v>22</v>
      </c>
      <c r="C112" s="1" t="s">
        <v>23</v>
      </c>
      <c r="D112" s="1">
        <v>26.0</v>
      </c>
      <c r="E112" s="1">
        <v>50.0</v>
      </c>
      <c r="F112" s="1">
        <v>8.0</v>
      </c>
      <c r="G112" s="1">
        <v>3.0</v>
      </c>
      <c r="H112" s="1" t="s">
        <v>24</v>
      </c>
      <c r="I112" s="2">
        <v>45884.0</v>
      </c>
      <c r="J112" s="1">
        <v>350000.0</v>
      </c>
      <c r="K112" s="2">
        <v>45870.0</v>
      </c>
    </row>
    <row r="113" hidden="1">
      <c r="A113" s="1" t="s">
        <v>46</v>
      </c>
      <c r="B113" s="1" t="s">
        <v>47</v>
      </c>
      <c r="C113" s="1" t="s">
        <v>23</v>
      </c>
      <c r="D113" s="1">
        <v>32.0</v>
      </c>
      <c r="E113" s="1">
        <v>40.0</v>
      </c>
      <c r="F113" s="1">
        <v>5.0</v>
      </c>
      <c r="G113" s="1">
        <v>5.0</v>
      </c>
      <c r="H113" s="1" t="s">
        <v>30</v>
      </c>
      <c r="I113" s="2">
        <v>45915.0</v>
      </c>
      <c r="J113" s="1">
        <v>550000.0</v>
      </c>
      <c r="K113" s="2">
        <v>45901.0</v>
      </c>
    </row>
    <row r="114" hidden="1">
      <c r="A114" s="1" t="s">
        <v>21</v>
      </c>
      <c r="B114" s="1" t="s">
        <v>22</v>
      </c>
      <c r="C114" s="1" t="s">
        <v>23</v>
      </c>
      <c r="D114" s="1">
        <v>28.0</v>
      </c>
      <c r="E114" s="1">
        <v>50.0</v>
      </c>
      <c r="F114" s="1">
        <v>7.0</v>
      </c>
      <c r="G114" s="1">
        <v>7.0</v>
      </c>
      <c r="H114" s="1" t="s">
        <v>24</v>
      </c>
      <c r="I114" s="2">
        <v>45939.0</v>
      </c>
      <c r="J114" s="1">
        <v>350000.0</v>
      </c>
      <c r="K114" s="2">
        <v>45931.0</v>
      </c>
    </row>
    <row r="115" hidden="1">
      <c r="A115" s="1" t="s">
        <v>60</v>
      </c>
      <c r="B115" s="1" t="s">
        <v>61</v>
      </c>
      <c r="C115" s="1" t="s">
        <v>17</v>
      </c>
      <c r="D115" s="1">
        <v>0.0</v>
      </c>
      <c r="E115" s="1">
        <v>20.0</v>
      </c>
      <c r="F115" s="1">
        <v>1.0</v>
      </c>
      <c r="G115" s="1">
        <v>23.0</v>
      </c>
      <c r="H115" s="1" t="s">
        <v>27</v>
      </c>
      <c r="I115" s="2">
        <v>45689.0</v>
      </c>
      <c r="J115" s="1">
        <v>3200000.0</v>
      </c>
      <c r="K115" s="2">
        <v>45689.0</v>
      </c>
    </row>
    <row r="116" hidden="1">
      <c r="A116" s="1" t="s">
        <v>31</v>
      </c>
      <c r="B116" s="1" t="s">
        <v>32</v>
      </c>
      <c r="C116" s="1" t="s">
        <v>13</v>
      </c>
      <c r="D116" s="1">
        <v>221.0</v>
      </c>
      <c r="E116" s="1">
        <v>40.0</v>
      </c>
      <c r="F116" s="1">
        <v>2.0</v>
      </c>
      <c r="G116" s="1">
        <v>5.0</v>
      </c>
      <c r="H116" s="1" t="s">
        <v>33</v>
      </c>
      <c r="I116" s="2">
        <v>45791.0</v>
      </c>
      <c r="J116" s="1">
        <v>550000.0</v>
      </c>
      <c r="K116" s="2">
        <v>45778.0</v>
      </c>
    </row>
    <row r="117" hidden="1">
      <c r="A117" s="1" t="s">
        <v>40</v>
      </c>
      <c r="B117" s="1" t="s">
        <v>41</v>
      </c>
      <c r="C117" s="1" t="s">
        <v>42</v>
      </c>
      <c r="D117" s="1">
        <v>22.0</v>
      </c>
      <c r="E117" s="1">
        <v>15.0</v>
      </c>
      <c r="F117" s="1">
        <v>3.0</v>
      </c>
      <c r="G117" s="1">
        <v>4.0</v>
      </c>
      <c r="H117" s="1" t="s">
        <v>43</v>
      </c>
      <c r="I117" s="2">
        <v>45919.0</v>
      </c>
      <c r="J117" s="1">
        <v>1200000.0</v>
      </c>
      <c r="K117" s="2">
        <v>45901.0</v>
      </c>
    </row>
    <row r="118" hidden="1">
      <c r="A118" s="1" t="s">
        <v>11</v>
      </c>
      <c r="B118" s="1" t="s">
        <v>12</v>
      </c>
      <c r="C118" s="1" t="s">
        <v>13</v>
      </c>
      <c r="D118" s="1">
        <v>185.0</v>
      </c>
      <c r="E118" s="1">
        <v>50.0</v>
      </c>
      <c r="F118" s="1">
        <v>2.0</v>
      </c>
      <c r="G118" s="1">
        <v>8.0</v>
      </c>
      <c r="H118" s="1" t="s">
        <v>14</v>
      </c>
      <c r="I118" s="2">
        <v>46078.0</v>
      </c>
      <c r="J118" s="1">
        <v>125000.0</v>
      </c>
      <c r="K118" s="2">
        <v>46054.0</v>
      </c>
    </row>
    <row r="119" hidden="1">
      <c r="A119" s="1" t="s">
        <v>64</v>
      </c>
      <c r="B119" s="1" t="s">
        <v>65</v>
      </c>
      <c r="C119" s="1" t="s">
        <v>42</v>
      </c>
      <c r="D119" s="1">
        <v>32.0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45865.0</v>
      </c>
      <c r="J119" s="1">
        <v>750000.0</v>
      </c>
      <c r="K119" s="2">
        <v>45839.0</v>
      </c>
    </row>
    <row r="120" hidden="1">
      <c r="A120" s="1" t="s">
        <v>25</v>
      </c>
      <c r="B120" s="1" t="s">
        <v>26</v>
      </c>
      <c r="C120" s="1" t="s">
        <v>17</v>
      </c>
      <c r="D120" s="1">
        <v>32.0</v>
      </c>
      <c r="E120" s="1">
        <v>25.0</v>
      </c>
      <c r="F120" s="1">
        <v>3.0</v>
      </c>
      <c r="G120" s="1">
        <v>8.0</v>
      </c>
      <c r="H120" s="1" t="s">
        <v>27</v>
      </c>
      <c r="I120" s="2">
        <v>45755.0</v>
      </c>
      <c r="J120" s="1">
        <v>4500000.0</v>
      </c>
      <c r="K120" s="2">
        <v>45748.0</v>
      </c>
    </row>
    <row r="121" hidden="1">
      <c r="A121" s="1" t="s">
        <v>48</v>
      </c>
      <c r="B121" s="1" t="s">
        <v>49</v>
      </c>
      <c r="C121" s="1" t="s">
        <v>36</v>
      </c>
      <c r="D121" s="1">
        <v>154.0</v>
      </c>
      <c r="E121" s="1">
        <v>120.0</v>
      </c>
      <c r="F121" s="1">
        <v>19.0</v>
      </c>
      <c r="G121" s="1">
        <v>6.0</v>
      </c>
      <c r="H121" s="1" t="s">
        <v>50</v>
      </c>
      <c r="I121" s="2">
        <v>45978.0</v>
      </c>
      <c r="J121" s="1">
        <v>55000.0</v>
      </c>
      <c r="K121" s="2">
        <v>45962.0</v>
      </c>
    </row>
    <row r="122" hidden="1">
      <c r="A122" s="1" t="s">
        <v>28</v>
      </c>
      <c r="B122" s="1" t="s">
        <v>29</v>
      </c>
      <c r="C122" s="1" t="s">
        <v>23</v>
      </c>
      <c r="D122" s="1">
        <v>18.0</v>
      </c>
      <c r="E122" s="1">
        <v>35.0</v>
      </c>
      <c r="F122" s="1">
        <v>7.0</v>
      </c>
      <c r="G122" s="1">
        <v>5.0</v>
      </c>
      <c r="H122" s="1" t="s">
        <v>30</v>
      </c>
      <c r="I122" s="2">
        <v>45859.0</v>
      </c>
      <c r="J122" s="1">
        <v>1250000.0</v>
      </c>
      <c r="K122" s="2">
        <v>45839.0</v>
      </c>
    </row>
    <row r="123" hidden="1">
      <c r="A123" s="1" t="s">
        <v>57</v>
      </c>
      <c r="B123" s="1" t="s">
        <v>58</v>
      </c>
      <c r="C123" s="1" t="s">
        <v>42</v>
      </c>
      <c r="D123" s="1">
        <v>14.0</v>
      </c>
      <c r="E123" s="1">
        <v>25.0</v>
      </c>
      <c r="F123" s="1">
        <v>5.0</v>
      </c>
      <c r="G123" s="1">
        <v>9.0</v>
      </c>
      <c r="H123" s="1" t="s">
        <v>59</v>
      </c>
      <c r="I123" s="2">
        <v>45816.0</v>
      </c>
      <c r="K123" s="2">
        <v>45809.0</v>
      </c>
    </row>
    <row r="124" hidden="1">
      <c r="A124" s="1" t="s">
        <v>44</v>
      </c>
      <c r="B124" s="1" t="s">
        <v>45</v>
      </c>
      <c r="C124" s="1" t="s">
        <v>42</v>
      </c>
      <c r="D124" s="1">
        <v>34.0</v>
      </c>
      <c r="E124" s="1">
        <v>30.0</v>
      </c>
      <c r="F124" s="1">
        <v>5.0</v>
      </c>
      <c r="G124" s="1">
        <v>5.0</v>
      </c>
      <c r="H124" s="1" t="s">
        <v>43</v>
      </c>
      <c r="I124" s="2">
        <v>46007.0</v>
      </c>
      <c r="J124" s="1">
        <v>350000.0</v>
      </c>
      <c r="K124" s="2">
        <v>45992.0</v>
      </c>
    </row>
    <row r="125" hidden="1">
      <c r="A125" s="1" t="s">
        <v>38</v>
      </c>
      <c r="B125" s="1" t="s">
        <v>39</v>
      </c>
      <c r="C125" s="1" t="s">
        <v>23</v>
      </c>
      <c r="D125" s="1">
        <v>0.0</v>
      </c>
      <c r="E125" s="1">
        <v>45.0</v>
      </c>
      <c r="F125" s="1">
        <v>13.0</v>
      </c>
      <c r="G125" s="1">
        <v>7.0</v>
      </c>
      <c r="H125" s="1" t="s">
        <v>24</v>
      </c>
      <c r="I125" s="2">
        <v>46015.0</v>
      </c>
      <c r="J125" s="1">
        <v>450000.0</v>
      </c>
      <c r="K125" s="2">
        <v>45992.0</v>
      </c>
    </row>
    <row r="126" hidden="1">
      <c r="A126" s="1" t="s">
        <v>34</v>
      </c>
      <c r="B126" s="1" t="s">
        <v>35</v>
      </c>
      <c r="C126" s="1" t="s">
        <v>36</v>
      </c>
      <c r="D126" s="1">
        <v>17.0</v>
      </c>
      <c r="E126" s="1">
        <v>80.0</v>
      </c>
      <c r="F126" s="1">
        <v>11.0</v>
      </c>
      <c r="G126" s="1">
        <v>5.0</v>
      </c>
      <c r="H126" s="1" t="s">
        <v>37</v>
      </c>
      <c r="I126" s="2">
        <v>45882.0</v>
      </c>
      <c r="J126" s="1">
        <v>65000.0</v>
      </c>
      <c r="K126" s="2">
        <v>45870.0</v>
      </c>
    </row>
    <row r="127" hidden="1">
      <c r="A127" s="1" t="s">
        <v>51</v>
      </c>
      <c r="B127" s="1" t="s">
        <v>52</v>
      </c>
      <c r="C127" s="1" t="s">
        <v>36</v>
      </c>
      <c r="D127" s="1">
        <v>0.0</v>
      </c>
      <c r="E127" s="1">
        <v>60.0</v>
      </c>
      <c r="F127" s="1">
        <v>14.0</v>
      </c>
      <c r="G127" s="1">
        <v>4.0</v>
      </c>
      <c r="H127" s="1" t="s">
        <v>50</v>
      </c>
      <c r="I127" s="2">
        <v>45741.0</v>
      </c>
      <c r="J127" s="1">
        <v>175000.0</v>
      </c>
      <c r="K127" s="2">
        <v>45717.0</v>
      </c>
    </row>
    <row r="128" hidden="1">
      <c r="A128" s="1" t="s">
        <v>40</v>
      </c>
      <c r="B128" s="1" t="s">
        <v>41</v>
      </c>
      <c r="C128" s="1" t="s">
        <v>42</v>
      </c>
      <c r="D128" s="1">
        <v>13.0</v>
      </c>
      <c r="E128" s="1">
        <v>15.0</v>
      </c>
      <c r="F128" s="1">
        <v>2.0</v>
      </c>
      <c r="G128" s="1">
        <v>7.0</v>
      </c>
      <c r="H128" s="1" t="s">
        <v>43</v>
      </c>
      <c r="I128" s="2">
        <v>45799.0</v>
      </c>
      <c r="J128" s="1">
        <v>1200000.0</v>
      </c>
      <c r="K128" s="2">
        <v>45778.0</v>
      </c>
    </row>
    <row r="129" hidden="1">
      <c r="A129" s="1" t="s">
        <v>34</v>
      </c>
      <c r="B129" s="1" t="s">
        <v>35</v>
      </c>
      <c r="C129" s="1" t="s">
        <v>36</v>
      </c>
      <c r="D129" s="1">
        <v>9.0</v>
      </c>
      <c r="E129" s="1">
        <v>80.0</v>
      </c>
      <c r="F129" s="1">
        <v>11.0</v>
      </c>
      <c r="G129" s="1">
        <v>4.0</v>
      </c>
      <c r="H129" s="1" t="s">
        <v>37</v>
      </c>
      <c r="I129" s="2">
        <v>46077.0</v>
      </c>
      <c r="J129" s="1">
        <v>65000.0</v>
      </c>
      <c r="K129" s="2">
        <v>46054.0</v>
      </c>
    </row>
    <row r="130" hidden="1">
      <c r="A130" s="1" t="s">
        <v>53</v>
      </c>
      <c r="B130" s="1" t="s">
        <v>54</v>
      </c>
      <c r="C130" s="1" t="s">
        <v>13</v>
      </c>
      <c r="D130" s="1">
        <v>202.0</v>
      </c>
      <c r="E130" s="1">
        <v>60.0</v>
      </c>
      <c r="F130" s="1">
        <v>2.0</v>
      </c>
      <c r="G130" s="1">
        <v>4.0</v>
      </c>
      <c r="H130" s="1" t="s">
        <v>14</v>
      </c>
      <c r="I130" s="2">
        <v>46019.0</v>
      </c>
      <c r="J130" s="1">
        <v>165000.0</v>
      </c>
      <c r="K130" s="2">
        <v>45992.0</v>
      </c>
    </row>
    <row r="131" hidden="1">
      <c r="A131" s="1" t="s">
        <v>53</v>
      </c>
      <c r="B131" s="1" t="s">
        <v>54</v>
      </c>
      <c r="C131" s="1" t="s">
        <v>13</v>
      </c>
      <c r="D131" s="1">
        <v>252.0</v>
      </c>
      <c r="E131" s="1">
        <v>60.0</v>
      </c>
      <c r="F131" s="1">
        <v>4.0</v>
      </c>
      <c r="G131" s="1">
        <v>7.0</v>
      </c>
      <c r="H131" s="1" t="s">
        <v>14</v>
      </c>
      <c r="I131" s="2">
        <v>45930.0</v>
      </c>
      <c r="J131" s="1">
        <v>165000.0</v>
      </c>
      <c r="K131" s="2">
        <v>45901.0</v>
      </c>
    </row>
    <row r="132" hidden="1">
      <c r="A132" s="1" t="s">
        <v>64</v>
      </c>
      <c r="B132" s="1" t="s">
        <v>65</v>
      </c>
      <c r="C132" s="1" t="s">
        <v>42</v>
      </c>
      <c r="D132" s="1">
        <v>20.0</v>
      </c>
      <c r="E132" s="1">
        <v>20.0</v>
      </c>
      <c r="F132" s="1">
        <v>2.0</v>
      </c>
      <c r="G132" s="1">
        <v>7.0</v>
      </c>
      <c r="H132" s="1" t="s">
        <v>59</v>
      </c>
      <c r="I132" s="2">
        <v>46027.0</v>
      </c>
      <c r="J132" s="1">
        <v>750000.0</v>
      </c>
      <c r="K132" s="2">
        <v>46023.0</v>
      </c>
    </row>
    <row r="133" hidden="1">
      <c r="A133" s="1" t="s">
        <v>31</v>
      </c>
      <c r="B133" s="1" t="s">
        <v>32</v>
      </c>
      <c r="C133" s="1" t="s">
        <v>13</v>
      </c>
      <c r="D133" s="1">
        <v>153.0</v>
      </c>
      <c r="E133" s="1">
        <v>40.0</v>
      </c>
      <c r="F133" s="1">
        <v>4.0</v>
      </c>
      <c r="G133" s="1">
        <v>5.0</v>
      </c>
      <c r="H133" s="1" t="s">
        <v>33</v>
      </c>
      <c r="I133" s="2">
        <v>46097.0</v>
      </c>
      <c r="J133" s="1">
        <v>550000.0</v>
      </c>
      <c r="K133" s="2">
        <v>46082.0</v>
      </c>
    </row>
    <row r="134" hidden="1">
      <c r="A134" s="1" t="s">
        <v>57</v>
      </c>
      <c r="B134" s="1" t="s">
        <v>58</v>
      </c>
      <c r="C134" s="1" t="s">
        <v>42</v>
      </c>
      <c r="D134" s="1">
        <v>41.0</v>
      </c>
      <c r="E134" s="1">
        <v>25.0</v>
      </c>
      <c r="F134" s="1">
        <v>4.0</v>
      </c>
      <c r="G134" s="1">
        <v>10.0</v>
      </c>
      <c r="H134" s="1" t="s">
        <v>59</v>
      </c>
      <c r="I134" s="2">
        <v>45801.0</v>
      </c>
      <c r="J134" s="1">
        <v>450000.0</v>
      </c>
      <c r="K134" s="2">
        <v>45778.0</v>
      </c>
    </row>
    <row r="135" hidden="1">
      <c r="A135" s="1" t="s">
        <v>62</v>
      </c>
      <c r="B135" s="1" t="s">
        <v>63</v>
      </c>
      <c r="C135" s="1" t="s">
        <v>13</v>
      </c>
      <c r="D135" s="1">
        <v>405.0</v>
      </c>
      <c r="E135" s="1">
        <v>80.0</v>
      </c>
      <c r="G135" s="1">
        <v>5.0</v>
      </c>
      <c r="H135" s="1" t="s">
        <v>33</v>
      </c>
      <c r="I135" s="2">
        <v>45663.0</v>
      </c>
      <c r="J135" s="1">
        <v>85000.0</v>
      </c>
      <c r="K135" s="2">
        <v>45658.0</v>
      </c>
    </row>
    <row r="136" hidden="1">
      <c r="A136" s="1" t="s">
        <v>64</v>
      </c>
      <c r="B136" s="1" t="s">
        <v>65</v>
      </c>
      <c r="C136" s="1" t="s">
        <v>42</v>
      </c>
      <c r="D136" s="1">
        <v>32.0</v>
      </c>
      <c r="E136" s="1">
        <v>20.0</v>
      </c>
      <c r="F136" s="1">
        <v>1.0</v>
      </c>
      <c r="G136" s="1">
        <v>8.0</v>
      </c>
      <c r="H136" s="1" t="s">
        <v>59</v>
      </c>
      <c r="I136" s="2">
        <v>45955.0</v>
      </c>
      <c r="J136" s="1">
        <v>750000.0</v>
      </c>
      <c r="K136" s="2">
        <v>45931.0</v>
      </c>
    </row>
    <row r="137" hidden="1">
      <c r="A137" s="1" t="s">
        <v>60</v>
      </c>
      <c r="B137" s="1" t="s">
        <v>61</v>
      </c>
      <c r="C137" s="1" t="s">
        <v>17</v>
      </c>
      <c r="D137" s="1">
        <v>0.0</v>
      </c>
      <c r="E137" s="1">
        <v>20.0</v>
      </c>
      <c r="F137" s="1">
        <v>3.0</v>
      </c>
      <c r="G137" s="1">
        <v>7.0</v>
      </c>
      <c r="H137" s="1" t="s">
        <v>27</v>
      </c>
      <c r="I137" s="2">
        <v>45919.0</v>
      </c>
      <c r="J137" s="1">
        <v>3200000.0</v>
      </c>
      <c r="K137" s="2">
        <v>45901.0</v>
      </c>
    </row>
    <row r="138" hidden="1">
      <c r="A138" s="1" t="s">
        <v>62</v>
      </c>
      <c r="B138" s="1" t="s">
        <v>63</v>
      </c>
      <c r="C138" s="1" t="s">
        <v>13</v>
      </c>
      <c r="D138" s="1">
        <v>255.0</v>
      </c>
      <c r="E138" s="1">
        <v>80.0</v>
      </c>
      <c r="F138" s="1">
        <v>4.0</v>
      </c>
      <c r="G138" s="1">
        <v>6.0</v>
      </c>
      <c r="H138" s="1" t="s">
        <v>33</v>
      </c>
      <c r="I138" s="2">
        <v>46001.0</v>
      </c>
      <c r="J138" s="1">
        <v>85000.0</v>
      </c>
      <c r="K138" s="2">
        <v>45992.0</v>
      </c>
    </row>
    <row r="139" hidden="1">
      <c r="A139" s="1" t="s">
        <v>31</v>
      </c>
      <c r="B139" s="1" t="s">
        <v>32</v>
      </c>
      <c r="C139" s="1" t="s">
        <v>13</v>
      </c>
      <c r="D139" s="1">
        <v>168.0</v>
      </c>
      <c r="E139" s="1">
        <v>40.0</v>
      </c>
      <c r="F139" s="1">
        <v>3.0</v>
      </c>
      <c r="G139" s="1">
        <v>5.0</v>
      </c>
      <c r="H139" s="1" t="s">
        <v>33</v>
      </c>
      <c r="I139" s="2">
        <v>45709.0</v>
      </c>
      <c r="J139" s="1">
        <v>550000.0</v>
      </c>
      <c r="K139" s="2">
        <v>45689.0</v>
      </c>
    </row>
    <row r="140" hidden="1">
      <c r="A140" s="1" t="s">
        <v>57</v>
      </c>
      <c r="B140" s="1" t="s">
        <v>58</v>
      </c>
      <c r="C140" s="1" t="s">
        <v>42</v>
      </c>
      <c r="D140" s="1">
        <v>58.0</v>
      </c>
      <c r="E140" s="1">
        <v>25.0</v>
      </c>
      <c r="F140" s="1">
        <v>1.0</v>
      </c>
      <c r="G140" s="1">
        <v>10.0</v>
      </c>
      <c r="H140" s="1" t="s">
        <v>59</v>
      </c>
      <c r="I140" s="2">
        <v>45952.0</v>
      </c>
      <c r="J140" s="1">
        <v>450000.0</v>
      </c>
      <c r="K140" s="2">
        <v>45931.0</v>
      </c>
    </row>
    <row r="141" hidden="1">
      <c r="A141" s="1" t="s">
        <v>46</v>
      </c>
      <c r="B141" s="1" t="s">
        <v>47</v>
      </c>
      <c r="C141" s="1" t="s">
        <v>23</v>
      </c>
      <c r="D141" s="1">
        <v>42.0</v>
      </c>
      <c r="E141" s="1">
        <v>40.0</v>
      </c>
      <c r="F141" s="1">
        <v>4.0</v>
      </c>
      <c r="G141" s="1">
        <v>7.0</v>
      </c>
      <c r="H141" s="1" t="s">
        <v>30</v>
      </c>
      <c r="I141" s="2">
        <v>45889.0</v>
      </c>
      <c r="J141" s="1">
        <v>550000.0</v>
      </c>
      <c r="K141" s="2">
        <v>45870.0</v>
      </c>
    </row>
    <row r="142" hidden="1">
      <c r="A142" s="1" t="s">
        <v>44</v>
      </c>
      <c r="B142" s="1" t="s">
        <v>45</v>
      </c>
      <c r="C142" s="1" t="s">
        <v>42</v>
      </c>
      <c r="D142" s="1">
        <v>35.0</v>
      </c>
      <c r="E142" s="1">
        <v>30.0</v>
      </c>
      <c r="F142" s="1">
        <v>5.0</v>
      </c>
      <c r="G142" s="1">
        <v>6.0</v>
      </c>
      <c r="H142" s="1" t="s">
        <v>43</v>
      </c>
      <c r="I142" s="2">
        <v>46048.0</v>
      </c>
      <c r="J142" s="1">
        <v>350000.0</v>
      </c>
      <c r="K142" s="2">
        <v>46023.0</v>
      </c>
    </row>
    <row r="143" hidden="1">
      <c r="A143" s="1" t="s">
        <v>46</v>
      </c>
      <c r="B143" s="1" t="s">
        <v>47</v>
      </c>
      <c r="C143" s="1" t="s">
        <v>23</v>
      </c>
      <c r="D143" s="1">
        <v>36.0</v>
      </c>
      <c r="E143" s="1">
        <v>40.0</v>
      </c>
      <c r="F143" s="1">
        <v>6.0</v>
      </c>
      <c r="G143" s="1">
        <v>4.0</v>
      </c>
      <c r="H143" s="1" t="s">
        <v>30</v>
      </c>
      <c r="I143" s="2">
        <v>46044.0</v>
      </c>
      <c r="J143" s="1">
        <v>550000.0</v>
      </c>
      <c r="K143" s="2">
        <v>46023.0</v>
      </c>
    </row>
    <row r="144" hidden="1">
      <c r="A144" s="1" t="s">
        <v>48</v>
      </c>
      <c r="B144" s="1" t="s">
        <v>49</v>
      </c>
      <c r="C144" s="1" t="s">
        <v>36</v>
      </c>
      <c r="D144" s="1">
        <v>87.0</v>
      </c>
      <c r="E144" s="1">
        <v>120.0</v>
      </c>
      <c r="F144" s="1">
        <v>18.0</v>
      </c>
      <c r="G144" s="1">
        <v>7.0</v>
      </c>
      <c r="H144" s="1" t="s">
        <v>50</v>
      </c>
      <c r="I144" s="2">
        <v>45748.0</v>
      </c>
      <c r="J144" s="1">
        <v>55000.0</v>
      </c>
      <c r="K144" s="2">
        <v>45748.0</v>
      </c>
    </row>
    <row r="145">
      <c r="A145" s="1" t="s">
        <v>51</v>
      </c>
      <c r="B145" s="1" t="s">
        <v>52</v>
      </c>
      <c r="C145" s="1" t="s">
        <v>36</v>
      </c>
      <c r="D145" s="1">
        <v>35.0</v>
      </c>
      <c r="E145" s="1">
        <v>60.0</v>
      </c>
      <c r="F145" s="1">
        <v>6.0</v>
      </c>
      <c r="G145" s="1">
        <v>7.0</v>
      </c>
      <c r="H145" s="1" t="s">
        <v>50</v>
      </c>
      <c r="I145" s="2">
        <v>46221.0</v>
      </c>
      <c r="J145" s="1">
        <v>175000.0</v>
      </c>
      <c r="K145" s="2">
        <v>46023.0</v>
      </c>
    </row>
    <row r="146" hidden="1">
      <c r="A146" s="1" t="s">
        <v>40</v>
      </c>
      <c r="B146" s="1" t="s">
        <v>41</v>
      </c>
      <c r="C146" s="1" t="s">
        <v>42</v>
      </c>
      <c r="D146" s="1">
        <v>32.0</v>
      </c>
      <c r="E146" s="1">
        <v>15.0</v>
      </c>
      <c r="F146" s="1">
        <v>1.0</v>
      </c>
      <c r="G146" s="1">
        <v>8.0</v>
      </c>
      <c r="H146" s="1" t="s">
        <v>43</v>
      </c>
      <c r="I146" s="2">
        <v>46079.0</v>
      </c>
      <c r="J146" s="1">
        <v>1200000.0</v>
      </c>
      <c r="K146" s="2">
        <v>46054.0</v>
      </c>
    </row>
    <row r="147" hidden="1">
      <c r="A147" s="1" t="s">
        <v>31</v>
      </c>
      <c r="B147" s="1" t="s">
        <v>32</v>
      </c>
      <c r="C147" s="1" t="s">
        <v>13</v>
      </c>
      <c r="D147" s="1">
        <v>139.0</v>
      </c>
      <c r="E147" s="1">
        <v>40.0</v>
      </c>
      <c r="F147" s="1">
        <v>2.0</v>
      </c>
      <c r="G147" s="1">
        <v>6.0</v>
      </c>
      <c r="H147" s="1" t="s">
        <v>33</v>
      </c>
      <c r="I147" s="2">
        <v>45845.0</v>
      </c>
      <c r="J147" s="1">
        <v>550000.0</v>
      </c>
      <c r="K147" s="2">
        <v>45839.0</v>
      </c>
    </row>
    <row r="148" hidden="1">
      <c r="A148" s="1" t="s">
        <v>31</v>
      </c>
      <c r="B148" s="1" t="s">
        <v>32</v>
      </c>
      <c r="C148" s="1" t="s">
        <v>13</v>
      </c>
      <c r="D148" s="1">
        <v>169.0</v>
      </c>
      <c r="E148" s="1">
        <v>40.0</v>
      </c>
      <c r="F148" s="1">
        <v>3.0</v>
      </c>
      <c r="G148" s="1">
        <v>4.0</v>
      </c>
      <c r="H148" s="1" t="s">
        <v>33</v>
      </c>
      <c r="I148" s="2">
        <v>46074.0</v>
      </c>
      <c r="J148" s="1">
        <v>550000.0</v>
      </c>
      <c r="K148" s="2">
        <v>46054.0</v>
      </c>
    </row>
    <row r="149" hidden="1">
      <c r="A149" s="1" t="s">
        <v>15</v>
      </c>
      <c r="B149" s="1" t="s">
        <v>16</v>
      </c>
      <c r="C149" s="1" t="s">
        <v>17</v>
      </c>
      <c r="D149" s="1">
        <v>25.0</v>
      </c>
      <c r="E149" s="1">
        <v>15.0</v>
      </c>
      <c r="F149" s="1">
        <v>2.0</v>
      </c>
      <c r="G149" s="1">
        <v>8.0</v>
      </c>
      <c r="H149" s="1" t="s">
        <v>18</v>
      </c>
      <c r="I149" s="2">
        <v>45718.0</v>
      </c>
      <c r="J149" s="1">
        <v>8500000.0</v>
      </c>
      <c r="K149" s="2">
        <v>45717.0</v>
      </c>
    </row>
    <row r="150" hidden="1">
      <c r="A150" s="1" t="s">
        <v>46</v>
      </c>
      <c r="B150" s="1" t="s">
        <v>47</v>
      </c>
      <c r="C150" s="1" t="s">
        <v>23</v>
      </c>
      <c r="D150" s="1">
        <v>0.0</v>
      </c>
      <c r="E150" s="1">
        <v>40.0</v>
      </c>
      <c r="F150" s="1">
        <v>8.0</v>
      </c>
      <c r="G150" s="1">
        <v>8.0</v>
      </c>
      <c r="H150" s="1" t="s">
        <v>30</v>
      </c>
      <c r="I150" s="2">
        <v>45964.0</v>
      </c>
      <c r="J150" s="1">
        <v>550000.0</v>
      </c>
      <c r="K150" s="2">
        <v>45962.0</v>
      </c>
    </row>
    <row r="151" hidden="1">
      <c r="A151" s="1" t="s">
        <v>21</v>
      </c>
      <c r="B151" s="1" t="s">
        <v>22</v>
      </c>
      <c r="C151" s="1" t="s">
        <v>23</v>
      </c>
      <c r="D151" s="1">
        <v>28.0</v>
      </c>
      <c r="E151" s="1">
        <v>50.0</v>
      </c>
      <c r="F151" s="1">
        <v>7.0</v>
      </c>
      <c r="G151" s="1">
        <v>7.0</v>
      </c>
      <c r="H151" s="1" t="s">
        <v>24</v>
      </c>
      <c r="I151" s="2">
        <v>45939.0</v>
      </c>
      <c r="J151" s="1">
        <v>350000.0</v>
      </c>
      <c r="K151" s="2">
        <v>45931.0</v>
      </c>
    </row>
    <row r="152" hidden="1">
      <c r="A152" s="1" t="s">
        <v>11</v>
      </c>
      <c r="B152" s="1" t="s">
        <v>12</v>
      </c>
      <c r="C152" s="1" t="s">
        <v>13</v>
      </c>
      <c r="D152" s="1">
        <v>230.0</v>
      </c>
      <c r="E152" s="1">
        <v>50.0</v>
      </c>
      <c r="F152" s="1">
        <v>1.0</v>
      </c>
      <c r="G152" s="1">
        <v>4.0</v>
      </c>
      <c r="H152" s="1" t="s">
        <v>14</v>
      </c>
      <c r="I152" s="2">
        <v>45939.0</v>
      </c>
      <c r="J152" s="1">
        <v>125000.0</v>
      </c>
      <c r="K152" s="2">
        <v>45931.0</v>
      </c>
    </row>
    <row r="153" hidden="1">
      <c r="A153" s="1" t="s">
        <v>64</v>
      </c>
      <c r="B153" s="1" t="s">
        <v>65</v>
      </c>
      <c r="C153" s="1" t="s">
        <v>42</v>
      </c>
      <c r="D153" s="1">
        <v>27.0</v>
      </c>
      <c r="E153" s="1">
        <v>20.0</v>
      </c>
      <c r="F153" s="1">
        <v>3.0</v>
      </c>
      <c r="G153" s="1">
        <v>9.0</v>
      </c>
      <c r="H153" s="1" t="s">
        <v>59</v>
      </c>
      <c r="I153" s="2">
        <v>45673.0</v>
      </c>
      <c r="J153" s="1">
        <v>750000.0</v>
      </c>
      <c r="K153" s="2">
        <v>45658.0</v>
      </c>
    </row>
    <row r="154" hidden="1">
      <c r="A154" s="1" t="s">
        <v>53</v>
      </c>
      <c r="B154" s="1" t="s">
        <v>54</v>
      </c>
      <c r="C154" s="1" t="s">
        <v>13</v>
      </c>
      <c r="D154" s="1">
        <v>305.0</v>
      </c>
      <c r="E154" s="1">
        <v>60.0</v>
      </c>
      <c r="F154" s="1">
        <v>4.0</v>
      </c>
      <c r="G154" s="1">
        <v>4.0</v>
      </c>
      <c r="H154" s="1" t="s">
        <v>14</v>
      </c>
      <c r="I154" s="2">
        <v>46068.0</v>
      </c>
      <c r="J154" s="1">
        <v>165000.0</v>
      </c>
      <c r="K154" s="2">
        <v>46054.0</v>
      </c>
    </row>
    <row r="155" hidden="1">
      <c r="A155" s="1" t="s">
        <v>34</v>
      </c>
      <c r="B155" s="1" t="s">
        <v>35</v>
      </c>
      <c r="C155" s="1" t="s">
        <v>36</v>
      </c>
      <c r="D155" s="1">
        <v>56.0</v>
      </c>
      <c r="E155" s="1">
        <v>80.0</v>
      </c>
      <c r="F155" s="1">
        <v>18.0</v>
      </c>
      <c r="G155" s="1">
        <v>5.0</v>
      </c>
      <c r="H155" s="1" t="s">
        <v>37</v>
      </c>
      <c r="I155" s="2">
        <v>46110.0</v>
      </c>
      <c r="J155" s="1">
        <v>65000.0</v>
      </c>
      <c r="K155" s="2">
        <v>46082.0</v>
      </c>
    </row>
    <row r="156" hidden="1">
      <c r="A156" s="1" t="s">
        <v>64</v>
      </c>
      <c r="B156" s="1" t="s">
        <v>65</v>
      </c>
      <c r="C156" s="1" t="s">
        <v>42</v>
      </c>
      <c r="D156" s="1">
        <v>42.0</v>
      </c>
      <c r="E156" s="1">
        <v>20.0</v>
      </c>
      <c r="F156" s="1">
        <v>1.0</v>
      </c>
      <c r="G156" s="1">
        <v>10.0</v>
      </c>
      <c r="H156" s="1" t="s">
        <v>59</v>
      </c>
      <c r="I156" s="2">
        <v>45884.0</v>
      </c>
      <c r="J156" s="1">
        <v>750000.0</v>
      </c>
      <c r="K156" s="2">
        <v>45870.0</v>
      </c>
    </row>
    <row r="157" hidden="1">
      <c r="A157" s="1" t="s">
        <v>21</v>
      </c>
      <c r="B157" s="1" t="s">
        <v>22</v>
      </c>
      <c r="C157" s="1" t="s">
        <v>23</v>
      </c>
      <c r="D157" s="1">
        <v>0.0</v>
      </c>
      <c r="E157" s="1">
        <v>50.0</v>
      </c>
      <c r="F157" s="1">
        <v>14.0</v>
      </c>
      <c r="G157" s="1">
        <v>5.0</v>
      </c>
      <c r="H157" s="1" t="s">
        <v>24</v>
      </c>
      <c r="I157" s="2">
        <v>46101.0</v>
      </c>
      <c r="J157" s="1">
        <v>350000.0</v>
      </c>
      <c r="K157" s="2">
        <v>46082.0</v>
      </c>
    </row>
    <row r="158" hidden="1">
      <c r="A158" s="1" t="s">
        <v>25</v>
      </c>
      <c r="B158" s="1" t="s">
        <v>26</v>
      </c>
      <c r="C158" s="1" t="s">
        <v>17</v>
      </c>
      <c r="D158" s="1">
        <v>23.0</v>
      </c>
      <c r="E158" s="1">
        <v>25.0</v>
      </c>
      <c r="F158" s="1">
        <v>6.0</v>
      </c>
      <c r="G158" s="1">
        <v>10.0</v>
      </c>
      <c r="H158" s="1" t="s">
        <v>27</v>
      </c>
      <c r="I158" s="2">
        <v>46109.0</v>
      </c>
      <c r="J158" s="1">
        <v>4500000.0</v>
      </c>
      <c r="K158" s="2">
        <v>46082.0</v>
      </c>
    </row>
    <row r="159" hidden="1">
      <c r="A159" s="1" t="s">
        <v>38</v>
      </c>
      <c r="B159" s="1" t="s">
        <v>39</v>
      </c>
      <c r="C159" s="1" t="s">
        <v>23</v>
      </c>
      <c r="D159" s="1">
        <v>17.0</v>
      </c>
      <c r="E159" s="1">
        <v>45.0</v>
      </c>
      <c r="F159" s="1">
        <v>7.0</v>
      </c>
      <c r="G159" s="1">
        <v>3.0</v>
      </c>
      <c r="H159" s="1" t="s">
        <v>24</v>
      </c>
      <c r="I159" s="2">
        <v>45910.0</v>
      </c>
      <c r="J159" s="1">
        <v>450000.0</v>
      </c>
      <c r="K159" s="2">
        <v>45901.0</v>
      </c>
    </row>
    <row r="160" hidden="1">
      <c r="A160" s="1" t="s">
        <v>48</v>
      </c>
      <c r="B160" s="1" t="s">
        <v>49</v>
      </c>
      <c r="C160" s="1" t="s">
        <v>36</v>
      </c>
      <c r="D160" s="1">
        <v>30.0</v>
      </c>
      <c r="E160" s="1">
        <v>120.0</v>
      </c>
      <c r="F160" s="1">
        <v>18.0</v>
      </c>
      <c r="G160" s="1">
        <v>4.0</v>
      </c>
      <c r="H160" s="1" t="s">
        <v>50</v>
      </c>
      <c r="I160" s="2">
        <v>46053.0</v>
      </c>
      <c r="J160" s="1">
        <v>55000.0</v>
      </c>
      <c r="K160" s="2">
        <v>46023.0</v>
      </c>
    </row>
    <row r="161" hidden="1">
      <c r="A161" s="1" t="s">
        <v>46</v>
      </c>
      <c r="B161" s="1" t="s">
        <v>47</v>
      </c>
      <c r="C161" s="1" t="s">
        <v>23</v>
      </c>
      <c r="D161" s="1">
        <v>0.0</v>
      </c>
      <c r="E161" s="1">
        <v>40.0</v>
      </c>
      <c r="F161" s="1">
        <v>9.0</v>
      </c>
      <c r="G161" s="1">
        <v>8.0</v>
      </c>
      <c r="H161" s="1" t="s">
        <v>30</v>
      </c>
      <c r="I161" s="2">
        <v>45730.0</v>
      </c>
      <c r="J161" s="1">
        <v>550000.0</v>
      </c>
      <c r="K161" s="2">
        <v>45717.0</v>
      </c>
    </row>
    <row r="162" hidden="1">
      <c r="A162" s="1" t="s">
        <v>55</v>
      </c>
      <c r="B162" s="1" t="s">
        <v>56</v>
      </c>
      <c r="C162" s="1" t="s">
        <v>36</v>
      </c>
      <c r="D162" s="1">
        <v>92.0</v>
      </c>
      <c r="E162" s="1">
        <v>100.0</v>
      </c>
      <c r="F162" s="1">
        <v>15.0</v>
      </c>
      <c r="G162" s="1">
        <v>5.0</v>
      </c>
      <c r="H162" s="1" t="s">
        <v>37</v>
      </c>
      <c r="I162" s="2">
        <v>45897.0</v>
      </c>
      <c r="J162" s="1">
        <v>85000.0</v>
      </c>
      <c r="K162" s="2">
        <v>45870.0</v>
      </c>
    </row>
    <row r="163" hidden="1">
      <c r="A163" s="1" t="s">
        <v>48</v>
      </c>
      <c r="B163" s="1" t="s">
        <v>49</v>
      </c>
      <c r="C163" s="1" t="s">
        <v>36</v>
      </c>
      <c r="D163" s="1">
        <v>39.0</v>
      </c>
      <c r="E163" s="1">
        <v>120.0</v>
      </c>
      <c r="F163" s="1">
        <v>19.0</v>
      </c>
      <c r="G163" s="1">
        <v>3.0</v>
      </c>
      <c r="H163" s="1" t="s">
        <v>50</v>
      </c>
      <c r="I163" s="2">
        <v>45936.0</v>
      </c>
      <c r="J163" s="1">
        <v>55000.0</v>
      </c>
      <c r="K163" s="2">
        <v>45931.0</v>
      </c>
    </row>
    <row r="164" hidden="1">
      <c r="A164" s="1" t="s">
        <v>64</v>
      </c>
      <c r="B164" s="1" t="s">
        <v>65</v>
      </c>
      <c r="C164" s="1" t="s">
        <v>42</v>
      </c>
      <c r="D164" s="1">
        <v>29.0</v>
      </c>
      <c r="E164" s="1">
        <v>20.0</v>
      </c>
      <c r="F164" s="1">
        <v>3.0</v>
      </c>
      <c r="G164" s="1">
        <v>9.0</v>
      </c>
      <c r="H164" s="1" t="s">
        <v>59</v>
      </c>
      <c r="I164" s="2">
        <v>46076.0</v>
      </c>
      <c r="J164" s="1">
        <v>750000.0</v>
      </c>
      <c r="K164" s="2">
        <v>46054.0</v>
      </c>
    </row>
    <row r="165" hidden="1">
      <c r="A165" s="1" t="s">
        <v>34</v>
      </c>
      <c r="B165" s="1" t="s">
        <v>35</v>
      </c>
      <c r="C165" s="1" t="s">
        <v>36</v>
      </c>
      <c r="D165" s="1">
        <v>40.0</v>
      </c>
      <c r="E165" s="1">
        <v>80.0</v>
      </c>
      <c r="F165" s="1">
        <v>12.0</v>
      </c>
      <c r="G165" s="1">
        <v>3.0</v>
      </c>
      <c r="H165" s="1" t="s">
        <v>37</v>
      </c>
      <c r="I165" s="2">
        <v>45673.0</v>
      </c>
      <c r="J165" s="1">
        <v>65000.0</v>
      </c>
      <c r="K165" s="2">
        <v>45658.0</v>
      </c>
    </row>
    <row r="166" hidden="1">
      <c r="A166" s="1" t="s">
        <v>11</v>
      </c>
      <c r="B166" s="1" t="s">
        <v>12</v>
      </c>
      <c r="C166" s="1" t="s">
        <v>13</v>
      </c>
      <c r="D166" s="1">
        <v>261.0</v>
      </c>
      <c r="E166" s="1">
        <v>50.0</v>
      </c>
      <c r="F166" s="1">
        <v>2.0</v>
      </c>
      <c r="G166" s="1">
        <v>5.0</v>
      </c>
      <c r="H166" s="1" t="s">
        <v>14</v>
      </c>
      <c r="I166" s="2">
        <v>45787.0</v>
      </c>
      <c r="J166" s="1">
        <v>125000.0</v>
      </c>
      <c r="K166" s="2">
        <v>45778.0</v>
      </c>
    </row>
    <row r="167" hidden="1">
      <c r="A167" s="1" t="s">
        <v>21</v>
      </c>
      <c r="B167" s="1" t="s">
        <v>22</v>
      </c>
      <c r="C167" s="1" t="s">
        <v>23</v>
      </c>
      <c r="D167" s="1">
        <v>42.0</v>
      </c>
      <c r="E167" s="1">
        <v>50.0</v>
      </c>
      <c r="F167" s="1">
        <v>6.0</v>
      </c>
      <c r="G167" s="1">
        <v>4.0</v>
      </c>
      <c r="H167" s="1" t="s">
        <v>24</v>
      </c>
      <c r="I167" s="2">
        <v>45817.0</v>
      </c>
      <c r="J167" s="1">
        <v>350000.0</v>
      </c>
      <c r="K167" s="2">
        <v>45809.0</v>
      </c>
    </row>
    <row r="168" hidden="1">
      <c r="A168" s="1" t="s">
        <v>53</v>
      </c>
      <c r="B168" s="1" t="s">
        <v>54</v>
      </c>
      <c r="C168" s="1" t="s">
        <v>13</v>
      </c>
      <c r="D168" s="1">
        <v>188.0</v>
      </c>
      <c r="E168" s="1">
        <v>60.0</v>
      </c>
      <c r="F168" s="1">
        <v>3.0</v>
      </c>
      <c r="G168" s="1">
        <v>4.0</v>
      </c>
      <c r="H168" s="1" t="s">
        <v>14</v>
      </c>
      <c r="I168" s="2">
        <v>45659.0</v>
      </c>
      <c r="J168" s="1">
        <v>165000.0</v>
      </c>
      <c r="K168" s="2">
        <v>45658.0</v>
      </c>
    </row>
    <row r="169" hidden="1">
      <c r="A169" s="1" t="s">
        <v>38</v>
      </c>
      <c r="B169" s="1" t="s">
        <v>39</v>
      </c>
      <c r="C169" s="1" t="s">
        <v>23</v>
      </c>
      <c r="D169" s="1">
        <v>0.0</v>
      </c>
      <c r="E169" s="1">
        <v>45.0</v>
      </c>
      <c r="F169" s="1">
        <v>12.0</v>
      </c>
      <c r="G169" s="1">
        <v>4.0</v>
      </c>
      <c r="H169" s="1" t="s">
        <v>24</v>
      </c>
      <c r="I169" s="2">
        <v>45983.0</v>
      </c>
      <c r="J169" s="1">
        <v>450000.0</v>
      </c>
      <c r="K169" s="2">
        <v>45962.0</v>
      </c>
    </row>
    <row r="170" hidden="1">
      <c r="A170" s="1" t="s">
        <v>11</v>
      </c>
      <c r="B170" s="1" t="s">
        <v>12</v>
      </c>
      <c r="C170" s="1" t="s">
        <v>13</v>
      </c>
      <c r="D170" s="1">
        <v>252.0</v>
      </c>
      <c r="E170" s="1">
        <v>50.0</v>
      </c>
      <c r="F170" s="1">
        <v>3.0</v>
      </c>
      <c r="G170" s="1">
        <v>7.0</v>
      </c>
      <c r="H170" s="1" t="s">
        <v>14</v>
      </c>
      <c r="I170" s="2">
        <v>45713.0</v>
      </c>
      <c r="J170" s="1">
        <v>125000.0</v>
      </c>
      <c r="K170" s="2">
        <v>45689.0</v>
      </c>
    </row>
    <row r="171" hidden="1">
      <c r="A171" s="1" t="s">
        <v>40</v>
      </c>
      <c r="B171" s="1" t="s">
        <v>41</v>
      </c>
      <c r="C171" s="1" t="s">
        <v>42</v>
      </c>
      <c r="D171" s="1">
        <v>13.0</v>
      </c>
      <c r="E171" s="1">
        <v>15.0</v>
      </c>
      <c r="F171" s="1">
        <v>3.0</v>
      </c>
      <c r="G171" s="1">
        <v>6.0</v>
      </c>
      <c r="H171" s="1" t="s">
        <v>43</v>
      </c>
      <c r="I171" s="2">
        <v>45949.0</v>
      </c>
      <c r="J171" s="1">
        <v>1200000.0</v>
      </c>
      <c r="K171" s="2">
        <v>45931.0</v>
      </c>
    </row>
    <row r="172" hidden="1">
      <c r="A172" s="1" t="s">
        <v>15</v>
      </c>
      <c r="B172" s="1" t="s">
        <v>16</v>
      </c>
      <c r="C172" s="1" t="s">
        <v>17</v>
      </c>
      <c r="D172" s="1">
        <v>28.0</v>
      </c>
      <c r="E172" s="1">
        <v>15.0</v>
      </c>
      <c r="F172" s="1">
        <v>1.0</v>
      </c>
      <c r="G172" s="1">
        <v>7.0</v>
      </c>
      <c r="H172" s="1" t="s">
        <v>18</v>
      </c>
      <c r="I172" s="2">
        <v>46041.0</v>
      </c>
      <c r="J172" s="1">
        <v>8500000.0</v>
      </c>
      <c r="K172" s="2">
        <v>46023.0</v>
      </c>
    </row>
    <row r="173" hidden="1">
      <c r="A173" s="1" t="s">
        <v>60</v>
      </c>
      <c r="B173" s="1" t="s">
        <v>61</v>
      </c>
      <c r="C173" s="1" t="s">
        <v>17</v>
      </c>
      <c r="D173" s="1">
        <v>33.0</v>
      </c>
      <c r="E173" s="1">
        <v>20.0</v>
      </c>
      <c r="F173" s="1">
        <v>1.0</v>
      </c>
      <c r="G173" s="1">
        <v>12.0</v>
      </c>
      <c r="H173" s="1" t="s">
        <v>27</v>
      </c>
      <c r="I173" s="2">
        <v>45817.0</v>
      </c>
      <c r="J173" s="1">
        <v>3200000.0</v>
      </c>
      <c r="K173" s="2">
        <v>45809.0</v>
      </c>
    </row>
    <row r="174" hidden="1">
      <c r="A174" s="1" t="s">
        <v>25</v>
      </c>
      <c r="B174" s="1" t="s">
        <v>26</v>
      </c>
      <c r="C174" s="1" t="s">
        <v>17</v>
      </c>
      <c r="D174" s="1">
        <v>15.0</v>
      </c>
      <c r="E174" s="1">
        <v>25.0</v>
      </c>
      <c r="F174" s="1">
        <v>4.0</v>
      </c>
      <c r="G174" s="1">
        <v>15.0</v>
      </c>
      <c r="H174" s="1" t="s">
        <v>27</v>
      </c>
      <c r="I174" s="2">
        <v>46070.0</v>
      </c>
      <c r="J174" s="1">
        <v>4500000.0</v>
      </c>
      <c r="K174" s="2">
        <v>46054.0</v>
      </c>
    </row>
    <row r="175" hidden="1">
      <c r="A175" s="1" t="s">
        <v>44</v>
      </c>
      <c r="B175" s="1" t="s">
        <v>45</v>
      </c>
      <c r="C175" s="1" t="s">
        <v>42</v>
      </c>
      <c r="D175" s="1">
        <v>39.0</v>
      </c>
      <c r="E175" s="1">
        <v>30.0</v>
      </c>
      <c r="F175" s="1">
        <v>6.0</v>
      </c>
      <c r="G175" s="1">
        <v>10.0</v>
      </c>
      <c r="H175" s="1" t="s">
        <v>43</v>
      </c>
      <c r="I175" s="2">
        <v>45838.0</v>
      </c>
      <c r="J175" s="1">
        <v>350000.0</v>
      </c>
      <c r="K175" s="2">
        <v>45809.0</v>
      </c>
    </row>
    <row r="176" hidden="1">
      <c r="A176" s="1" t="s">
        <v>57</v>
      </c>
      <c r="B176" s="1" t="s">
        <v>58</v>
      </c>
      <c r="C176" s="1" t="s">
        <v>42</v>
      </c>
      <c r="D176" s="1">
        <v>43.0</v>
      </c>
      <c r="E176" s="1">
        <v>25.0</v>
      </c>
      <c r="F176" s="1">
        <v>4.0</v>
      </c>
      <c r="G176" s="1">
        <v>7.0</v>
      </c>
      <c r="H176" s="1" t="s">
        <v>59</v>
      </c>
      <c r="I176" s="2">
        <v>45896.0</v>
      </c>
      <c r="J176" s="1">
        <v>450000.0</v>
      </c>
      <c r="K176" s="2">
        <v>45870.0</v>
      </c>
    </row>
    <row r="177" hidden="1">
      <c r="A177" s="1" t="s">
        <v>62</v>
      </c>
      <c r="B177" s="1" t="s">
        <v>63</v>
      </c>
      <c r="C177" s="1" t="s">
        <v>13</v>
      </c>
      <c r="D177" s="1">
        <v>472.0</v>
      </c>
      <c r="E177" s="1">
        <v>80.0</v>
      </c>
      <c r="F177" s="1">
        <v>3.0</v>
      </c>
      <c r="G177" s="1">
        <v>4.0</v>
      </c>
      <c r="H177" s="1" t="s">
        <v>33</v>
      </c>
      <c r="I177" s="2">
        <v>45900.0</v>
      </c>
      <c r="J177" s="1">
        <v>85000.0</v>
      </c>
      <c r="K177" s="2">
        <v>45870.0</v>
      </c>
    </row>
    <row r="178" hidden="1">
      <c r="A178" s="1" t="s">
        <v>64</v>
      </c>
      <c r="B178" s="1" t="s">
        <v>65</v>
      </c>
      <c r="C178" s="1" t="s">
        <v>42</v>
      </c>
      <c r="D178" s="1">
        <v>14.0</v>
      </c>
      <c r="E178" s="1">
        <v>20.0</v>
      </c>
      <c r="F178" s="1">
        <v>2.0</v>
      </c>
      <c r="G178" s="1">
        <v>8.0</v>
      </c>
      <c r="H178" s="1" t="s">
        <v>59</v>
      </c>
      <c r="I178" s="2">
        <v>45999.0</v>
      </c>
      <c r="J178" s="1">
        <v>750000.0</v>
      </c>
      <c r="K178" s="2">
        <v>45992.0</v>
      </c>
    </row>
    <row r="179" hidden="1">
      <c r="A179" s="1" t="s">
        <v>44</v>
      </c>
      <c r="B179" s="1" t="s">
        <v>45</v>
      </c>
      <c r="C179" s="1" t="s">
        <v>42</v>
      </c>
      <c r="D179" s="1">
        <v>57.0</v>
      </c>
      <c r="E179" s="1">
        <v>30.0</v>
      </c>
      <c r="F179" s="1">
        <v>5.0</v>
      </c>
      <c r="G179" s="1">
        <v>4.0</v>
      </c>
      <c r="H179" s="1" t="s">
        <v>43</v>
      </c>
      <c r="I179" s="2">
        <v>46098.0</v>
      </c>
      <c r="J179" s="1">
        <v>350000.0</v>
      </c>
      <c r="K179" s="2">
        <v>46082.0</v>
      </c>
    </row>
    <row r="180" hidden="1">
      <c r="A180" s="1" t="s">
        <v>19</v>
      </c>
      <c r="B180" s="1" t="s">
        <v>20</v>
      </c>
      <c r="C180" s="1" t="s">
        <v>17</v>
      </c>
      <c r="D180" s="1">
        <v>1.0</v>
      </c>
      <c r="E180" s="1">
        <v>30.0</v>
      </c>
      <c r="F180" s="1">
        <v>4.0</v>
      </c>
      <c r="G180" s="1">
        <v>5.0</v>
      </c>
      <c r="H180" s="1" t="s">
        <v>18</v>
      </c>
      <c r="I180" s="2">
        <v>45868.0</v>
      </c>
      <c r="J180" s="1">
        <v>1200000.0</v>
      </c>
      <c r="K180" s="2">
        <v>45839.0</v>
      </c>
    </row>
    <row r="181" hidden="1">
      <c r="A181" s="1" t="s">
        <v>28</v>
      </c>
      <c r="B181" s="1" t="s">
        <v>29</v>
      </c>
      <c r="C181" s="1" t="s">
        <v>23</v>
      </c>
      <c r="D181" s="1">
        <v>27.0</v>
      </c>
      <c r="E181" s="1">
        <v>35.0</v>
      </c>
      <c r="F181" s="1">
        <v>4.0</v>
      </c>
      <c r="G181" s="1">
        <v>5.0</v>
      </c>
      <c r="H181" s="1" t="s">
        <v>30</v>
      </c>
      <c r="I181" s="2">
        <v>45817.0</v>
      </c>
      <c r="J181" s="1">
        <v>1250000.0</v>
      </c>
      <c r="K181" s="2">
        <v>45809.0</v>
      </c>
    </row>
    <row r="182">
      <c r="A182" s="1" t="s">
        <v>53</v>
      </c>
      <c r="B182" s="1" t="s">
        <v>54</v>
      </c>
      <c r="C182" s="1" t="s">
        <v>13</v>
      </c>
      <c r="D182" s="1">
        <v>240.0</v>
      </c>
      <c r="E182" s="1">
        <v>60.0</v>
      </c>
      <c r="F182" s="1">
        <v>2.0</v>
      </c>
      <c r="G182" s="1">
        <v>6.0</v>
      </c>
      <c r="H182" s="1" t="s">
        <v>14</v>
      </c>
      <c r="I182" s="2">
        <v>46187.0</v>
      </c>
      <c r="J182" s="1">
        <v>165000.0</v>
      </c>
      <c r="K182" s="2">
        <v>45962.0</v>
      </c>
    </row>
    <row r="183" hidden="1">
      <c r="A183" s="1" t="s">
        <v>44</v>
      </c>
      <c r="B183" s="1" t="s">
        <v>45</v>
      </c>
      <c r="C183" s="1" t="s">
        <v>42</v>
      </c>
      <c r="D183" s="1">
        <v>60.0</v>
      </c>
      <c r="E183" s="1">
        <v>30.0</v>
      </c>
      <c r="F183" s="1">
        <v>4.0</v>
      </c>
      <c r="G183" s="1">
        <v>9.0</v>
      </c>
      <c r="H183" s="1" t="s">
        <v>43</v>
      </c>
      <c r="I183" s="2">
        <v>46062.0</v>
      </c>
      <c r="J183" s="1">
        <v>350000.0</v>
      </c>
      <c r="K183" s="2">
        <v>46054.0</v>
      </c>
    </row>
    <row r="184" hidden="1">
      <c r="A184" s="1" t="s">
        <v>11</v>
      </c>
      <c r="B184" s="1" t="s">
        <v>12</v>
      </c>
      <c r="C184" s="1" t="s">
        <v>13</v>
      </c>
      <c r="D184" s="1">
        <v>216.0</v>
      </c>
      <c r="E184" s="1">
        <v>50.0</v>
      </c>
      <c r="F184" s="1">
        <v>1.0</v>
      </c>
      <c r="G184" s="1">
        <v>8.0</v>
      </c>
      <c r="H184" s="1" t="s">
        <v>14</v>
      </c>
      <c r="I184" s="2">
        <v>45905.0</v>
      </c>
      <c r="J184" s="1">
        <v>125000.0</v>
      </c>
      <c r="K184" s="2">
        <v>45901.0</v>
      </c>
    </row>
    <row r="185" hidden="1">
      <c r="A185" s="1" t="s">
        <v>60</v>
      </c>
      <c r="B185" s="1" t="s">
        <v>61</v>
      </c>
      <c r="C185" s="1" t="s">
        <v>17</v>
      </c>
      <c r="D185" s="1">
        <v>-17.0</v>
      </c>
      <c r="E185" s="1">
        <v>20.0</v>
      </c>
      <c r="F185" s="1">
        <v>5.0</v>
      </c>
      <c r="G185" s="1">
        <v>22.0</v>
      </c>
      <c r="H185" s="1" t="s">
        <v>27</v>
      </c>
      <c r="I185" s="2">
        <v>45998.0</v>
      </c>
      <c r="J185" s="1">
        <v>3200000.0</v>
      </c>
      <c r="K185" s="2">
        <v>45992.0</v>
      </c>
    </row>
    <row r="186" hidden="1">
      <c r="A186" s="1" t="s">
        <v>38</v>
      </c>
      <c r="B186" s="1" t="s">
        <v>39</v>
      </c>
      <c r="C186" s="1" t="s">
        <v>23</v>
      </c>
      <c r="D186" s="1">
        <v>0.0</v>
      </c>
      <c r="E186" s="1">
        <v>45.0</v>
      </c>
      <c r="F186" s="1">
        <v>14.0</v>
      </c>
      <c r="G186" s="1">
        <v>6.0</v>
      </c>
      <c r="H186" s="1" t="s">
        <v>24</v>
      </c>
      <c r="I186" s="2">
        <v>46107.0</v>
      </c>
      <c r="J186" s="1">
        <v>450000.0</v>
      </c>
      <c r="K186" s="2">
        <v>46082.0</v>
      </c>
    </row>
    <row r="187" hidden="1">
      <c r="A187" s="1" t="s">
        <v>11</v>
      </c>
      <c r="B187" s="1" t="s">
        <v>12</v>
      </c>
      <c r="C187" s="1" t="s">
        <v>13</v>
      </c>
      <c r="D187" s="1">
        <v>157.0</v>
      </c>
      <c r="E187" s="1">
        <v>50.0</v>
      </c>
      <c r="F187" s="1">
        <v>1.0</v>
      </c>
      <c r="G187" s="1">
        <v>4.0</v>
      </c>
      <c r="H187" s="1" t="s">
        <v>14</v>
      </c>
      <c r="I187" s="2">
        <v>45823.0</v>
      </c>
      <c r="J187" s="1">
        <v>125000.0</v>
      </c>
      <c r="K187" s="2">
        <v>45809.0</v>
      </c>
    </row>
    <row r="188" hidden="1">
      <c r="A188" s="1" t="s">
        <v>57</v>
      </c>
      <c r="B188" s="1" t="s">
        <v>58</v>
      </c>
      <c r="C188" s="1" t="s">
        <v>42</v>
      </c>
      <c r="D188" s="1">
        <v>42.0</v>
      </c>
      <c r="E188" s="1">
        <v>25.0</v>
      </c>
      <c r="F188" s="1">
        <v>5.0</v>
      </c>
      <c r="G188" s="1">
        <v>10.0</v>
      </c>
      <c r="H188" s="1" t="s">
        <v>59</v>
      </c>
      <c r="I188" s="2">
        <v>45711.0</v>
      </c>
      <c r="J188" s="1">
        <v>450000.0</v>
      </c>
      <c r="K188" s="2">
        <v>45689.0</v>
      </c>
    </row>
    <row r="189" hidden="1">
      <c r="A189" s="1" t="s">
        <v>25</v>
      </c>
      <c r="B189" s="1" t="s">
        <v>26</v>
      </c>
      <c r="C189" s="1" t="s">
        <v>17</v>
      </c>
      <c r="D189" s="1">
        <v>0.0</v>
      </c>
      <c r="E189" s="1">
        <v>25.0</v>
      </c>
      <c r="F189" s="1">
        <v>8.0</v>
      </c>
      <c r="G189" s="1">
        <v>10.0</v>
      </c>
      <c r="H189" s="1" t="s">
        <v>27</v>
      </c>
      <c r="I189" s="2">
        <v>46013.0</v>
      </c>
      <c r="J189" s="1">
        <v>4500000.0</v>
      </c>
      <c r="K189" s="2">
        <v>45992.0</v>
      </c>
    </row>
    <row r="190" hidden="1">
      <c r="A190" s="1" t="s">
        <v>40</v>
      </c>
      <c r="B190" s="1" t="s">
        <v>41</v>
      </c>
      <c r="C190" s="1" t="s">
        <v>42</v>
      </c>
      <c r="D190" s="1">
        <v>22.0</v>
      </c>
      <c r="E190" s="1">
        <v>15.0</v>
      </c>
      <c r="F190" s="1">
        <v>3.0</v>
      </c>
      <c r="G190" s="1">
        <v>4.0</v>
      </c>
      <c r="H190" s="1" t="s">
        <v>43</v>
      </c>
      <c r="I190" s="2">
        <v>45919.0</v>
      </c>
      <c r="J190" s="1">
        <v>1200000.0</v>
      </c>
      <c r="K190" s="2">
        <v>45901.0</v>
      </c>
    </row>
    <row r="191" hidden="1">
      <c r="A191" s="1" t="s">
        <v>57</v>
      </c>
      <c r="B191" s="1" t="s">
        <v>58</v>
      </c>
      <c r="C191" s="1" t="s">
        <v>42</v>
      </c>
      <c r="D191" s="1">
        <v>21.0</v>
      </c>
      <c r="E191" s="1">
        <v>25.0</v>
      </c>
      <c r="F191" s="1">
        <v>3.0</v>
      </c>
      <c r="G191" s="1">
        <v>9.0</v>
      </c>
      <c r="H191" s="1" t="s">
        <v>59</v>
      </c>
      <c r="I191" s="2">
        <v>45854.0</v>
      </c>
      <c r="J191" s="1">
        <v>450000.0</v>
      </c>
      <c r="K191" s="2">
        <v>45839.0</v>
      </c>
    </row>
    <row r="192" hidden="1">
      <c r="A192" s="1" t="s">
        <v>51</v>
      </c>
      <c r="B192" s="1" t="s">
        <v>52</v>
      </c>
      <c r="C192" s="1" t="s">
        <v>36</v>
      </c>
      <c r="D192" s="1">
        <v>12.0</v>
      </c>
      <c r="E192" s="1">
        <v>60.0</v>
      </c>
      <c r="F192" s="1">
        <v>10.0</v>
      </c>
      <c r="H192" s="1" t="s">
        <v>50</v>
      </c>
      <c r="I192" s="2">
        <v>45965.0</v>
      </c>
      <c r="J192" s="1">
        <v>175000.0</v>
      </c>
      <c r="K192" s="2">
        <v>45962.0</v>
      </c>
    </row>
    <row r="193" hidden="1">
      <c r="A193" s="1" t="s">
        <v>15</v>
      </c>
      <c r="B193" s="1" t="s">
        <v>16</v>
      </c>
      <c r="C193" s="1" t="s">
        <v>17</v>
      </c>
      <c r="D193" s="1">
        <v>17.0</v>
      </c>
      <c r="E193" s="1">
        <v>15.0</v>
      </c>
      <c r="F193" s="1">
        <v>1.0</v>
      </c>
      <c r="G193" s="1">
        <v>6.0</v>
      </c>
      <c r="H193" s="1" t="s">
        <v>18</v>
      </c>
      <c r="I193" s="2">
        <v>45665.0</v>
      </c>
      <c r="J193" s="1">
        <v>8500000.0</v>
      </c>
      <c r="K193" s="2">
        <v>45658.0</v>
      </c>
    </row>
    <row r="194" hidden="1">
      <c r="A194" s="1" t="s">
        <v>51</v>
      </c>
      <c r="B194" s="1" t="s">
        <v>52</v>
      </c>
      <c r="C194" s="1" t="s">
        <v>36</v>
      </c>
      <c r="D194" s="1">
        <v>34.0</v>
      </c>
      <c r="E194" s="1">
        <v>60.0</v>
      </c>
      <c r="F194" s="1">
        <v>7.0</v>
      </c>
      <c r="G194" s="1">
        <v>6.0</v>
      </c>
      <c r="H194" s="1" t="s">
        <v>50</v>
      </c>
      <c r="I194" s="2">
        <v>45934.0</v>
      </c>
      <c r="J194" s="1">
        <v>175000.0</v>
      </c>
      <c r="K194" s="2">
        <v>45931.0</v>
      </c>
    </row>
    <row r="195" hidden="1">
      <c r="A195" s="1" t="s">
        <v>51</v>
      </c>
      <c r="B195" s="1" t="s">
        <v>52</v>
      </c>
      <c r="C195" s="1" t="s">
        <v>36</v>
      </c>
      <c r="D195" s="1">
        <v>21.0</v>
      </c>
      <c r="E195" s="1">
        <v>60.0</v>
      </c>
      <c r="F195" s="1">
        <v>9.0</v>
      </c>
      <c r="G195" s="1">
        <v>4.0</v>
      </c>
      <c r="H195" s="1" t="s">
        <v>50</v>
      </c>
      <c r="I195" s="2">
        <v>46067.0</v>
      </c>
      <c r="J195" s="1">
        <v>175000.0</v>
      </c>
      <c r="K195" s="2">
        <v>46054.0</v>
      </c>
    </row>
    <row r="196" hidden="1">
      <c r="A196" s="1" t="s">
        <v>28</v>
      </c>
      <c r="B196" s="1" t="s">
        <v>29</v>
      </c>
      <c r="C196" s="1" t="s">
        <v>23</v>
      </c>
      <c r="D196" s="1">
        <v>0.0</v>
      </c>
      <c r="E196" s="1">
        <v>35.0</v>
      </c>
      <c r="F196" s="1">
        <v>9.0</v>
      </c>
      <c r="G196" s="1">
        <v>6.0</v>
      </c>
      <c r="H196" s="1" t="s">
        <v>30</v>
      </c>
      <c r="I196" s="2">
        <v>45973.0</v>
      </c>
      <c r="J196" s="1">
        <v>1250000.0</v>
      </c>
      <c r="K196" s="2">
        <v>45962.0</v>
      </c>
    </row>
    <row r="197" hidden="1">
      <c r="A197" s="1" t="s">
        <v>31</v>
      </c>
      <c r="B197" s="1" t="s">
        <v>32</v>
      </c>
      <c r="C197" s="1" t="s">
        <v>13</v>
      </c>
      <c r="D197" s="1">
        <v>150.0</v>
      </c>
      <c r="E197" s="1">
        <v>40.0</v>
      </c>
      <c r="F197" s="1">
        <v>4.0</v>
      </c>
      <c r="G197" s="1">
        <v>4.0</v>
      </c>
      <c r="H197" s="1" t="s">
        <v>33</v>
      </c>
      <c r="I197" s="2">
        <v>46040.0</v>
      </c>
      <c r="J197" s="1">
        <v>550000.0</v>
      </c>
      <c r="K197" s="2">
        <v>46023.0</v>
      </c>
    </row>
    <row r="198" hidden="1">
      <c r="A198" s="1" t="s">
        <v>34</v>
      </c>
      <c r="B198" s="1" t="s">
        <v>35</v>
      </c>
      <c r="C198" s="1" t="s">
        <v>36</v>
      </c>
      <c r="D198" s="1">
        <v>18.0</v>
      </c>
      <c r="E198" s="1">
        <v>80.0</v>
      </c>
      <c r="F198" s="1">
        <v>10.0</v>
      </c>
      <c r="G198" s="1">
        <v>4.0</v>
      </c>
      <c r="H198" s="1" t="s">
        <v>37</v>
      </c>
      <c r="I198" s="2">
        <v>46024.0</v>
      </c>
      <c r="J198" s="1">
        <v>65000.0</v>
      </c>
      <c r="K198" s="2">
        <v>46023.0</v>
      </c>
    </row>
    <row r="199" hidden="1">
      <c r="A199" s="1" t="s">
        <v>28</v>
      </c>
      <c r="B199" s="1" t="s">
        <v>29</v>
      </c>
      <c r="C199" s="1" t="s">
        <v>23</v>
      </c>
      <c r="D199" s="1">
        <v>27.0</v>
      </c>
      <c r="E199" s="1">
        <v>35.0</v>
      </c>
      <c r="F199" s="1">
        <v>8.0</v>
      </c>
      <c r="G199" s="1">
        <v>6.0</v>
      </c>
      <c r="H199" s="1" t="s">
        <v>30</v>
      </c>
      <c r="I199" s="2">
        <v>46054.0</v>
      </c>
      <c r="J199" s="1">
        <v>1250000.0</v>
      </c>
      <c r="K199" s="2">
        <v>46054.0</v>
      </c>
    </row>
    <row r="200" hidden="1">
      <c r="A200" s="1" t="s">
        <v>44</v>
      </c>
      <c r="B200" s="1" t="s">
        <v>45</v>
      </c>
      <c r="C200" s="1" t="s">
        <v>42</v>
      </c>
      <c r="D200" s="1">
        <v>39.0</v>
      </c>
      <c r="E200" s="1">
        <v>30.0</v>
      </c>
      <c r="F200" s="1">
        <v>6.0</v>
      </c>
      <c r="G200" s="1">
        <v>10.0</v>
      </c>
      <c r="H200" s="1" t="s">
        <v>43</v>
      </c>
      <c r="I200" s="2">
        <v>45854.0</v>
      </c>
      <c r="J200" s="1">
        <v>350000.0</v>
      </c>
      <c r="K200" s="2">
        <v>45839.0</v>
      </c>
    </row>
    <row r="201" hidden="1">
      <c r="A201" s="1" t="s">
        <v>28</v>
      </c>
      <c r="B201" s="1" t="s">
        <v>29</v>
      </c>
      <c r="C201" s="1" t="s">
        <v>23</v>
      </c>
      <c r="D201" s="1">
        <v>10.0</v>
      </c>
      <c r="E201" s="1">
        <v>35.0</v>
      </c>
      <c r="F201" s="1">
        <v>7.0</v>
      </c>
      <c r="G201" s="1">
        <v>3.0</v>
      </c>
      <c r="H201" s="1" t="s">
        <v>30</v>
      </c>
      <c r="I201" s="2">
        <v>45929.0</v>
      </c>
      <c r="J201" s="1">
        <v>1250000.0</v>
      </c>
      <c r="K201" s="2">
        <v>45901.0</v>
      </c>
    </row>
    <row r="202" hidden="1">
      <c r="A202" s="1" t="s">
        <v>60</v>
      </c>
      <c r="B202" s="1" t="s">
        <v>61</v>
      </c>
      <c r="C202" s="1" t="s">
        <v>17</v>
      </c>
      <c r="D202" s="1">
        <v>7.0</v>
      </c>
      <c r="E202" s="1">
        <v>20.0</v>
      </c>
      <c r="F202" s="1">
        <v>2.0</v>
      </c>
      <c r="G202" s="1">
        <v>13.0</v>
      </c>
      <c r="H202" s="1" t="s">
        <v>27</v>
      </c>
      <c r="I202" s="2">
        <v>45861.0</v>
      </c>
      <c r="J202" s="1">
        <v>3200000.0</v>
      </c>
      <c r="K202" s="2">
        <v>45839.0</v>
      </c>
    </row>
    <row r="203" hidden="1">
      <c r="A203" s="1" t="s">
        <v>21</v>
      </c>
      <c r="B203" s="1" t="s">
        <v>22</v>
      </c>
      <c r="C203" s="1" t="s">
        <v>23</v>
      </c>
      <c r="D203" s="1">
        <v>13.0</v>
      </c>
      <c r="E203" s="1">
        <v>50.0</v>
      </c>
      <c r="F203" s="1">
        <v>8.0</v>
      </c>
      <c r="G203" s="1">
        <v>4.0</v>
      </c>
      <c r="H203" s="1" t="s">
        <v>24</v>
      </c>
      <c r="I203" s="2">
        <v>45691.0</v>
      </c>
      <c r="J203" s="1">
        <v>350000.0</v>
      </c>
      <c r="K203" s="2">
        <v>45689.0</v>
      </c>
    </row>
    <row r="204" hidden="1">
      <c r="A204" s="1" t="s">
        <v>40</v>
      </c>
      <c r="B204" s="1" t="s">
        <v>41</v>
      </c>
      <c r="C204" s="1" t="s">
        <v>42</v>
      </c>
      <c r="E204" s="1">
        <v>15.0</v>
      </c>
      <c r="F204" s="1">
        <v>2.0</v>
      </c>
      <c r="G204" s="1">
        <v>4.0</v>
      </c>
      <c r="H204" s="1" t="s">
        <v>43</v>
      </c>
      <c r="I204" s="2">
        <v>45688.0</v>
      </c>
      <c r="J204" s="1">
        <v>1200000.0</v>
      </c>
      <c r="K204" s="2">
        <v>45658.0</v>
      </c>
    </row>
    <row r="205" hidden="1">
      <c r="A205" s="1" t="s">
        <v>55</v>
      </c>
      <c r="B205" s="1" t="s">
        <v>56</v>
      </c>
      <c r="C205" s="1" t="s">
        <v>36</v>
      </c>
      <c r="D205" s="1">
        <v>19.0</v>
      </c>
      <c r="E205" s="1">
        <v>100.0</v>
      </c>
      <c r="F205" s="1">
        <v>16.0</v>
      </c>
      <c r="G205" s="1">
        <v>4.0</v>
      </c>
      <c r="H205" s="1" t="s">
        <v>37</v>
      </c>
      <c r="I205" s="2">
        <v>45965.0</v>
      </c>
      <c r="J205" s="1">
        <v>85000.0</v>
      </c>
      <c r="K205" s="2">
        <v>45962.0</v>
      </c>
    </row>
    <row r="206" hidden="1">
      <c r="A206" s="1" t="s">
        <v>55</v>
      </c>
      <c r="B206" s="1" t="s">
        <v>56</v>
      </c>
      <c r="C206" s="1" t="s">
        <v>36</v>
      </c>
      <c r="D206" s="1">
        <v>36.0</v>
      </c>
      <c r="E206" s="1">
        <v>100.0</v>
      </c>
      <c r="F206" s="1">
        <v>16.0</v>
      </c>
      <c r="G206" s="1">
        <v>5.0</v>
      </c>
      <c r="H206" s="1" t="s">
        <v>37</v>
      </c>
      <c r="I206" s="2">
        <v>45851.0</v>
      </c>
      <c r="J206" s="1">
        <v>85000.0</v>
      </c>
      <c r="K206" s="2">
        <v>45839.0</v>
      </c>
    </row>
    <row r="207" hidden="1">
      <c r="A207" s="1" t="s">
        <v>34</v>
      </c>
      <c r="B207" s="1" t="s">
        <v>35</v>
      </c>
      <c r="C207" s="1" t="s">
        <v>36</v>
      </c>
      <c r="D207" s="1">
        <v>33.0</v>
      </c>
      <c r="E207" s="1">
        <v>80.0</v>
      </c>
      <c r="F207" s="1">
        <v>13.0</v>
      </c>
      <c r="G207" s="1">
        <v>4.0</v>
      </c>
      <c r="H207" s="1" t="s">
        <v>37</v>
      </c>
      <c r="I207" s="2">
        <v>45697.0</v>
      </c>
      <c r="J207" s="1">
        <v>65000.0</v>
      </c>
      <c r="K207" s="2">
        <v>45689.0</v>
      </c>
    </row>
    <row r="208" hidden="1">
      <c r="A208" s="1" t="s">
        <v>15</v>
      </c>
      <c r="B208" s="1" t="s">
        <v>16</v>
      </c>
      <c r="C208" s="1" t="s">
        <v>17</v>
      </c>
      <c r="D208" s="1">
        <v>0.0</v>
      </c>
      <c r="E208" s="1">
        <v>15.0</v>
      </c>
      <c r="F208" s="1">
        <v>2.0</v>
      </c>
      <c r="G208" s="1">
        <v>8.0</v>
      </c>
      <c r="H208" s="1" t="s">
        <v>18</v>
      </c>
      <c r="I208" s="2">
        <v>45994.0</v>
      </c>
      <c r="J208" s="1">
        <v>8500000.0</v>
      </c>
      <c r="K208" s="2">
        <v>45992.0</v>
      </c>
    </row>
    <row r="209" hidden="1">
      <c r="A209" s="1" t="s">
        <v>19</v>
      </c>
      <c r="B209" s="1" t="s">
        <v>20</v>
      </c>
      <c r="C209" s="1" t="s">
        <v>17</v>
      </c>
      <c r="D209" s="1">
        <v>34.0</v>
      </c>
      <c r="E209" s="1">
        <v>30.0</v>
      </c>
      <c r="F209" s="1">
        <v>4.0</v>
      </c>
      <c r="G209" s="1">
        <v>5.0</v>
      </c>
      <c r="H209" s="1" t="s">
        <v>18</v>
      </c>
      <c r="I209" s="2">
        <v>46083.0</v>
      </c>
      <c r="J209" s="1">
        <v>1200000.0</v>
      </c>
      <c r="K209" s="2">
        <v>46082.0</v>
      </c>
    </row>
    <row r="210" hidden="1">
      <c r="A210" s="1" t="s">
        <v>62</v>
      </c>
      <c r="B210" s="1" t="s">
        <v>63</v>
      </c>
      <c r="C210" s="1" t="s">
        <v>13</v>
      </c>
      <c r="D210" s="1">
        <v>427.0</v>
      </c>
      <c r="E210" s="1">
        <v>80.0</v>
      </c>
      <c r="F210" s="1">
        <v>2.0</v>
      </c>
      <c r="G210" s="1">
        <v>5.0</v>
      </c>
      <c r="H210" s="1" t="s">
        <v>33</v>
      </c>
      <c r="I210" s="2">
        <v>45838.0</v>
      </c>
      <c r="J210" s="1">
        <v>85000.0</v>
      </c>
      <c r="K210" s="2">
        <v>45809.0</v>
      </c>
    </row>
    <row r="211" hidden="1">
      <c r="A211" s="1" t="s">
        <v>51</v>
      </c>
      <c r="B211" s="1" t="s">
        <v>52</v>
      </c>
      <c r="C211" s="1" t="s">
        <v>36</v>
      </c>
      <c r="D211" s="1">
        <v>14.0</v>
      </c>
      <c r="E211" s="1">
        <v>60.0</v>
      </c>
      <c r="F211" s="1">
        <v>8.0</v>
      </c>
      <c r="G211" s="1">
        <v>6.0</v>
      </c>
      <c r="H211" s="1" t="s">
        <v>50</v>
      </c>
      <c r="I211" s="2">
        <v>45930.0</v>
      </c>
      <c r="J211" s="1">
        <v>175000.0</v>
      </c>
      <c r="K211" s="2">
        <v>45901.0</v>
      </c>
    </row>
    <row r="212" hidden="1">
      <c r="A212" s="1" t="s">
        <v>25</v>
      </c>
      <c r="B212" s="1" t="s">
        <v>26</v>
      </c>
      <c r="C212" s="1" t="s">
        <v>17</v>
      </c>
      <c r="D212" s="1">
        <v>32.0</v>
      </c>
      <c r="E212" s="1">
        <v>25.0</v>
      </c>
      <c r="F212" s="1">
        <v>6.0</v>
      </c>
      <c r="G212" s="1">
        <v>17.0</v>
      </c>
      <c r="H212" s="1" t="s">
        <v>27</v>
      </c>
      <c r="I212" s="2">
        <v>46026.0</v>
      </c>
      <c r="J212" s="1">
        <v>4500000.0</v>
      </c>
      <c r="K212" s="2">
        <v>46023.0</v>
      </c>
    </row>
    <row r="213" hidden="1">
      <c r="A213" s="1" t="s">
        <v>11</v>
      </c>
      <c r="B213" s="1" t="s">
        <v>12</v>
      </c>
      <c r="C213" s="1" t="s">
        <v>13</v>
      </c>
      <c r="E213" s="1">
        <v>50.0</v>
      </c>
      <c r="F213" s="1">
        <v>1.0</v>
      </c>
      <c r="G213" s="1">
        <v>7.0</v>
      </c>
      <c r="H213" s="1" t="s">
        <v>14</v>
      </c>
      <c r="I213" s="2">
        <v>45885.0</v>
      </c>
      <c r="J213" s="1">
        <v>125000.0</v>
      </c>
      <c r="K213" s="2">
        <v>45870.0</v>
      </c>
    </row>
    <row r="214" hidden="1">
      <c r="A214" s="1" t="s">
        <v>15</v>
      </c>
      <c r="B214" s="1" t="s">
        <v>16</v>
      </c>
      <c r="C214" s="1" t="s">
        <v>17</v>
      </c>
      <c r="D214" s="1">
        <v>28.0</v>
      </c>
      <c r="E214" s="1">
        <v>15.0</v>
      </c>
      <c r="F214" s="1">
        <v>1.0</v>
      </c>
      <c r="G214" s="1">
        <v>6.0</v>
      </c>
      <c r="H214" s="1" t="s">
        <v>18</v>
      </c>
      <c r="I214" s="2">
        <v>45800.0</v>
      </c>
      <c r="J214" s="1">
        <v>8500000.0</v>
      </c>
      <c r="K214" s="2">
        <v>45778.0</v>
      </c>
    </row>
    <row r="215" hidden="1">
      <c r="A215" s="1" t="s">
        <v>64</v>
      </c>
      <c r="B215" s="1" t="s">
        <v>65</v>
      </c>
      <c r="C215" s="1" t="s">
        <v>42</v>
      </c>
      <c r="D215" s="1">
        <v>21.0</v>
      </c>
      <c r="E215" s="1">
        <v>20.0</v>
      </c>
      <c r="F215" s="1">
        <v>2.0</v>
      </c>
      <c r="G215" s="1">
        <v>9.0</v>
      </c>
      <c r="H215" s="1" t="s">
        <v>59</v>
      </c>
      <c r="I215" s="2">
        <v>45724.0</v>
      </c>
      <c r="J215" s="1">
        <v>750000.0</v>
      </c>
      <c r="K215" s="2">
        <v>45717.0</v>
      </c>
    </row>
    <row r="216" hidden="1">
      <c r="A216" s="1" t="s">
        <v>60</v>
      </c>
      <c r="B216" s="1" t="s">
        <v>61</v>
      </c>
      <c r="C216" s="1" t="s">
        <v>17</v>
      </c>
      <c r="D216" s="1">
        <v>12.0</v>
      </c>
      <c r="E216" s="1">
        <v>20.0</v>
      </c>
      <c r="F216" s="1">
        <v>2.0</v>
      </c>
      <c r="G216" s="1">
        <v>16.0</v>
      </c>
      <c r="H216" s="1" t="s">
        <v>27</v>
      </c>
      <c r="I216" s="2">
        <v>45724.0</v>
      </c>
      <c r="J216" s="1">
        <v>3200000.0</v>
      </c>
      <c r="K216" s="2">
        <v>45717.0</v>
      </c>
    </row>
    <row r="217" hidden="1">
      <c r="A217" s="1" t="s">
        <v>48</v>
      </c>
      <c r="B217" s="1" t="s">
        <v>49</v>
      </c>
      <c r="C217" s="1" t="s">
        <v>36</v>
      </c>
      <c r="D217" s="1">
        <v>72.0</v>
      </c>
      <c r="E217" s="1">
        <v>120.0</v>
      </c>
      <c r="F217" s="1">
        <v>18.0</v>
      </c>
      <c r="G217" s="1">
        <v>7.0</v>
      </c>
      <c r="H217" s="1" t="s">
        <v>50</v>
      </c>
      <c r="I217" s="2">
        <v>45815.0</v>
      </c>
      <c r="J217" s="1">
        <v>55000.0</v>
      </c>
      <c r="K217" s="2">
        <v>45809.0</v>
      </c>
    </row>
    <row r="218" hidden="1">
      <c r="A218" s="1" t="s">
        <v>40</v>
      </c>
      <c r="B218" s="1" t="s">
        <v>41</v>
      </c>
      <c r="C218" s="1" t="s">
        <v>42</v>
      </c>
      <c r="D218" s="1">
        <v>33.0</v>
      </c>
      <c r="E218" s="1">
        <v>15.0</v>
      </c>
      <c r="F218" s="1">
        <v>2.0</v>
      </c>
      <c r="G218" s="1">
        <v>10.0</v>
      </c>
      <c r="H218" s="1" t="s">
        <v>43</v>
      </c>
      <c r="I218" s="2">
        <v>46032.0</v>
      </c>
      <c r="J218" s="1">
        <v>1200000.0</v>
      </c>
      <c r="K218" s="2">
        <v>46023.0</v>
      </c>
    </row>
    <row r="219" hidden="1">
      <c r="A219" s="1" t="s">
        <v>53</v>
      </c>
      <c r="B219" s="1" t="s">
        <v>54</v>
      </c>
      <c r="C219" s="1" t="s">
        <v>13</v>
      </c>
      <c r="D219" s="1">
        <v>246.0</v>
      </c>
      <c r="E219" s="1">
        <v>60.0</v>
      </c>
      <c r="F219" s="1">
        <v>3.0</v>
      </c>
      <c r="G219" s="1">
        <v>7.0</v>
      </c>
      <c r="H219" s="1" t="s">
        <v>14</v>
      </c>
      <c r="I219" s="2">
        <v>46049.0</v>
      </c>
      <c r="J219" s="1">
        <v>165000.0</v>
      </c>
      <c r="K219" s="2">
        <v>46023.0</v>
      </c>
    </row>
    <row r="220" hidden="1">
      <c r="A220" s="1" t="s">
        <v>34</v>
      </c>
      <c r="B220" s="1" t="s">
        <v>35</v>
      </c>
      <c r="C220" s="1" t="s">
        <v>36</v>
      </c>
      <c r="D220" s="1">
        <v>64.0</v>
      </c>
      <c r="E220" s="1">
        <v>80.0</v>
      </c>
      <c r="F220" s="1">
        <v>13.0</v>
      </c>
      <c r="G220" s="1">
        <v>5.0</v>
      </c>
      <c r="H220" s="1" t="s">
        <v>37</v>
      </c>
      <c r="I220" s="2">
        <v>45970.0</v>
      </c>
      <c r="J220" s="1">
        <v>65000.0</v>
      </c>
      <c r="K220" s="2">
        <v>45962.0</v>
      </c>
    </row>
    <row r="221" hidden="1">
      <c r="A221" s="1" t="s">
        <v>57</v>
      </c>
      <c r="B221" s="1" t="s">
        <v>58</v>
      </c>
      <c r="C221" s="1" t="s">
        <v>42</v>
      </c>
      <c r="D221" s="1">
        <v>37.0</v>
      </c>
      <c r="E221" s="1">
        <v>25.0</v>
      </c>
      <c r="F221" s="1">
        <v>1.0</v>
      </c>
      <c r="G221" s="1">
        <v>9.0</v>
      </c>
      <c r="H221" s="1" t="s">
        <v>59</v>
      </c>
      <c r="I221" s="2">
        <v>45775.0</v>
      </c>
      <c r="J221" s="1">
        <v>450000.0</v>
      </c>
      <c r="K221" s="2">
        <v>45748.0</v>
      </c>
    </row>
    <row r="222" hidden="1">
      <c r="A222" s="1" t="s">
        <v>21</v>
      </c>
      <c r="B222" s="1" t="s">
        <v>22</v>
      </c>
      <c r="C222" s="1" t="s">
        <v>23</v>
      </c>
      <c r="D222" s="1">
        <v>0.0</v>
      </c>
      <c r="E222" s="1">
        <v>50.0</v>
      </c>
      <c r="F222" s="1">
        <v>13.0</v>
      </c>
      <c r="G222" s="1">
        <v>3.0</v>
      </c>
      <c r="H222" s="1" t="s">
        <v>24</v>
      </c>
      <c r="I222" s="2">
        <v>45747.0</v>
      </c>
      <c r="J222" s="1">
        <v>350000.0</v>
      </c>
      <c r="K222" s="2">
        <v>45717.0</v>
      </c>
    </row>
    <row r="223" hidden="1">
      <c r="A223" s="1" t="s">
        <v>53</v>
      </c>
      <c r="B223" s="1" t="s">
        <v>54</v>
      </c>
      <c r="C223" s="1" t="s">
        <v>13</v>
      </c>
      <c r="D223" s="1">
        <v>230.0</v>
      </c>
      <c r="E223" s="1">
        <v>60.0</v>
      </c>
      <c r="F223" s="1">
        <v>2.0</v>
      </c>
      <c r="G223" s="1">
        <v>8.0</v>
      </c>
      <c r="H223" s="1" t="s">
        <v>14</v>
      </c>
      <c r="I223" s="2">
        <v>45817.0</v>
      </c>
      <c r="J223" s="1">
        <v>165000.0</v>
      </c>
      <c r="K223" s="2">
        <v>45809.0</v>
      </c>
    </row>
    <row r="224" hidden="1">
      <c r="A224" s="1" t="s">
        <v>57</v>
      </c>
      <c r="B224" s="1" t="s">
        <v>58</v>
      </c>
      <c r="C224" s="1" t="s">
        <v>42</v>
      </c>
      <c r="D224" s="1">
        <v>52.0</v>
      </c>
      <c r="E224" s="1">
        <v>25.0</v>
      </c>
      <c r="F224" s="1">
        <v>4.0</v>
      </c>
      <c r="G224" s="1">
        <v>9.0</v>
      </c>
      <c r="H224" s="1" t="s">
        <v>59</v>
      </c>
      <c r="I224" s="2">
        <v>45671.0</v>
      </c>
      <c r="J224" s="1">
        <v>450000.0</v>
      </c>
      <c r="K224" s="2">
        <v>45658.0</v>
      </c>
    </row>
    <row r="225" hidden="1">
      <c r="A225" s="1" t="s">
        <v>64</v>
      </c>
      <c r="B225" s="1" t="s">
        <v>65</v>
      </c>
      <c r="C225" s="1" t="s">
        <v>42</v>
      </c>
      <c r="D225" s="1">
        <v>47.0</v>
      </c>
      <c r="E225" s="1">
        <v>20.0</v>
      </c>
      <c r="F225" s="1">
        <v>4.0</v>
      </c>
      <c r="G225" s="1">
        <v>9.0</v>
      </c>
      <c r="H225" s="1" t="s">
        <v>59</v>
      </c>
      <c r="I225" s="2">
        <v>45909.0</v>
      </c>
      <c r="J225" s="1">
        <v>750000.0</v>
      </c>
      <c r="K225" s="2">
        <v>45901.0</v>
      </c>
    </row>
    <row r="226" hidden="1">
      <c r="A226" s="1" t="s">
        <v>31</v>
      </c>
      <c r="B226" s="1" t="s">
        <v>32</v>
      </c>
      <c r="C226" s="1" t="s">
        <v>13</v>
      </c>
      <c r="D226" s="1">
        <v>153.0</v>
      </c>
      <c r="E226" s="1">
        <v>40.0</v>
      </c>
      <c r="F226" s="1">
        <v>4.0</v>
      </c>
      <c r="G226" s="1">
        <v>5.0</v>
      </c>
      <c r="H226" s="1" t="s">
        <v>33</v>
      </c>
      <c r="I226" s="2">
        <v>46097.0</v>
      </c>
      <c r="J226" s="1">
        <v>550000.0</v>
      </c>
      <c r="K226" s="2">
        <v>46082.0</v>
      </c>
    </row>
    <row r="227" hidden="1">
      <c r="A227" s="1" t="s">
        <v>15</v>
      </c>
      <c r="B227" s="1" t="s">
        <v>16</v>
      </c>
      <c r="C227" s="1" t="s">
        <v>17</v>
      </c>
      <c r="D227" s="1">
        <v>19.0</v>
      </c>
      <c r="E227" s="1">
        <v>15.0</v>
      </c>
      <c r="F227" s="1">
        <v>3.0</v>
      </c>
      <c r="G227" s="1">
        <v>5.0</v>
      </c>
      <c r="H227" s="1" t="s">
        <v>18</v>
      </c>
      <c r="I227" s="2">
        <v>45903.0</v>
      </c>
      <c r="J227" s="1">
        <v>8500000.0</v>
      </c>
      <c r="K227" s="2">
        <v>45901.0</v>
      </c>
    </row>
    <row r="228" hidden="1">
      <c r="A228" s="1" t="s">
        <v>21</v>
      </c>
      <c r="B228" s="1" t="s">
        <v>22</v>
      </c>
      <c r="C228" s="1" t="s">
        <v>23</v>
      </c>
      <c r="D228" s="1">
        <v>0.0</v>
      </c>
      <c r="E228" s="1">
        <v>50.0</v>
      </c>
      <c r="F228" s="1">
        <v>12.0</v>
      </c>
      <c r="G228" s="1">
        <v>5.0</v>
      </c>
      <c r="H228" s="1" t="s">
        <v>24</v>
      </c>
      <c r="I228" s="2">
        <v>45971.0</v>
      </c>
      <c r="J228" s="1">
        <v>350000.0</v>
      </c>
      <c r="K228" s="2">
        <v>45962.0</v>
      </c>
    </row>
    <row r="229" hidden="1">
      <c r="A229" s="1" t="s">
        <v>51</v>
      </c>
      <c r="B229" s="1" t="s">
        <v>52</v>
      </c>
      <c r="C229" s="1" t="s">
        <v>36</v>
      </c>
      <c r="D229" s="1">
        <v>37.0</v>
      </c>
      <c r="E229" s="1">
        <v>60.0</v>
      </c>
      <c r="F229" s="1">
        <v>8.0</v>
      </c>
      <c r="G229" s="1">
        <v>5.0</v>
      </c>
      <c r="H229" s="1" t="s">
        <v>50</v>
      </c>
      <c r="I229" s="2">
        <v>45795.0</v>
      </c>
      <c r="J229" s="1">
        <v>175000.0</v>
      </c>
      <c r="K229" s="2">
        <v>45778.0</v>
      </c>
    </row>
    <row r="230" hidden="1">
      <c r="A230" s="1" t="s">
        <v>21</v>
      </c>
      <c r="B230" s="1" t="s">
        <v>22</v>
      </c>
      <c r="C230" s="1" t="s">
        <v>23</v>
      </c>
      <c r="D230" s="1">
        <v>49.0</v>
      </c>
      <c r="E230" s="1">
        <v>50.0</v>
      </c>
      <c r="F230" s="1">
        <v>5.0</v>
      </c>
      <c r="H230" s="1" t="s">
        <v>24</v>
      </c>
      <c r="I230" s="2">
        <v>45784.0</v>
      </c>
      <c r="J230" s="1">
        <v>350000.0</v>
      </c>
      <c r="K230" s="2">
        <v>45778.0</v>
      </c>
    </row>
    <row r="231" hidden="1">
      <c r="A231" s="1" t="s">
        <v>60</v>
      </c>
      <c r="B231" s="1" t="s">
        <v>61</v>
      </c>
      <c r="C231" s="1" t="s">
        <v>17</v>
      </c>
      <c r="D231" s="1">
        <v>22.0</v>
      </c>
      <c r="E231" s="1">
        <v>20.0</v>
      </c>
      <c r="F231" s="1">
        <v>4.0</v>
      </c>
      <c r="G231" s="1">
        <v>8.0</v>
      </c>
      <c r="H231" s="1" t="s">
        <v>27</v>
      </c>
      <c r="I231" s="2">
        <v>46103.0</v>
      </c>
      <c r="J231" s="1">
        <v>3200000.0</v>
      </c>
      <c r="K231" s="2">
        <v>46082.0</v>
      </c>
    </row>
    <row r="232" hidden="1">
      <c r="A232" s="1" t="s">
        <v>55</v>
      </c>
      <c r="B232" s="1" t="s">
        <v>56</v>
      </c>
      <c r="C232" s="1" t="s">
        <v>36</v>
      </c>
      <c r="D232" s="1">
        <v>58.0</v>
      </c>
      <c r="E232" s="1">
        <v>100.0</v>
      </c>
      <c r="F232" s="1">
        <v>14.0</v>
      </c>
      <c r="G232" s="1">
        <v>3.0</v>
      </c>
      <c r="H232" s="1" t="s">
        <v>37</v>
      </c>
      <c r="I232" s="2">
        <v>45951.0</v>
      </c>
      <c r="J232" s="1">
        <v>85000.0</v>
      </c>
      <c r="K232" s="2">
        <v>45931.0</v>
      </c>
    </row>
    <row r="233" hidden="1">
      <c r="A233" s="1" t="s">
        <v>40</v>
      </c>
      <c r="B233" s="1" t="s">
        <v>41</v>
      </c>
      <c r="C233" s="1" t="s">
        <v>42</v>
      </c>
      <c r="D233" s="1">
        <v>14.0</v>
      </c>
      <c r="E233" s="1">
        <v>15.0</v>
      </c>
      <c r="F233" s="1">
        <v>2.0</v>
      </c>
      <c r="G233" s="1">
        <v>5.0</v>
      </c>
      <c r="H233" s="1" t="s">
        <v>43</v>
      </c>
      <c r="I233" s="2">
        <v>45858.0</v>
      </c>
      <c r="J233" s="1">
        <v>1200000.0</v>
      </c>
      <c r="K233" s="2">
        <v>45839.0</v>
      </c>
    </row>
    <row r="234" hidden="1">
      <c r="A234" s="1" t="s">
        <v>60</v>
      </c>
      <c r="B234" s="1" t="s">
        <v>61</v>
      </c>
      <c r="C234" s="1" t="s">
        <v>17</v>
      </c>
      <c r="D234" s="1">
        <v>0.0</v>
      </c>
      <c r="E234" s="1">
        <v>20.0</v>
      </c>
      <c r="F234" s="1">
        <v>4.0</v>
      </c>
      <c r="G234" s="1">
        <v>17.0</v>
      </c>
      <c r="H234" s="1" t="s">
        <v>27</v>
      </c>
      <c r="I234" s="2">
        <v>45964.0</v>
      </c>
      <c r="J234" s="1">
        <v>3200000.0</v>
      </c>
      <c r="K234" s="2">
        <v>45962.0</v>
      </c>
    </row>
    <row r="235" hidden="1">
      <c r="A235" s="1" t="s">
        <v>64</v>
      </c>
      <c r="B235" s="1" t="s">
        <v>65</v>
      </c>
      <c r="C235" s="1" t="s">
        <v>42</v>
      </c>
      <c r="D235" s="1">
        <v>26.0</v>
      </c>
      <c r="E235" s="1">
        <v>20.0</v>
      </c>
      <c r="F235" s="1">
        <v>2.0</v>
      </c>
      <c r="G235" s="1">
        <v>10.0</v>
      </c>
      <c r="H235" s="1" t="s">
        <v>59</v>
      </c>
      <c r="I235" s="2">
        <v>45762.0</v>
      </c>
      <c r="J235" s="1">
        <v>750000.0</v>
      </c>
      <c r="K235" s="2">
        <v>45748.0</v>
      </c>
    </row>
    <row r="236" hidden="1">
      <c r="A236" s="1" t="s">
        <v>48</v>
      </c>
      <c r="B236" s="1" t="s">
        <v>49</v>
      </c>
      <c r="C236" s="1" t="s">
        <v>36</v>
      </c>
      <c r="D236" s="1">
        <v>12.0</v>
      </c>
      <c r="E236" s="1">
        <v>120.0</v>
      </c>
      <c r="F236" s="1">
        <v>21.0</v>
      </c>
      <c r="G236" s="1">
        <v>5.0</v>
      </c>
      <c r="H236" s="1" t="s">
        <v>50</v>
      </c>
      <c r="I236" s="2">
        <v>45706.0</v>
      </c>
      <c r="J236" s="1">
        <v>55000.0</v>
      </c>
      <c r="K236" s="2">
        <v>45689.0</v>
      </c>
    </row>
    <row r="237" hidden="1">
      <c r="A237" s="1" t="s">
        <v>53</v>
      </c>
      <c r="B237" s="1" t="s">
        <v>54</v>
      </c>
      <c r="C237" s="1" t="s">
        <v>13</v>
      </c>
      <c r="D237" s="1">
        <v>292.0</v>
      </c>
      <c r="E237" s="1">
        <v>60.0</v>
      </c>
      <c r="F237" s="1">
        <v>3.0</v>
      </c>
      <c r="G237" s="1">
        <v>8.0</v>
      </c>
      <c r="H237" s="1" t="s">
        <v>14</v>
      </c>
      <c r="I237" s="2">
        <v>45869.0</v>
      </c>
      <c r="J237" s="1">
        <v>165000.0</v>
      </c>
      <c r="K237" s="2">
        <v>45839.0</v>
      </c>
    </row>
    <row r="238" hidden="1">
      <c r="A238" s="1" t="s">
        <v>40</v>
      </c>
      <c r="B238" s="1" t="s">
        <v>41</v>
      </c>
      <c r="C238" s="1" t="s">
        <v>42</v>
      </c>
      <c r="D238" s="1">
        <v>18.0</v>
      </c>
      <c r="E238" s="1">
        <v>15.0</v>
      </c>
      <c r="F238" s="1">
        <v>3.0</v>
      </c>
      <c r="G238" s="1">
        <v>5.0</v>
      </c>
      <c r="H238" s="1" t="s">
        <v>43</v>
      </c>
      <c r="I238" s="2">
        <v>45774.0</v>
      </c>
      <c r="J238" s="1">
        <v>1200000.0</v>
      </c>
      <c r="K238" s="2">
        <v>45748.0</v>
      </c>
    </row>
    <row r="239" hidden="1">
      <c r="A239" s="1" t="s">
        <v>25</v>
      </c>
      <c r="B239" s="1" t="s">
        <v>26</v>
      </c>
      <c r="C239" s="1" t="s">
        <v>17</v>
      </c>
      <c r="D239" s="1">
        <v>29.0</v>
      </c>
      <c r="E239" s="1">
        <v>25.0</v>
      </c>
      <c r="F239" s="1">
        <v>4.0</v>
      </c>
      <c r="G239" s="1">
        <v>11.0</v>
      </c>
      <c r="H239" s="1" t="s">
        <v>27</v>
      </c>
      <c r="I239" s="2">
        <v>45917.0</v>
      </c>
      <c r="J239" s="1">
        <v>4500000.0</v>
      </c>
      <c r="K239" s="2">
        <v>45901.0</v>
      </c>
    </row>
    <row r="240" hidden="1">
      <c r="A240" s="1" t="s">
        <v>48</v>
      </c>
      <c r="B240" s="1" t="s">
        <v>49</v>
      </c>
      <c r="C240" s="1" t="s">
        <v>36</v>
      </c>
      <c r="D240" s="1">
        <v>68.0</v>
      </c>
      <c r="E240" s="1">
        <v>120.0</v>
      </c>
      <c r="F240" s="1">
        <v>16.0</v>
      </c>
      <c r="G240" s="1">
        <v>6.0</v>
      </c>
      <c r="H240" s="1" t="s">
        <v>50</v>
      </c>
      <c r="I240" s="2">
        <v>45672.0</v>
      </c>
      <c r="J240" s="1">
        <v>55000.0</v>
      </c>
      <c r="K240" s="2">
        <v>45658.0</v>
      </c>
    </row>
    <row r="241">
      <c r="A241" s="1" t="s">
        <v>46</v>
      </c>
      <c r="B241" s="1" t="s">
        <v>47</v>
      </c>
      <c r="C241" s="1" t="s">
        <v>23</v>
      </c>
      <c r="D241" s="1">
        <v>35.0</v>
      </c>
      <c r="E241" s="1">
        <v>40.0</v>
      </c>
      <c r="F241" s="1">
        <v>4.0</v>
      </c>
      <c r="G241" s="1">
        <v>5.0</v>
      </c>
      <c r="H241" s="1" t="s">
        <v>30</v>
      </c>
      <c r="I241" s="2">
        <v>46161.0</v>
      </c>
      <c r="J241" s="1">
        <v>550000.0</v>
      </c>
      <c r="K241" s="2">
        <v>45809.0</v>
      </c>
    </row>
    <row r="242" hidden="1">
      <c r="A242" s="1" t="s">
        <v>38</v>
      </c>
      <c r="B242" s="1" t="s">
        <v>39</v>
      </c>
      <c r="C242" s="1" t="s">
        <v>23</v>
      </c>
      <c r="D242" s="1">
        <v>15.0</v>
      </c>
      <c r="E242" s="1">
        <v>45.0</v>
      </c>
      <c r="F242" s="1">
        <v>7.0</v>
      </c>
      <c r="G242" s="1">
        <v>4.0</v>
      </c>
      <c r="H242" s="1" t="s">
        <v>24</v>
      </c>
      <c r="I242" s="2">
        <v>45856.0</v>
      </c>
      <c r="J242" s="1">
        <v>450000.0</v>
      </c>
      <c r="K242" s="2">
        <v>45839.0</v>
      </c>
    </row>
    <row r="243" hidden="1">
      <c r="A243" s="1" t="s">
        <v>11</v>
      </c>
      <c r="B243" s="1" t="s">
        <v>12</v>
      </c>
      <c r="C243" s="1" t="s">
        <v>13</v>
      </c>
      <c r="D243" s="1">
        <v>172.0</v>
      </c>
      <c r="E243" s="1">
        <v>50.0</v>
      </c>
      <c r="F243" s="1">
        <v>2.0</v>
      </c>
      <c r="G243" s="1">
        <v>6.0</v>
      </c>
      <c r="H243" s="1" t="s">
        <v>14</v>
      </c>
      <c r="I243" s="2">
        <v>46018.0</v>
      </c>
      <c r="J243" s="1">
        <v>125000.0</v>
      </c>
      <c r="K243" s="2">
        <v>45992.0</v>
      </c>
    </row>
    <row r="244" hidden="1">
      <c r="A244" s="1" t="s">
        <v>62</v>
      </c>
      <c r="B244" s="1" t="s">
        <v>63</v>
      </c>
      <c r="C244" s="1" t="s">
        <v>13</v>
      </c>
      <c r="D244" s="1">
        <v>392.0</v>
      </c>
      <c r="E244" s="1">
        <v>80.0</v>
      </c>
      <c r="F244" s="1">
        <v>3.0</v>
      </c>
      <c r="G244" s="1">
        <v>6.0</v>
      </c>
      <c r="H244" s="1" t="s">
        <v>33</v>
      </c>
      <c r="I244" s="2">
        <v>46030.0</v>
      </c>
      <c r="J244" s="1">
        <v>85000.0</v>
      </c>
      <c r="K244" s="2">
        <v>46023.0</v>
      </c>
    </row>
    <row r="245" hidden="1">
      <c r="A245" s="1" t="s">
        <v>53</v>
      </c>
      <c r="B245" s="1" t="s">
        <v>54</v>
      </c>
      <c r="C245" s="1" t="s">
        <v>13</v>
      </c>
      <c r="D245" s="1">
        <v>205.0</v>
      </c>
      <c r="E245" s="1">
        <v>60.0</v>
      </c>
      <c r="F245" s="1">
        <v>4.0</v>
      </c>
      <c r="G245" s="1">
        <v>7.0</v>
      </c>
      <c r="H245" s="1" t="s">
        <v>14</v>
      </c>
      <c r="I245" s="2">
        <v>45739.0</v>
      </c>
      <c r="J245" s="1">
        <v>165000.0</v>
      </c>
      <c r="K245" s="2">
        <v>45717.0</v>
      </c>
    </row>
    <row r="246" hidden="1">
      <c r="A246" s="1" t="s">
        <v>60</v>
      </c>
      <c r="B246" s="1" t="s">
        <v>61</v>
      </c>
      <c r="C246" s="1" t="s">
        <v>17</v>
      </c>
      <c r="D246" s="1">
        <v>7.0</v>
      </c>
      <c r="E246" s="1">
        <v>20.0</v>
      </c>
      <c r="F246" s="1">
        <v>2.0</v>
      </c>
      <c r="G246" s="1">
        <v>7.0</v>
      </c>
      <c r="H246" s="1" t="s">
        <v>27</v>
      </c>
      <c r="I246" s="2">
        <v>45933.0</v>
      </c>
      <c r="J246" s="1">
        <v>3200000.0</v>
      </c>
      <c r="K246" s="2">
        <v>45931.0</v>
      </c>
    </row>
    <row r="247" hidden="1">
      <c r="A247" s="1" t="s">
        <v>55</v>
      </c>
      <c r="B247" s="1" t="s">
        <v>56</v>
      </c>
      <c r="C247" s="1" t="s">
        <v>36</v>
      </c>
      <c r="D247" s="1">
        <v>60.0</v>
      </c>
      <c r="E247" s="1">
        <v>100.0</v>
      </c>
      <c r="F247" s="1">
        <v>22.0</v>
      </c>
      <c r="G247" s="1">
        <v>5.0</v>
      </c>
      <c r="H247" s="1" t="s">
        <v>37</v>
      </c>
      <c r="I247" s="2">
        <v>46109.0</v>
      </c>
      <c r="J247" s="1">
        <v>85000.0</v>
      </c>
      <c r="K247" s="2">
        <v>46082.0</v>
      </c>
    </row>
    <row r="248" hidden="1">
      <c r="A248" s="1" t="s">
        <v>11</v>
      </c>
      <c r="B248" s="1" t="s">
        <v>12</v>
      </c>
      <c r="C248" s="1" t="s">
        <v>13</v>
      </c>
      <c r="D248" s="1">
        <v>230.0</v>
      </c>
      <c r="E248" s="1">
        <v>50.0</v>
      </c>
      <c r="F248" s="1">
        <v>1.0</v>
      </c>
      <c r="G248" s="1">
        <v>4.0</v>
      </c>
      <c r="H248" s="1" t="s">
        <v>14</v>
      </c>
      <c r="I248" s="2">
        <v>45939.0</v>
      </c>
      <c r="J248" s="1">
        <v>125000.0</v>
      </c>
      <c r="K248" s="2">
        <v>45931.0</v>
      </c>
    </row>
    <row r="249" hidden="1">
      <c r="A249" s="1" t="s">
        <v>34</v>
      </c>
      <c r="B249" s="1" t="s">
        <v>35</v>
      </c>
      <c r="C249" s="1" t="s">
        <v>36</v>
      </c>
      <c r="D249" s="1">
        <v>0.0</v>
      </c>
      <c r="E249" s="1">
        <v>80.0</v>
      </c>
      <c r="F249" s="1">
        <v>17.0</v>
      </c>
      <c r="G249" s="1">
        <v>5.0</v>
      </c>
      <c r="H249" s="1" t="s">
        <v>37</v>
      </c>
      <c r="I249" s="2">
        <v>46012.0</v>
      </c>
      <c r="J249" s="1">
        <v>65000.0</v>
      </c>
      <c r="K249" s="2">
        <v>45992.0</v>
      </c>
    </row>
    <row r="250" hidden="1">
      <c r="A250" s="1" t="s">
        <v>62</v>
      </c>
      <c r="B250" s="1" t="s">
        <v>63</v>
      </c>
      <c r="C250" s="1" t="s">
        <v>13</v>
      </c>
      <c r="D250" s="1">
        <v>302.0</v>
      </c>
      <c r="E250" s="1">
        <v>80.0</v>
      </c>
      <c r="F250" s="1">
        <v>3.0</v>
      </c>
      <c r="G250" s="1">
        <v>5.0</v>
      </c>
      <c r="H250" s="1" t="s">
        <v>33</v>
      </c>
      <c r="I250" s="2">
        <v>45797.0</v>
      </c>
      <c r="J250" s="1">
        <v>85000.0</v>
      </c>
      <c r="K250" s="2">
        <v>45778.0</v>
      </c>
    </row>
    <row r="251" hidden="1">
      <c r="A251" s="1" t="s">
        <v>15</v>
      </c>
      <c r="B251" s="1" t="s">
        <v>16</v>
      </c>
      <c r="C251" s="1" t="s">
        <v>17</v>
      </c>
      <c r="D251" s="1">
        <v>9.0</v>
      </c>
      <c r="E251" s="1">
        <v>15.0</v>
      </c>
      <c r="F251" s="1">
        <v>1.0</v>
      </c>
      <c r="G251" s="1">
        <v>6.0</v>
      </c>
      <c r="H251" s="1" t="s">
        <v>18</v>
      </c>
      <c r="I251" s="2">
        <v>46109.0</v>
      </c>
      <c r="J251" s="1">
        <v>8500000.0</v>
      </c>
      <c r="K251" s="2">
        <v>46082.0</v>
      </c>
    </row>
    <row r="252" hidden="1">
      <c r="A252" s="1" t="s">
        <v>19</v>
      </c>
      <c r="B252" s="1" t="s">
        <v>20</v>
      </c>
      <c r="C252" s="1" t="s">
        <v>17</v>
      </c>
      <c r="D252" s="1">
        <v>26.0</v>
      </c>
      <c r="E252" s="1">
        <v>30.0</v>
      </c>
      <c r="F252" s="1">
        <v>2.0</v>
      </c>
      <c r="G252" s="1">
        <v>9.0</v>
      </c>
      <c r="H252" s="1" t="s">
        <v>18</v>
      </c>
      <c r="I252" s="2">
        <v>45731.0</v>
      </c>
      <c r="J252" s="1">
        <v>1200000.0</v>
      </c>
      <c r="K252" s="2">
        <v>45717.0</v>
      </c>
    </row>
    <row r="253" hidden="1">
      <c r="A253" s="1" t="s">
        <v>28</v>
      </c>
      <c r="B253" s="1" t="s">
        <v>29</v>
      </c>
      <c r="C253" s="1" t="s">
        <v>23</v>
      </c>
      <c r="D253" s="1">
        <v>20.0</v>
      </c>
      <c r="E253" s="1">
        <v>35.0</v>
      </c>
      <c r="F253" s="1">
        <v>5.0</v>
      </c>
      <c r="G253" s="1">
        <v>8.0</v>
      </c>
      <c r="H253" s="1" t="s">
        <v>30</v>
      </c>
      <c r="I253" s="2">
        <v>45784.0</v>
      </c>
      <c r="J253" s="1">
        <v>1250000.0</v>
      </c>
      <c r="K253" s="2">
        <v>45778.0</v>
      </c>
    </row>
    <row r="254" hidden="1">
      <c r="A254" s="1" t="s">
        <v>51</v>
      </c>
      <c r="B254" s="1" t="s">
        <v>52</v>
      </c>
      <c r="C254" s="1" t="s">
        <v>36</v>
      </c>
      <c r="D254" s="1">
        <v>15.0</v>
      </c>
      <c r="E254" s="1">
        <v>60.0</v>
      </c>
      <c r="F254" s="1">
        <v>7.0</v>
      </c>
      <c r="G254" s="1">
        <v>5.0</v>
      </c>
      <c r="H254" s="1" t="s">
        <v>50</v>
      </c>
      <c r="I254" s="2">
        <v>45827.0</v>
      </c>
      <c r="J254" s="1">
        <v>175000.0</v>
      </c>
      <c r="K254" s="2">
        <v>45809.0</v>
      </c>
    </row>
    <row r="255" hidden="1">
      <c r="A255" s="1" t="s">
        <v>11</v>
      </c>
      <c r="B255" s="1" t="s">
        <v>12</v>
      </c>
      <c r="C255" s="1" t="s">
        <v>13</v>
      </c>
      <c r="D255" s="1">
        <v>-15.0</v>
      </c>
      <c r="E255" s="1">
        <v>50.0</v>
      </c>
      <c r="F255" s="1">
        <v>3.0</v>
      </c>
      <c r="G255" s="1">
        <v>6.0</v>
      </c>
      <c r="H255" s="1" t="s">
        <v>14</v>
      </c>
      <c r="I255" s="2">
        <v>45734.0</v>
      </c>
      <c r="J255" s="1">
        <v>125000.0</v>
      </c>
      <c r="K255" s="2">
        <v>45717.0</v>
      </c>
    </row>
    <row r="256" hidden="1">
      <c r="A256" s="1" t="s">
        <v>51</v>
      </c>
      <c r="B256" s="1" t="s">
        <v>52</v>
      </c>
      <c r="C256" s="1" t="s">
        <v>36</v>
      </c>
      <c r="D256" s="1">
        <v>0.0</v>
      </c>
      <c r="E256" s="1">
        <v>60.0</v>
      </c>
      <c r="F256" s="1">
        <v>11.0</v>
      </c>
      <c r="G256" s="1">
        <v>5.0</v>
      </c>
      <c r="H256" s="1" t="s">
        <v>50</v>
      </c>
      <c r="I256" s="2">
        <v>46083.0</v>
      </c>
      <c r="J256" s="1">
        <v>175000.0</v>
      </c>
      <c r="K256" s="2">
        <v>46082.0</v>
      </c>
    </row>
    <row r="257" hidden="1">
      <c r="A257" s="1" t="s">
        <v>62</v>
      </c>
      <c r="B257" s="1" t="s">
        <v>63</v>
      </c>
      <c r="C257" s="1" t="s">
        <v>13</v>
      </c>
      <c r="D257" s="1">
        <v>386.0</v>
      </c>
      <c r="E257" s="1">
        <v>80.0</v>
      </c>
      <c r="F257" s="1">
        <v>3.0</v>
      </c>
      <c r="G257" s="1">
        <v>6.0</v>
      </c>
      <c r="H257" s="1" t="s">
        <v>33</v>
      </c>
      <c r="I257" s="2">
        <v>45852.0</v>
      </c>
      <c r="J257" s="1">
        <v>85000.0</v>
      </c>
      <c r="K257" s="2">
        <v>45839.0</v>
      </c>
    </row>
    <row r="258" hidden="1">
      <c r="A258" s="1" t="s">
        <v>40</v>
      </c>
      <c r="B258" s="1" t="s">
        <v>41</v>
      </c>
      <c r="C258" s="1" t="s">
        <v>42</v>
      </c>
      <c r="D258" s="1">
        <v>9.0</v>
      </c>
      <c r="E258" s="1">
        <v>15.0</v>
      </c>
      <c r="F258" s="1">
        <v>1.0</v>
      </c>
      <c r="G258" s="1">
        <v>8.0</v>
      </c>
      <c r="H258" s="1" t="s">
        <v>43</v>
      </c>
      <c r="I258" s="2">
        <v>46014.0</v>
      </c>
      <c r="J258" s="1">
        <v>1200000.0</v>
      </c>
      <c r="K258" s="2">
        <v>45992.0</v>
      </c>
    </row>
    <row r="259" hidden="1">
      <c r="A259" s="1" t="s">
        <v>60</v>
      </c>
      <c r="B259" s="1" t="s">
        <v>61</v>
      </c>
      <c r="C259" s="1" t="s">
        <v>17</v>
      </c>
      <c r="D259" s="1">
        <v>27.0</v>
      </c>
      <c r="E259" s="1">
        <v>20.0</v>
      </c>
      <c r="F259" s="1">
        <v>2.0</v>
      </c>
      <c r="G259" s="1">
        <v>13.0</v>
      </c>
      <c r="H259" s="1" t="s">
        <v>27</v>
      </c>
      <c r="I259" s="2">
        <v>46057.0</v>
      </c>
      <c r="J259" s="1">
        <v>3200000.0</v>
      </c>
      <c r="K259" s="2">
        <v>46054.0</v>
      </c>
    </row>
    <row r="260" hidden="1">
      <c r="A260" s="1" t="s">
        <v>53</v>
      </c>
      <c r="B260" s="1" t="s">
        <v>54</v>
      </c>
      <c r="C260" s="1" t="s">
        <v>13</v>
      </c>
      <c r="D260" s="1">
        <v>292.0</v>
      </c>
      <c r="E260" s="1">
        <v>60.0</v>
      </c>
      <c r="F260" s="1">
        <v>3.0</v>
      </c>
      <c r="G260" s="1">
        <v>6.0</v>
      </c>
      <c r="H260" s="1" t="s">
        <v>14</v>
      </c>
      <c r="I260" s="2">
        <v>45888.0</v>
      </c>
      <c r="J260" s="1">
        <v>165000.0</v>
      </c>
      <c r="K260" s="2">
        <v>45870.0</v>
      </c>
    </row>
    <row r="261" hidden="1">
      <c r="A261" s="1" t="s">
        <v>31</v>
      </c>
      <c r="B261" s="1" t="s">
        <v>32</v>
      </c>
      <c r="C261" s="1" t="s">
        <v>13</v>
      </c>
      <c r="D261" s="1">
        <v>186.0</v>
      </c>
      <c r="E261" s="1">
        <v>40.0</v>
      </c>
      <c r="F261" s="1">
        <v>2.0</v>
      </c>
      <c r="G261" s="1">
        <v>4.0</v>
      </c>
      <c r="H261" s="1" t="s">
        <v>33</v>
      </c>
      <c r="I261" s="2">
        <v>45971.0</v>
      </c>
      <c r="J261" s="1">
        <v>550000.0</v>
      </c>
      <c r="K261" s="2">
        <v>45962.0</v>
      </c>
    </row>
    <row r="262" hidden="1">
      <c r="A262" s="1" t="s">
        <v>34</v>
      </c>
      <c r="B262" s="1" t="s">
        <v>35</v>
      </c>
      <c r="C262" s="1" t="s">
        <v>36</v>
      </c>
      <c r="D262" s="1">
        <v>35.0</v>
      </c>
      <c r="E262" s="1">
        <v>80.0</v>
      </c>
      <c r="F262" s="1">
        <v>13.0</v>
      </c>
      <c r="G262" s="1">
        <v>4.0</v>
      </c>
      <c r="H262" s="1" t="s">
        <v>37</v>
      </c>
      <c r="I262" s="2">
        <v>45800.0</v>
      </c>
      <c r="J262" s="1">
        <v>65000.0</v>
      </c>
      <c r="K262" s="2">
        <v>45778.0</v>
      </c>
    </row>
    <row r="263" hidden="1">
      <c r="A263" s="1" t="s">
        <v>46</v>
      </c>
      <c r="B263" s="1" t="s">
        <v>47</v>
      </c>
      <c r="C263" s="1" t="s">
        <v>23</v>
      </c>
      <c r="D263" s="1">
        <v>14.0</v>
      </c>
      <c r="E263" s="1">
        <v>40.0</v>
      </c>
      <c r="F263" s="1">
        <v>4.0</v>
      </c>
      <c r="G263" s="1">
        <v>8.0</v>
      </c>
      <c r="H263" s="1" t="s">
        <v>30</v>
      </c>
      <c r="I263" s="2">
        <v>45687.0</v>
      </c>
      <c r="J263" s="1">
        <v>550000.0</v>
      </c>
      <c r="K263" s="2">
        <v>45658.0</v>
      </c>
    </row>
    <row r="264" hidden="1">
      <c r="A264" s="1" t="s">
        <v>19</v>
      </c>
      <c r="B264" s="1" t="s">
        <v>20</v>
      </c>
      <c r="C264" s="1" t="s">
        <v>17</v>
      </c>
      <c r="D264" s="1">
        <v>31.0</v>
      </c>
      <c r="E264" s="1">
        <v>30.0</v>
      </c>
      <c r="F264" s="1">
        <v>3.0</v>
      </c>
      <c r="G264" s="1">
        <v>8.0</v>
      </c>
      <c r="H264" s="1" t="s">
        <v>18</v>
      </c>
      <c r="I264" s="2">
        <v>45929.0</v>
      </c>
      <c r="J264" s="1">
        <v>1200000.0</v>
      </c>
      <c r="K264" s="2">
        <v>45901.0</v>
      </c>
    </row>
    <row r="265" hidden="1">
      <c r="A265" s="1" t="s">
        <v>15</v>
      </c>
      <c r="B265" s="1" t="s">
        <v>16</v>
      </c>
      <c r="C265" s="1" t="s">
        <v>17</v>
      </c>
      <c r="D265" s="1">
        <v>13.0</v>
      </c>
      <c r="E265" s="1">
        <v>15.0</v>
      </c>
      <c r="F265" s="1">
        <v>1.0</v>
      </c>
      <c r="G265" s="1">
        <v>5.0</v>
      </c>
      <c r="H265" s="1" t="s">
        <v>18</v>
      </c>
      <c r="I265" s="2">
        <v>45710.0</v>
      </c>
      <c r="J265" s="1">
        <v>8500000.0</v>
      </c>
      <c r="K265" s="2">
        <v>45689.0</v>
      </c>
    </row>
    <row r="266" hidden="1">
      <c r="A266" s="1" t="s">
        <v>19</v>
      </c>
      <c r="B266" s="1" t="s">
        <v>20</v>
      </c>
      <c r="C266" s="1" t="s">
        <v>17</v>
      </c>
      <c r="D266" s="1">
        <v>26.0</v>
      </c>
      <c r="E266" s="1">
        <v>30.0</v>
      </c>
      <c r="F266" s="1">
        <v>4.0</v>
      </c>
      <c r="G266" s="1">
        <v>8.0</v>
      </c>
      <c r="H266" s="1" t="s">
        <v>18</v>
      </c>
      <c r="I266" s="2">
        <v>45803.0</v>
      </c>
      <c r="J266" s="1">
        <v>1200000.0</v>
      </c>
      <c r="K266" s="2">
        <v>45778.0</v>
      </c>
    </row>
    <row r="267" hidden="1">
      <c r="A267" s="1" t="s">
        <v>38</v>
      </c>
      <c r="B267" s="1" t="s">
        <v>39</v>
      </c>
      <c r="C267" s="1" t="s">
        <v>23</v>
      </c>
      <c r="D267" s="1">
        <v>36.0</v>
      </c>
      <c r="E267" s="1">
        <v>45.0</v>
      </c>
      <c r="F267" s="1">
        <v>4.0</v>
      </c>
      <c r="G267" s="1">
        <v>3.0</v>
      </c>
      <c r="H267" s="1" t="s">
        <v>24</v>
      </c>
      <c r="I267" s="2">
        <v>45812.0</v>
      </c>
      <c r="J267" s="1">
        <v>450000.0</v>
      </c>
      <c r="K267" s="2">
        <v>45809.0</v>
      </c>
    </row>
    <row r="268" hidden="1">
      <c r="A268" s="1" t="s">
        <v>62</v>
      </c>
      <c r="B268" s="1" t="s">
        <v>63</v>
      </c>
      <c r="C268" s="1" t="s">
        <v>13</v>
      </c>
      <c r="D268" s="1">
        <v>264.0</v>
      </c>
      <c r="E268" s="1">
        <v>80.0</v>
      </c>
      <c r="F268" s="1">
        <v>3.0</v>
      </c>
      <c r="G268" s="1">
        <v>5.0</v>
      </c>
      <c r="H268" s="1" t="s">
        <v>33</v>
      </c>
      <c r="I268" s="2">
        <v>45984.0</v>
      </c>
      <c r="J268" s="1">
        <v>85000.0</v>
      </c>
      <c r="K268" s="2">
        <v>45962.0</v>
      </c>
    </row>
    <row r="269" hidden="1">
      <c r="A269" s="1" t="s">
        <v>60</v>
      </c>
      <c r="B269" s="1" t="s">
        <v>61</v>
      </c>
      <c r="C269" s="1" t="s">
        <v>17</v>
      </c>
      <c r="D269" s="1">
        <v>38.0</v>
      </c>
      <c r="E269" s="1">
        <v>20.0</v>
      </c>
      <c r="F269" s="1">
        <v>2.0</v>
      </c>
      <c r="G269" s="1">
        <v>11.0</v>
      </c>
      <c r="H269" s="1" t="s">
        <v>27</v>
      </c>
      <c r="I269" s="2">
        <v>45782.0</v>
      </c>
      <c r="J269" s="1">
        <v>3200000.0</v>
      </c>
      <c r="K269" s="2">
        <v>45778.0</v>
      </c>
    </row>
    <row r="270" hidden="1">
      <c r="A270" s="1" t="s">
        <v>34</v>
      </c>
      <c r="B270" s="1" t="s">
        <v>35</v>
      </c>
      <c r="C270" s="1" t="s">
        <v>36</v>
      </c>
      <c r="D270" s="1">
        <v>46.0</v>
      </c>
      <c r="E270" s="1">
        <v>80.0</v>
      </c>
      <c r="F270" s="1">
        <v>13.0</v>
      </c>
      <c r="G270" s="1">
        <v>5.0</v>
      </c>
      <c r="H270" s="1" t="s">
        <v>37</v>
      </c>
      <c r="I270" s="2">
        <v>45924.0</v>
      </c>
      <c r="J270" s="1">
        <v>65000.0</v>
      </c>
      <c r="K270" s="2">
        <v>45901.0</v>
      </c>
    </row>
    <row r="271" hidden="1">
      <c r="A271" s="1" t="s">
        <v>28</v>
      </c>
      <c r="B271" s="1" t="s">
        <v>29</v>
      </c>
      <c r="C271" s="1" t="s">
        <v>23</v>
      </c>
      <c r="D271" s="1">
        <v>27.0</v>
      </c>
      <c r="E271" s="1">
        <v>35.0</v>
      </c>
      <c r="F271" s="1">
        <v>5.0</v>
      </c>
      <c r="G271" s="1">
        <v>3.0</v>
      </c>
      <c r="H271" s="1" t="s">
        <v>30</v>
      </c>
      <c r="I271" s="2">
        <v>45701.0</v>
      </c>
      <c r="J271" s="1">
        <v>1250000.0</v>
      </c>
      <c r="K271" s="2">
        <v>45689.0</v>
      </c>
    </row>
    <row r="272" hidden="1">
      <c r="A272" s="1" t="s">
        <v>19</v>
      </c>
      <c r="B272" s="1" t="s">
        <v>20</v>
      </c>
      <c r="C272" s="1" t="s">
        <v>17</v>
      </c>
      <c r="D272" s="1">
        <v>44.0</v>
      </c>
      <c r="E272" s="1">
        <v>30.0</v>
      </c>
      <c r="F272" s="1">
        <v>4.0</v>
      </c>
      <c r="G272" s="1">
        <v>8.0</v>
      </c>
      <c r="H272" s="1" t="s">
        <v>18</v>
      </c>
      <c r="I272" s="2">
        <v>45885.0</v>
      </c>
      <c r="J272" s="1">
        <v>1200000.0</v>
      </c>
      <c r="K272" s="2">
        <v>45870.0</v>
      </c>
    </row>
    <row r="273" hidden="1">
      <c r="A273" s="1" t="s">
        <v>34</v>
      </c>
      <c r="B273" s="1" t="s">
        <v>35</v>
      </c>
      <c r="C273" s="1" t="s">
        <v>36</v>
      </c>
      <c r="D273" s="1">
        <v>34.0</v>
      </c>
      <c r="E273" s="1">
        <v>80.0</v>
      </c>
      <c r="F273" s="1">
        <v>9.0</v>
      </c>
      <c r="G273" s="1">
        <v>3.0</v>
      </c>
      <c r="H273" s="1" t="s">
        <v>37</v>
      </c>
      <c r="I273" s="2">
        <v>45950.0</v>
      </c>
      <c r="J273" s="1">
        <v>65000.0</v>
      </c>
      <c r="K273" s="2">
        <v>45931.0</v>
      </c>
    </row>
    <row r="274" hidden="1">
      <c r="A274" s="1" t="s">
        <v>55</v>
      </c>
      <c r="B274" s="1" t="s">
        <v>56</v>
      </c>
      <c r="C274" s="1" t="s">
        <v>36</v>
      </c>
      <c r="D274" s="1">
        <v>145.0</v>
      </c>
      <c r="E274" s="1">
        <v>100.0</v>
      </c>
      <c r="F274" s="1">
        <v>17.0</v>
      </c>
      <c r="G274" s="1">
        <v>4.0</v>
      </c>
      <c r="H274" s="1" t="s">
        <v>37</v>
      </c>
      <c r="I274" s="2">
        <v>45711.0</v>
      </c>
      <c r="J274" s="1">
        <v>85000.0</v>
      </c>
      <c r="K274" s="2">
        <v>45689.0</v>
      </c>
    </row>
    <row r="275" hidden="1">
      <c r="A275" s="1" t="s">
        <v>15</v>
      </c>
      <c r="B275" s="1" t="s">
        <v>16</v>
      </c>
      <c r="C275" s="1" t="s">
        <v>17</v>
      </c>
      <c r="D275" s="1">
        <v>15.0</v>
      </c>
      <c r="E275" s="1">
        <v>15.0</v>
      </c>
      <c r="F275" s="1">
        <v>1.0</v>
      </c>
      <c r="G275" s="1">
        <v>5.0</v>
      </c>
      <c r="H275" s="1" t="s">
        <v>18</v>
      </c>
      <c r="I275" s="2">
        <v>46055.0</v>
      </c>
      <c r="J275" s="1">
        <v>8500000.0</v>
      </c>
      <c r="K275" s="2">
        <v>46054.0</v>
      </c>
    </row>
    <row r="276" hidden="1">
      <c r="A276" s="1" t="s">
        <v>38</v>
      </c>
      <c r="B276" s="1" t="s">
        <v>39</v>
      </c>
      <c r="C276" s="1" t="s">
        <v>23</v>
      </c>
      <c r="D276" s="1">
        <v>12.0</v>
      </c>
      <c r="E276" s="1">
        <v>45.0</v>
      </c>
      <c r="F276" s="1">
        <v>8.0</v>
      </c>
      <c r="G276" s="1">
        <v>6.0</v>
      </c>
      <c r="H276" s="1" t="s">
        <v>24</v>
      </c>
      <c r="I276" s="2">
        <v>46054.0</v>
      </c>
      <c r="J276" s="1">
        <v>450000.0</v>
      </c>
      <c r="K276" s="2">
        <v>46054.0</v>
      </c>
    </row>
    <row r="277" hidden="1">
      <c r="A277" s="1" t="s">
        <v>51</v>
      </c>
      <c r="B277" s="1" t="s">
        <v>52</v>
      </c>
      <c r="C277" s="1" t="s">
        <v>36</v>
      </c>
      <c r="D277" s="1">
        <v>19.0</v>
      </c>
      <c r="E277" s="1">
        <v>60.0</v>
      </c>
      <c r="F277" s="1">
        <v>6.0</v>
      </c>
      <c r="G277" s="1">
        <v>6.0</v>
      </c>
      <c r="H277" s="1" t="s">
        <v>50</v>
      </c>
      <c r="I277" s="2">
        <v>45775.0</v>
      </c>
      <c r="J277" s="1">
        <v>175000.0</v>
      </c>
      <c r="K277" s="2">
        <v>45748.0</v>
      </c>
    </row>
    <row r="278" hidden="1">
      <c r="A278" s="1" t="s">
        <v>44</v>
      </c>
      <c r="B278" s="1" t="s">
        <v>45</v>
      </c>
      <c r="C278" s="1" t="s">
        <v>42</v>
      </c>
      <c r="D278" s="1">
        <v>22.0</v>
      </c>
      <c r="E278" s="1">
        <v>30.0</v>
      </c>
      <c r="F278" s="1">
        <v>6.0</v>
      </c>
      <c r="H278" s="1" t="s">
        <v>43</v>
      </c>
      <c r="I278" s="2">
        <v>45702.0</v>
      </c>
      <c r="J278" s="1">
        <v>350000.0</v>
      </c>
      <c r="K278" s="2">
        <v>45689.0</v>
      </c>
    </row>
    <row r="279" hidden="1">
      <c r="A279" s="1" t="s">
        <v>44</v>
      </c>
      <c r="B279" s="1" t="s">
        <v>45</v>
      </c>
      <c r="C279" s="1" t="s">
        <v>42</v>
      </c>
      <c r="D279" s="1">
        <v>59.0</v>
      </c>
      <c r="E279" s="1">
        <v>30.0</v>
      </c>
      <c r="F279" s="1">
        <v>3.0</v>
      </c>
      <c r="G279" s="1">
        <v>6.0</v>
      </c>
      <c r="H279" s="1" t="s">
        <v>43</v>
      </c>
      <c r="I279" s="2">
        <v>45880.0</v>
      </c>
      <c r="J279" s="1">
        <v>350000.0</v>
      </c>
      <c r="K279" s="2">
        <v>45870.0</v>
      </c>
    </row>
    <row r="280" hidden="1">
      <c r="A280" s="1" t="s">
        <v>64</v>
      </c>
      <c r="B280" s="1" t="s">
        <v>65</v>
      </c>
      <c r="C280" s="1" t="s">
        <v>42</v>
      </c>
      <c r="D280" s="1">
        <v>41.0</v>
      </c>
      <c r="E280" s="1">
        <v>20.0</v>
      </c>
      <c r="F280" s="1">
        <v>3.0</v>
      </c>
      <c r="G280" s="1">
        <v>9.0</v>
      </c>
      <c r="H280" s="1" t="s">
        <v>59</v>
      </c>
      <c r="I280" s="2">
        <v>46092.0</v>
      </c>
      <c r="J280" s="1">
        <v>750000.0</v>
      </c>
      <c r="K280" s="2">
        <v>46082.0</v>
      </c>
    </row>
    <row r="281" hidden="1">
      <c r="A281" s="1" t="s">
        <v>48</v>
      </c>
      <c r="B281" s="1" t="s">
        <v>49</v>
      </c>
      <c r="C281" s="1" t="s">
        <v>36</v>
      </c>
      <c r="D281" s="1">
        <v>121.0</v>
      </c>
      <c r="E281" s="1">
        <v>120.0</v>
      </c>
      <c r="F281" s="1">
        <v>27.0</v>
      </c>
      <c r="H281" s="1" t="s">
        <v>50</v>
      </c>
      <c r="I281" s="2">
        <v>46095.0</v>
      </c>
      <c r="J281" s="1">
        <v>55000.0</v>
      </c>
      <c r="K281" s="2">
        <v>46082.0</v>
      </c>
    </row>
    <row r="282" hidden="1">
      <c r="A282" s="1" t="s">
        <v>55</v>
      </c>
      <c r="B282" s="1" t="s">
        <v>56</v>
      </c>
      <c r="C282" s="1" t="s">
        <v>36</v>
      </c>
      <c r="D282" s="1">
        <v>125.0</v>
      </c>
      <c r="E282" s="1">
        <v>100.0</v>
      </c>
      <c r="F282" s="1">
        <v>14.0</v>
      </c>
      <c r="G282" s="1">
        <v>4.0</v>
      </c>
      <c r="H282" s="1" t="s">
        <v>37</v>
      </c>
      <c r="I282" s="2">
        <v>45775.0</v>
      </c>
      <c r="J282" s="1">
        <v>85000.0</v>
      </c>
      <c r="K282" s="2">
        <v>45748.0</v>
      </c>
    </row>
    <row r="283" hidden="1">
      <c r="A283" s="1" t="s">
        <v>19</v>
      </c>
      <c r="B283" s="1" t="s">
        <v>20</v>
      </c>
      <c r="C283" s="1" t="s">
        <v>17</v>
      </c>
      <c r="D283" s="1">
        <v>42.0</v>
      </c>
      <c r="E283" s="1">
        <v>30.0</v>
      </c>
      <c r="F283" s="1">
        <v>4.0</v>
      </c>
      <c r="G283" s="1">
        <v>7.0</v>
      </c>
      <c r="H283" s="1" t="s">
        <v>18</v>
      </c>
      <c r="I283" s="2">
        <v>45960.0</v>
      </c>
      <c r="J283" s="1">
        <v>1200000.0</v>
      </c>
      <c r="K283" s="2">
        <v>45931.0</v>
      </c>
    </row>
    <row r="284">
      <c r="A284" s="1" t="s">
        <v>19</v>
      </c>
      <c r="B284" s="1" t="s">
        <v>20</v>
      </c>
      <c r="C284" s="1" t="s">
        <v>17</v>
      </c>
      <c r="D284" s="1">
        <v>21.0</v>
      </c>
      <c r="E284" s="1">
        <v>30.0</v>
      </c>
      <c r="F284" s="1">
        <v>4.0</v>
      </c>
      <c r="G284" s="1">
        <v>9.0</v>
      </c>
      <c r="H284" s="1" t="s">
        <v>18</v>
      </c>
      <c r="I284" s="2">
        <v>46197.0</v>
      </c>
      <c r="J284" s="1">
        <v>1200000.0</v>
      </c>
      <c r="K284" s="2">
        <v>45809.0</v>
      </c>
    </row>
    <row r="285" hidden="1">
      <c r="A285" s="1" t="s">
        <v>44</v>
      </c>
      <c r="B285" s="1" t="s">
        <v>45</v>
      </c>
      <c r="C285" s="1" t="s">
        <v>42</v>
      </c>
      <c r="D285" s="1">
        <v>41.0</v>
      </c>
      <c r="E285" s="1">
        <v>30.0</v>
      </c>
      <c r="F285" s="1">
        <v>6.0</v>
      </c>
      <c r="G285" s="1">
        <v>10.0</v>
      </c>
      <c r="H285" s="1" t="s">
        <v>43</v>
      </c>
      <c r="I285" s="2">
        <v>45945.0</v>
      </c>
      <c r="J285" s="1">
        <v>350000.0</v>
      </c>
      <c r="K285" s="2">
        <v>45931.0</v>
      </c>
    </row>
    <row r="286" hidden="1">
      <c r="A286" s="1" t="s">
        <v>31</v>
      </c>
      <c r="B286" s="1" t="s">
        <v>32</v>
      </c>
      <c r="C286" s="1" t="s">
        <v>13</v>
      </c>
      <c r="D286" s="1">
        <v>172.0</v>
      </c>
      <c r="E286" s="1">
        <v>40.0</v>
      </c>
      <c r="F286" s="1">
        <v>2.0</v>
      </c>
      <c r="G286" s="1">
        <v>6.0</v>
      </c>
      <c r="H286" s="1" t="s">
        <v>33</v>
      </c>
      <c r="I286" s="2">
        <v>45955.0</v>
      </c>
      <c r="J286" s="1">
        <v>550000.0</v>
      </c>
      <c r="K286" s="2">
        <v>45931.0</v>
      </c>
    </row>
    <row r="287" hidden="1">
      <c r="A287" s="1" t="s">
        <v>46</v>
      </c>
      <c r="B287" s="1" t="s">
        <v>47</v>
      </c>
      <c r="C287" s="1" t="s">
        <v>23</v>
      </c>
      <c r="D287" s="1">
        <v>36.0</v>
      </c>
      <c r="E287" s="1">
        <v>40.0</v>
      </c>
      <c r="F287" s="1">
        <v>6.0</v>
      </c>
      <c r="G287" s="1">
        <v>4.0</v>
      </c>
      <c r="H287" s="1" t="s">
        <v>30</v>
      </c>
      <c r="I287" s="2">
        <v>46044.0</v>
      </c>
      <c r="J287" s="1">
        <v>550000.0</v>
      </c>
      <c r="K287" s="2">
        <v>46023.0</v>
      </c>
    </row>
    <row r="288" hidden="1">
      <c r="A288" s="1" t="s">
        <v>31</v>
      </c>
      <c r="B288" s="1" t="s">
        <v>32</v>
      </c>
      <c r="C288" s="1" t="s">
        <v>13</v>
      </c>
      <c r="D288" s="1">
        <v>160.0</v>
      </c>
      <c r="E288" s="1">
        <v>40.0</v>
      </c>
      <c r="F288" s="1">
        <v>3.0</v>
      </c>
      <c r="G288" s="1">
        <v>6.0</v>
      </c>
      <c r="H288" s="1" t="s">
        <v>33</v>
      </c>
      <c r="I288" s="2">
        <v>45887.0</v>
      </c>
      <c r="J288" s="1">
        <v>550000.0</v>
      </c>
      <c r="K288" s="2">
        <v>45870.0</v>
      </c>
    </row>
    <row r="289" hidden="1">
      <c r="A289" s="1" t="s">
        <v>44</v>
      </c>
      <c r="B289" s="1" t="s">
        <v>45</v>
      </c>
      <c r="C289" s="1" t="s">
        <v>42</v>
      </c>
      <c r="D289" s="1">
        <v>45.0</v>
      </c>
      <c r="E289" s="1">
        <v>30.0</v>
      </c>
      <c r="F289" s="1">
        <v>5.0</v>
      </c>
      <c r="G289" s="1">
        <v>5.0</v>
      </c>
      <c r="H289" s="1" t="s">
        <v>43</v>
      </c>
      <c r="I289" s="2">
        <v>45801.0</v>
      </c>
      <c r="J289" s="1">
        <v>350000.0</v>
      </c>
      <c r="K289" s="2">
        <v>45778.0</v>
      </c>
    </row>
    <row r="290">
      <c r="A290" s="1" t="s">
        <v>19</v>
      </c>
      <c r="B290" s="1" t="s">
        <v>20</v>
      </c>
      <c r="C290" s="1" t="s">
        <v>17</v>
      </c>
      <c r="D290" s="1">
        <v>52.0</v>
      </c>
      <c r="E290" s="1">
        <v>30.0</v>
      </c>
      <c r="F290" s="1">
        <v>5.0</v>
      </c>
      <c r="G290" s="1">
        <v>5.0</v>
      </c>
      <c r="H290" s="1" t="s">
        <v>18</v>
      </c>
      <c r="I290" s="2">
        <v>46321.0</v>
      </c>
      <c r="J290" s="1">
        <v>1200000.0</v>
      </c>
      <c r="K290" s="2">
        <v>46054.0</v>
      </c>
    </row>
    <row r="291" hidden="1">
      <c r="A291" s="1" t="s">
        <v>19</v>
      </c>
      <c r="B291" s="1" t="s">
        <v>20</v>
      </c>
      <c r="C291" s="1" t="s">
        <v>17</v>
      </c>
      <c r="D291" s="1">
        <v>51.0</v>
      </c>
      <c r="E291" s="1">
        <v>30.0</v>
      </c>
      <c r="F291" s="1">
        <v>4.0</v>
      </c>
      <c r="G291" s="1">
        <v>6.0</v>
      </c>
      <c r="H291" s="1" t="s">
        <v>18</v>
      </c>
      <c r="I291" s="2">
        <v>45775.0</v>
      </c>
      <c r="J291" s="1">
        <v>1200000.0</v>
      </c>
      <c r="K291" s="2">
        <v>45748.0</v>
      </c>
    </row>
    <row r="292" hidden="1">
      <c r="A292" s="1" t="s">
        <v>11</v>
      </c>
      <c r="B292" s="1" t="s">
        <v>12</v>
      </c>
      <c r="C292" s="1" t="s">
        <v>13</v>
      </c>
      <c r="D292" s="1">
        <v>290.0</v>
      </c>
      <c r="E292" s="1">
        <v>50.0</v>
      </c>
      <c r="F292" s="1">
        <v>3.0</v>
      </c>
      <c r="G292" s="1">
        <v>6.0</v>
      </c>
      <c r="H292" s="1" t="s">
        <v>14</v>
      </c>
      <c r="I292" s="2">
        <v>45991.0</v>
      </c>
      <c r="J292" s="1">
        <v>125000.0</v>
      </c>
      <c r="K292" s="2">
        <v>45962.0</v>
      </c>
    </row>
    <row r="293" hidden="1">
      <c r="A293" s="1" t="s">
        <v>55</v>
      </c>
      <c r="B293" s="1" t="s">
        <v>56</v>
      </c>
      <c r="C293" s="1" t="s">
        <v>36</v>
      </c>
      <c r="D293" s="1">
        <v>57.0</v>
      </c>
      <c r="E293" s="1">
        <v>100.0</v>
      </c>
      <c r="F293" s="1">
        <v>15.0</v>
      </c>
      <c r="G293" s="1">
        <v>4.0</v>
      </c>
      <c r="H293" s="1" t="s">
        <v>37</v>
      </c>
      <c r="I293" s="2">
        <v>46034.0</v>
      </c>
      <c r="J293" s="1">
        <v>85000.0</v>
      </c>
      <c r="K293" s="2">
        <v>46023.0</v>
      </c>
    </row>
    <row r="294" hidden="1">
      <c r="A294" s="1" t="s">
        <v>25</v>
      </c>
      <c r="B294" s="1" t="s">
        <v>26</v>
      </c>
      <c r="C294" s="1" t="s">
        <v>17</v>
      </c>
      <c r="D294" s="1">
        <v>11.0</v>
      </c>
      <c r="E294" s="1">
        <v>25.0</v>
      </c>
      <c r="F294" s="1">
        <v>7.0</v>
      </c>
      <c r="G294" s="1">
        <v>14.0</v>
      </c>
      <c r="H294" s="1" t="s">
        <v>27</v>
      </c>
      <c r="I294" s="2">
        <v>45862.0</v>
      </c>
      <c r="J294" s="1">
        <v>4500000.0</v>
      </c>
      <c r="K294" s="2">
        <v>45839.0</v>
      </c>
    </row>
    <row r="295" hidden="1">
      <c r="A295" s="1" t="s">
        <v>40</v>
      </c>
      <c r="B295" s="1" t="s">
        <v>41</v>
      </c>
      <c r="C295" s="1" t="s">
        <v>42</v>
      </c>
      <c r="D295" s="1">
        <v>21.0</v>
      </c>
      <c r="E295" s="1">
        <v>15.0</v>
      </c>
      <c r="F295" s="1">
        <v>1.0</v>
      </c>
      <c r="G295" s="1">
        <v>9.0</v>
      </c>
      <c r="H295" s="1" t="s">
        <v>43</v>
      </c>
      <c r="I295" s="2">
        <v>45968.0</v>
      </c>
      <c r="J295" s="1">
        <v>1200000.0</v>
      </c>
      <c r="K295" s="2">
        <v>45962.0</v>
      </c>
    </row>
    <row r="296" hidden="1">
      <c r="A296" s="1" t="s">
        <v>51</v>
      </c>
      <c r="B296" s="1" t="s">
        <v>52</v>
      </c>
      <c r="C296" s="1" t="s">
        <v>36</v>
      </c>
      <c r="D296" s="1">
        <v>44.0</v>
      </c>
      <c r="E296" s="1">
        <v>60.0</v>
      </c>
      <c r="F296" s="1">
        <v>6.0</v>
      </c>
      <c r="G296" s="1">
        <v>6.0</v>
      </c>
      <c r="H296" s="1" t="s">
        <v>50</v>
      </c>
      <c r="I296" s="2">
        <v>45839.0</v>
      </c>
      <c r="J296" s="1">
        <v>175000.0</v>
      </c>
      <c r="K296" s="2">
        <v>45839.0</v>
      </c>
    </row>
    <row r="297" hidden="1">
      <c r="A297" s="1" t="s">
        <v>31</v>
      </c>
      <c r="B297" s="1" t="s">
        <v>32</v>
      </c>
      <c r="C297" s="1" t="s">
        <v>13</v>
      </c>
      <c r="D297" s="1">
        <v>127.0</v>
      </c>
      <c r="E297" s="1">
        <v>40.0</v>
      </c>
      <c r="F297" s="1">
        <v>3.0</v>
      </c>
      <c r="G297" s="1">
        <v>4.0</v>
      </c>
      <c r="H297" s="1" t="s">
        <v>33</v>
      </c>
      <c r="I297" s="2">
        <v>46001.0</v>
      </c>
      <c r="J297" s="1">
        <v>550000.0</v>
      </c>
      <c r="K297" s="2">
        <v>45992.0</v>
      </c>
    </row>
    <row r="298" hidden="1">
      <c r="A298" s="1" t="s">
        <v>48</v>
      </c>
      <c r="B298" s="1" t="s">
        <v>49</v>
      </c>
      <c r="C298" s="1" t="s">
        <v>36</v>
      </c>
      <c r="D298" s="1">
        <v>170.0</v>
      </c>
      <c r="E298" s="1">
        <v>120.0</v>
      </c>
      <c r="F298" s="1">
        <v>17.0</v>
      </c>
      <c r="G298" s="1">
        <v>3.0</v>
      </c>
      <c r="H298" s="1" t="s">
        <v>50</v>
      </c>
      <c r="I298" s="2">
        <v>45905.0</v>
      </c>
      <c r="J298" s="1">
        <v>55000.0</v>
      </c>
      <c r="K298" s="2">
        <v>45901.0</v>
      </c>
    </row>
    <row r="299" hidden="1">
      <c r="A299" s="1" t="s">
        <v>34</v>
      </c>
      <c r="B299" s="1" t="s">
        <v>35</v>
      </c>
      <c r="C299" s="1" t="s">
        <v>36</v>
      </c>
      <c r="D299" s="1">
        <v>0.0</v>
      </c>
      <c r="E299" s="1">
        <v>80.0</v>
      </c>
      <c r="F299" s="1">
        <v>18.0</v>
      </c>
      <c r="G299" s="1">
        <v>4.0</v>
      </c>
      <c r="H299" s="1" t="s">
        <v>37</v>
      </c>
      <c r="I299" s="2">
        <v>45745.0</v>
      </c>
      <c r="J299" s="1">
        <v>65000.0</v>
      </c>
      <c r="K299" s="2">
        <v>45717.0</v>
      </c>
    </row>
    <row r="300" hidden="1">
      <c r="A300" s="1" t="s">
        <v>57</v>
      </c>
      <c r="B300" s="1" t="s">
        <v>58</v>
      </c>
      <c r="C300" s="1" t="s">
        <v>42</v>
      </c>
      <c r="D300" s="1">
        <v>44.0</v>
      </c>
      <c r="E300" s="1">
        <v>25.0</v>
      </c>
      <c r="F300" s="1">
        <v>4.0</v>
      </c>
      <c r="G300" s="1">
        <v>8.0</v>
      </c>
      <c r="H300" s="1" t="s">
        <v>59</v>
      </c>
      <c r="I300" s="2">
        <v>46108.0</v>
      </c>
      <c r="J300" s="1">
        <v>450000.0</v>
      </c>
      <c r="K300" s="2">
        <v>46082.0</v>
      </c>
    </row>
    <row r="301" hidden="1">
      <c r="A301" s="1" t="s">
        <v>64</v>
      </c>
      <c r="B301" s="1" t="s">
        <v>65</v>
      </c>
      <c r="C301" s="1" t="s">
        <v>42</v>
      </c>
      <c r="D301" s="1">
        <v>27.0</v>
      </c>
      <c r="E301" s="1">
        <v>20.0</v>
      </c>
      <c r="F301" s="1">
        <v>3.0</v>
      </c>
      <c r="G301" s="1">
        <v>8.0</v>
      </c>
      <c r="H301" s="1" t="s">
        <v>59</v>
      </c>
      <c r="I301" s="2">
        <v>45976.0</v>
      </c>
      <c r="J301" s="1">
        <v>750000.0</v>
      </c>
      <c r="K301" s="2">
        <v>45962.0</v>
      </c>
    </row>
    <row r="302" hidden="1">
      <c r="A302" s="1" t="s">
        <v>40</v>
      </c>
      <c r="B302" s="1" t="s">
        <v>41</v>
      </c>
      <c r="C302" s="1" t="s">
        <v>42</v>
      </c>
      <c r="D302" s="1">
        <v>22.0</v>
      </c>
      <c r="E302" s="1">
        <v>15.0</v>
      </c>
      <c r="F302" s="1">
        <v>2.0</v>
      </c>
      <c r="G302" s="1">
        <v>5.0</v>
      </c>
      <c r="H302" s="1" t="s">
        <v>43</v>
      </c>
      <c r="I302" s="2">
        <v>45709.0</v>
      </c>
      <c r="J302" s="1">
        <v>1200000.0</v>
      </c>
      <c r="K302" s="2">
        <v>45689.0</v>
      </c>
    </row>
    <row r="303" hidden="1">
      <c r="A303" s="1" t="s">
        <v>28</v>
      </c>
      <c r="B303" s="1" t="s">
        <v>29</v>
      </c>
      <c r="C303" s="1" t="s">
        <v>23</v>
      </c>
      <c r="D303" s="1">
        <v>18.0</v>
      </c>
      <c r="E303" s="1">
        <v>35.0</v>
      </c>
      <c r="F303" s="1">
        <v>5.0</v>
      </c>
      <c r="G303" s="1">
        <v>4.0</v>
      </c>
      <c r="H303" s="1" t="s">
        <v>30</v>
      </c>
      <c r="I303" s="2">
        <v>45949.0</v>
      </c>
      <c r="J303" s="1">
        <v>1250000.0</v>
      </c>
      <c r="K303" s="2">
        <v>45931.0</v>
      </c>
    </row>
    <row r="304" hidden="1">
      <c r="A304" s="1" t="s">
        <v>38</v>
      </c>
      <c r="B304" s="1" t="s">
        <v>39</v>
      </c>
      <c r="C304" s="1" t="s">
        <v>23</v>
      </c>
      <c r="D304" s="1">
        <v>17.0</v>
      </c>
      <c r="E304" s="1">
        <v>45.0</v>
      </c>
      <c r="F304" s="1">
        <v>8.0</v>
      </c>
      <c r="G304" s="1">
        <v>4.0</v>
      </c>
      <c r="H304" s="1" t="s">
        <v>24</v>
      </c>
      <c r="I304" s="2">
        <v>46050.0</v>
      </c>
      <c r="J304" s="1">
        <v>450000.0</v>
      </c>
      <c r="K304" s="2">
        <v>46023.0</v>
      </c>
    </row>
    <row r="305" hidden="1">
      <c r="A305" s="1" t="s">
        <v>53</v>
      </c>
      <c r="B305" s="1" t="s">
        <v>54</v>
      </c>
      <c r="C305" s="1" t="s">
        <v>13</v>
      </c>
      <c r="D305" s="1">
        <v>273.0</v>
      </c>
      <c r="E305" s="1">
        <v>60.0</v>
      </c>
      <c r="F305" s="1">
        <v>1.0</v>
      </c>
      <c r="G305" s="1">
        <v>4.0</v>
      </c>
      <c r="H305" s="1" t="s">
        <v>14</v>
      </c>
      <c r="I305" s="2">
        <v>45806.0</v>
      </c>
      <c r="J305" s="1">
        <v>165000.0</v>
      </c>
      <c r="K305" s="2">
        <v>45778.0</v>
      </c>
    </row>
    <row r="306" hidden="1">
      <c r="A306" s="1" t="s">
        <v>64</v>
      </c>
      <c r="B306" s="1" t="s">
        <v>65</v>
      </c>
      <c r="C306" s="1" t="s">
        <v>42</v>
      </c>
      <c r="D306" s="1">
        <v>40.0</v>
      </c>
      <c r="E306" s="1">
        <v>20.0</v>
      </c>
      <c r="F306" s="1">
        <v>1.0</v>
      </c>
      <c r="G306" s="1">
        <v>7.0</v>
      </c>
      <c r="H306" s="1" t="s">
        <v>59</v>
      </c>
      <c r="I306" s="2">
        <v>45693.0</v>
      </c>
      <c r="J306" s="1">
        <v>750000.0</v>
      </c>
      <c r="K306" s="2">
        <v>45689.0</v>
      </c>
    </row>
    <row r="307" hidden="1">
      <c r="A307" s="1" t="s">
        <v>38</v>
      </c>
      <c r="B307" s="1" t="s">
        <v>39</v>
      </c>
      <c r="C307" s="1" t="s">
        <v>23</v>
      </c>
      <c r="D307" s="1">
        <v>17.0</v>
      </c>
      <c r="E307" s="1">
        <v>45.0</v>
      </c>
      <c r="F307" s="1">
        <v>8.0</v>
      </c>
      <c r="G307" s="1">
        <v>4.0</v>
      </c>
      <c r="H307" s="1" t="s">
        <v>24</v>
      </c>
      <c r="I307" s="2">
        <v>46050.0</v>
      </c>
      <c r="J307" s="1">
        <v>450000.0</v>
      </c>
      <c r="K307" s="2">
        <v>46023.0</v>
      </c>
    </row>
    <row r="308" hidden="1">
      <c r="A308" s="1" t="s">
        <v>25</v>
      </c>
      <c r="B308" s="1" t="s">
        <v>26</v>
      </c>
      <c r="C308" s="1" t="s">
        <v>17</v>
      </c>
      <c r="D308" s="1">
        <v>5.0</v>
      </c>
      <c r="E308" s="1">
        <v>25.0</v>
      </c>
      <c r="F308" s="1">
        <v>7.0</v>
      </c>
      <c r="G308" s="1">
        <v>19.0</v>
      </c>
      <c r="H308" s="1" t="s">
        <v>27</v>
      </c>
      <c r="I308" s="2">
        <v>45837.0</v>
      </c>
      <c r="J308" s="1">
        <v>4500000.0</v>
      </c>
      <c r="K308" s="2">
        <v>45809.0</v>
      </c>
    </row>
    <row r="309" hidden="1">
      <c r="A309" s="1" t="s">
        <v>31</v>
      </c>
      <c r="B309" s="1" t="s">
        <v>32</v>
      </c>
      <c r="C309" s="1" t="s">
        <v>13</v>
      </c>
      <c r="D309" s="1">
        <v>129.0</v>
      </c>
      <c r="E309" s="1">
        <v>40.0</v>
      </c>
      <c r="F309" s="1">
        <v>4.0</v>
      </c>
      <c r="G309" s="1">
        <v>6.0</v>
      </c>
      <c r="H309" s="1" t="s">
        <v>33</v>
      </c>
      <c r="I309" s="2">
        <v>45916.0</v>
      </c>
      <c r="J309" s="1">
        <v>550000.0</v>
      </c>
      <c r="K309" s="2">
        <v>45901.0</v>
      </c>
    </row>
    <row r="310" hidden="1">
      <c r="A310" s="1" t="s">
        <v>21</v>
      </c>
      <c r="B310" s="1" t="s">
        <v>22</v>
      </c>
      <c r="C310" s="1" t="s">
        <v>23</v>
      </c>
      <c r="D310" s="1">
        <v>0.0</v>
      </c>
      <c r="E310" s="1">
        <v>50.0</v>
      </c>
      <c r="F310" s="1">
        <v>14.0</v>
      </c>
      <c r="G310" s="1">
        <v>7.0</v>
      </c>
      <c r="H310" s="1" t="s">
        <v>24</v>
      </c>
      <c r="I310" s="2">
        <v>46014.0</v>
      </c>
      <c r="J310" s="1">
        <v>350000.0</v>
      </c>
      <c r="K310" s="2">
        <v>45992.0</v>
      </c>
    </row>
    <row r="311" hidden="1">
      <c r="A311" s="1" t="s">
        <v>46</v>
      </c>
      <c r="B311" s="1" t="s">
        <v>47</v>
      </c>
      <c r="C311" s="1" t="s">
        <v>23</v>
      </c>
      <c r="D311" s="1">
        <v>9.0</v>
      </c>
      <c r="E311" s="1">
        <v>40.0</v>
      </c>
      <c r="F311" s="1">
        <v>5.0</v>
      </c>
      <c r="G311" s="1">
        <v>8.0</v>
      </c>
      <c r="H311" s="1" t="s">
        <v>30</v>
      </c>
      <c r="I311" s="2">
        <v>45698.0</v>
      </c>
      <c r="J311" s="1">
        <v>550000.0</v>
      </c>
      <c r="K311" s="2">
        <v>45689.0</v>
      </c>
    </row>
    <row r="312" hidden="1">
      <c r="A312" s="1" t="s">
        <v>51</v>
      </c>
      <c r="B312" s="1" t="s">
        <v>52</v>
      </c>
      <c r="C312" s="1" t="s">
        <v>36</v>
      </c>
      <c r="D312" s="1">
        <v>20.0</v>
      </c>
      <c r="E312" s="1">
        <v>60.0</v>
      </c>
      <c r="F312" s="1">
        <v>9.0</v>
      </c>
      <c r="G312" s="1">
        <v>5.0</v>
      </c>
      <c r="H312" s="1" t="s">
        <v>50</v>
      </c>
      <c r="I312" s="2">
        <v>45687.0</v>
      </c>
      <c r="J312" s="1">
        <v>175000.0</v>
      </c>
      <c r="K312" s="2">
        <v>45658.0</v>
      </c>
    </row>
    <row r="313" hidden="1">
      <c r="A313" s="1" t="s">
        <v>28</v>
      </c>
      <c r="B313" s="1" t="s">
        <v>29</v>
      </c>
      <c r="C313" s="1" t="s">
        <v>23</v>
      </c>
      <c r="D313" s="1">
        <v>16.0</v>
      </c>
      <c r="E313" s="1">
        <v>35.0</v>
      </c>
      <c r="F313" s="1">
        <v>7.0</v>
      </c>
      <c r="G313" s="1">
        <v>5.0</v>
      </c>
      <c r="H313" s="1" t="s">
        <v>30</v>
      </c>
      <c r="I313" s="2">
        <v>46024.0</v>
      </c>
      <c r="J313" s="1">
        <v>1250000.0</v>
      </c>
      <c r="K313" s="2">
        <v>46023.0</v>
      </c>
    </row>
  </sheetData>
  <autoFilter ref="$A$1:$K$313">
    <filterColumn colId="8">
      <customFilters>
        <customFilter operator="greaterThan" val="2026-03-31"/>
      </customFilters>
    </filterColumn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</row>
    <row r="3" hidden="1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</row>
    <row r="4" hidden="1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</row>
    <row r="5" hidden="1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</row>
    <row r="6" hidden="1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</row>
    <row r="7" hidden="1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</row>
    <row r="8" hidden="1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</row>
    <row r="9" hidden="1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</row>
    <row r="10" hidden="1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</row>
    <row r="11" hidden="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</row>
    <row r="12" hidden="1">
      <c r="A12" s="1" t="s">
        <v>38</v>
      </c>
      <c r="B12" s="1" t="s">
        <v>39</v>
      </c>
      <c r="C12" s="1" t="s">
        <v>23</v>
      </c>
      <c r="D12" s="1">
        <v>-28.0</v>
      </c>
      <c r="E12" s="1">
        <v>45.0</v>
      </c>
      <c r="F12" s="1">
        <v>7.0</v>
      </c>
      <c r="G12" s="1">
        <v>5.0</v>
      </c>
      <c r="H12" s="1" t="s">
        <v>24</v>
      </c>
      <c r="I12" s="2">
        <v>45664.0</v>
      </c>
      <c r="J12" s="1">
        <v>450000.0</v>
      </c>
      <c r="K12" s="2">
        <v>45658.0</v>
      </c>
    </row>
    <row r="13" hidden="1">
      <c r="A13" s="1" t="s">
        <v>40</v>
      </c>
      <c r="B13" s="1" t="s">
        <v>41</v>
      </c>
      <c r="C13" s="1" t="s">
        <v>42</v>
      </c>
      <c r="D13" s="1">
        <v>-18.0</v>
      </c>
      <c r="E13" s="1">
        <v>15.0</v>
      </c>
      <c r="F13" s="1">
        <v>4.0</v>
      </c>
      <c r="G13" s="1">
        <v>6.0</v>
      </c>
      <c r="H13" s="1" t="s">
        <v>43</v>
      </c>
      <c r="I13" s="2">
        <v>46099.0</v>
      </c>
      <c r="J13" s="1">
        <v>1200000.0</v>
      </c>
      <c r="K13" s="2">
        <v>46082.0</v>
      </c>
    </row>
    <row r="14" hidden="1">
      <c r="A14" s="1" t="s">
        <v>44</v>
      </c>
      <c r="B14" s="1" t="s">
        <v>45</v>
      </c>
      <c r="C14" s="1" t="s">
        <v>42</v>
      </c>
      <c r="D14" s="1">
        <v>54.0</v>
      </c>
      <c r="E14" s="1">
        <v>30.0</v>
      </c>
      <c r="F14" s="1">
        <v>6.0</v>
      </c>
      <c r="G14" s="1">
        <v>8.0</v>
      </c>
      <c r="H14" s="1" t="s">
        <v>43</v>
      </c>
      <c r="I14" s="2">
        <v>45983.0</v>
      </c>
      <c r="J14" s="1">
        <v>350000.0</v>
      </c>
      <c r="K14" s="2">
        <v>45962.0</v>
      </c>
    </row>
    <row r="15" hidden="1">
      <c r="A15" s="1" t="s">
        <v>46</v>
      </c>
      <c r="B15" s="1" t="s">
        <v>47</v>
      </c>
      <c r="C15" s="1" t="s">
        <v>23</v>
      </c>
      <c r="D15" s="1">
        <v>0.0</v>
      </c>
      <c r="E15" s="1">
        <v>40.0</v>
      </c>
      <c r="F15" s="1">
        <v>7.0</v>
      </c>
      <c r="G15" s="1">
        <v>4.0</v>
      </c>
      <c r="H15" s="1" t="s">
        <v>30</v>
      </c>
      <c r="I15" s="2">
        <v>45761.0</v>
      </c>
      <c r="J15" s="1">
        <v>550000.0</v>
      </c>
      <c r="K15" s="2">
        <v>45748.0</v>
      </c>
    </row>
    <row r="16" hidden="1">
      <c r="A16" s="1" t="s">
        <v>44</v>
      </c>
      <c r="B16" s="1" t="s">
        <v>45</v>
      </c>
      <c r="C16" s="1" t="s">
        <v>42</v>
      </c>
      <c r="D16" s="1">
        <v>41.0</v>
      </c>
      <c r="E16" s="1">
        <v>30.0</v>
      </c>
      <c r="F16" s="1">
        <v>4.0</v>
      </c>
      <c r="G16" s="1">
        <v>10.0</v>
      </c>
      <c r="H16" s="1" t="s">
        <v>43</v>
      </c>
      <c r="I16" s="2">
        <v>45930.0</v>
      </c>
      <c r="J16" s="1">
        <v>350000.0</v>
      </c>
      <c r="K16" s="2">
        <v>45901.0</v>
      </c>
    </row>
    <row r="17" hidden="1">
      <c r="A17" s="1" t="s">
        <v>48</v>
      </c>
      <c r="B17" s="1" t="s">
        <v>49</v>
      </c>
      <c r="C17" s="1" t="s">
        <v>36</v>
      </c>
      <c r="D17" s="1">
        <v>33.0</v>
      </c>
      <c r="E17" s="1">
        <v>120.0</v>
      </c>
      <c r="F17" s="1">
        <v>18.0</v>
      </c>
      <c r="G17" s="1">
        <v>7.0</v>
      </c>
      <c r="H17" s="1" t="s">
        <v>50</v>
      </c>
      <c r="I17" s="2">
        <v>45878.0</v>
      </c>
      <c r="J17" s="1">
        <v>55000.0</v>
      </c>
      <c r="K17" s="2">
        <v>45870.0</v>
      </c>
    </row>
    <row r="18" hidden="1">
      <c r="A18" s="1" t="s">
        <v>15</v>
      </c>
      <c r="B18" s="1" t="s">
        <v>16</v>
      </c>
      <c r="C18" s="1" t="s">
        <v>17</v>
      </c>
      <c r="D18" s="1">
        <v>26.0</v>
      </c>
      <c r="E18" s="1">
        <v>15.0</v>
      </c>
      <c r="F18" s="1">
        <v>3.0</v>
      </c>
      <c r="G18" s="1">
        <v>8.0</v>
      </c>
      <c r="H18" s="1" t="s">
        <v>18</v>
      </c>
      <c r="I18" s="2">
        <v>45816.0</v>
      </c>
      <c r="J18" s="1">
        <v>8500000.0</v>
      </c>
      <c r="K18" s="2">
        <v>45809.0</v>
      </c>
    </row>
    <row r="19">
      <c r="A19" s="1" t="s">
        <v>11</v>
      </c>
      <c r="B19" s="1" t="s">
        <v>12</v>
      </c>
      <c r="C19" s="1" t="s">
        <v>13</v>
      </c>
      <c r="D19" s="1">
        <v>139.0</v>
      </c>
      <c r="E19" s="1">
        <v>50.0</v>
      </c>
      <c r="F19" s="1">
        <v>1.0</v>
      </c>
      <c r="G19" s="1">
        <v>7.0</v>
      </c>
      <c r="H19" s="1" t="s">
        <v>14</v>
      </c>
      <c r="I19" s="2">
        <v>46317.0</v>
      </c>
      <c r="J19" s="1">
        <v>125000.0</v>
      </c>
      <c r="K19" s="2">
        <v>45839.0</v>
      </c>
    </row>
    <row r="20" hidden="1">
      <c r="A20" s="1" t="s">
        <v>44</v>
      </c>
      <c r="B20" s="1" t="s">
        <v>45</v>
      </c>
      <c r="C20" s="1" t="s">
        <v>42</v>
      </c>
      <c r="D20" s="1">
        <v>49.0</v>
      </c>
      <c r="E20" s="1">
        <v>30.0</v>
      </c>
      <c r="F20" s="1">
        <v>6.0</v>
      </c>
      <c r="G20" s="1">
        <v>9.0</v>
      </c>
      <c r="H20" s="1" t="s">
        <v>43</v>
      </c>
      <c r="I20" s="2">
        <v>45669.0</v>
      </c>
      <c r="J20" s="1">
        <v>350000.0</v>
      </c>
      <c r="K20" s="2">
        <v>45658.0</v>
      </c>
    </row>
    <row r="21" hidden="1">
      <c r="A21" s="1" t="s">
        <v>48</v>
      </c>
      <c r="B21" s="1" t="s">
        <v>49</v>
      </c>
      <c r="C21" s="1" t="s">
        <v>36</v>
      </c>
      <c r="D21" s="1">
        <v>0.0</v>
      </c>
      <c r="E21" s="1">
        <v>120.0</v>
      </c>
      <c r="F21" s="1">
        <v>27.0</v>
      </c>
      <c r="G21" s="1">
        <v>7.0</v>
      </c>
      <c r="H21" s="1" t="s">
        <v>50</v>
      </c>
      <c r="I21" s="2">
        <v>46010.0</v>
      </c>
      <c r="J21" s="1">
        <v>55000.0</v>
      </c>
      <c r="K21" s="2">
        <v>45992.0</v>
      </c>
    </row>
    <row r="22" hidden="1">
      <c r="A22" s="1" t="s">
        <v>21</v>
      </c>
      <c r="B22" s="1" t="s">
        <v>22</v>
      </c>
      <c r="C22" s="1" t="s">
        <v>23</v>
      </c>
      <c r="D22" s="1">
        <v>14.0</v>
      </c>
      <c r="E22" s="1">
        <v>50.0</v>
      </c>
      <c r="F22" s="1">
        <v>11.0</v>
      </c>
      <c r="G22" s="1">
        <v>4.0</v>
      </c>
      <c r="H22" s="1" t="s">
        <v>24</v>
      </c>
      <c r="I22" s="2">
        <v>46062.0</v>
      </c>
      <c r="J22" s="1">
        <v>350000.0</v>
      </c>
      <c r="K22" s="2">
        <v>46054.0</v>
      </c>
    </row>
    <row r="23" hidden="1">
      <c r="A23" s="1" t="s">
        <v>51</v>
      </c>
      <c r="B23" s="1" t="s">
        <v>52</v>
      </c>
      <c r="C23" s="1" t="s">
        <v>36</v>
      </c>
      <c r="D23" s="1">
        <v>0.0</v>
      </c>
      <c r="E23" s="1">
        <v>60.0</v>
      </c>
      <c r="F23" s="1">
        <v>13.0</v>
      </c>
      <c r="G23" s="1">
        <v>4.0</v>
      </c>
      <c r="H23" s="1" t="s">
        <v>50</v>
      </c>
      <c r="I23" s="2">
        <v>46004.0</v>
      </c>
      <c r="J23" s="1">
        <v>175000.0</v>
      </c>
      <c r="K23" s="2">
        <v>45992.0</v>
      </c>
    </row>
    <row r="24" hidden="1">
      <c r="A24" s="1" t="s">
        <v>53</v>
      </c>
      <c r="B24" s="1" t="s">
        <v>54</v>
      </c>
      <c r="C24" s="1" t="s">
        <v>13</v>
      </c>
      <c r="D24" s="1">
        <v>191.0</v>
      </c>
      <c r="E24" s="1">
        <v>60.0</v>
      </c>
      <c r="F24" s="1">
        <v>3.0</v>
      </c>
      <c r="G24" s="1">
        <v>8.0</v>
      </c>
      <c r="H24" s="1" t="s">
        <v>14</v>
      </c>
      <c r="I24" s="2">
        <v>45944.0</v>
      </c>
      <c r="J24" s="1">
        <v>165000.0</v>
      </c>
      <c r="K24" s="2">
        <v>45931.0</v>
      </c>
    </row>
    <row r="25" hidden="1">
      <c r="A25" s="1" t="s">
        <v>55</v>
      </c>
      <c r="B25" s="1" t="s">
        <v>56</v>
      </c>
      <c r="C25" s="1" t="s">
        <v>36</v>
      </c>
      <c r="D25" s="1">
        <v>0.0</v>
      </c>
      <c r="E25" s="1">
        <v>100.0</v>
      </c>
      <c r="F25" s="1">
        <v>24.0</v>
      </c>
      <c r="G25" s="1">
        <v>4.0</v>
      </c>
      <c r="H25" s="1" t="s">
        <v>37</v>
      </c>
      <c r="I25" s="2">
        <v>45747.0</v>
      </c>
      <c r="J25" s="1">
        <v>85000.0</v>
      </c>
      <c r="K25" s="2">
        <v>45717.0</v>
      </c>
    </row>
    <row r="26" hidden="1">
      <c r="A26" s="1" t="s">
        <v>38</v>
      </c>
      <c r="B26" s="1" t="s">
        <v>39</v>
      </c>
      <c r="C26" s="1" t="s">
        <v>23</v>
      </c>
      <c r="D26" s="1">
        <v>23.0</v>
      </c>
      <c r="E26" s="1">
        <v>45.0</v>
      </c>
      <c r="F26" s="1">
        <v>6.0</v>
      </c>
      <c r="G26" s="1">
        <v>6.0</v>
      </c>
      <c r="H26" s="1" t="s">
        <v>24</v>
      </c>
      <c r="I26" s="2">
        <v>45697.0</v>
      </c>
      <c r="J26" s="1">
        <v>450000.0</v>
      </c>
      <c r="K26" s="2">
        <v>45689.0</v>
      </c>
    </row>
    <row r="27" hidden="1">
      <c r="A27" s="1" t="s">
        <v>57</v>
      </c>
      <c r="B27" s="1" t="s">
        <v>58</v>
      </c>
      <c r="C27" s="1" t="s">
        <v>42</v>
      </c>
      <c r="D27" s="1">
        <v>50.0</v>
      </c>
      <c r="E27" s="1">
        <v>25.0</v>
      </c>
      <c r="F27" s="1">
        <v>3.0</v>
      </c>
      <c r="G27" s="1">
        <v>7.0</v>
      </c>
      <c r="H27" s="1" t="s">
        <v>59</v>
      </c>
      <c r="I27" s="2">
        <v>45920.0</v>
      </c>
      <c r="J27" s="1">
        <v>450000.0</v>
      </c>
      <c r="K27" s="2">
        <v>45901.0</v>
      </c>
    </row>
    <row r="28" hidden="1">
      <c r="A28" s="1" t="s">
        <v>57</v>
      </c>
      <c r="B28" s="1" t="s">
        <v>58</v>
      </c>
      <c r="C28" s="1" t="s">
        <v>42</v>
      </c>
      <c r="D28" s="1">
        <v>42.0</v>
      </c>
      <c r="E28" s="1">
        <v>25.0</v>
      </c>
      <c r="F28" s="1">
        <v>3.0</v>
      </c>
      <c r="G28" s="1">
        <v>8.0</v>
      </c>
      <c r="H28" s="1" t="s">
        <v>59</v>
      </c>
      <c r="I28" s="2">
        <v>46078.0</v>
      </c>
      <c r="J28" s="1">
        <v>450000.0</v>
      </c>
      <c r="K28" s="2">
        <v>46054.0</v>
      </c>
    </row>
    <row r="29" hidden="1">
      <c r="A29" s="1" t="s">
        <v>60</v>
      </c>
      <c r="B29" s="1" t="s">
        <v>61</v>
      </c>
      <c r="C29" s="1" t="s">
        <v>17</v>
      </c>
      <c r="D29" s="1">
        <v>-8.0</v>
      </c>
      <c r="E29" s="1">
        <v>20.0</v>
      </c>
      <c r="F29" s="1">
        <v>2.0</v>
      </c>
      <c r="G29" s="1">
        <v>9.0</v>
      </c>
      <c r="H29" s="1" t="s">
        <v>27</v>
      </c>
      <c r="I29" s="2">
        <v>45750.0</v>
      </c>
      <c r="J29" s="1">
        <v>3200000.0</v>
      </c>
      <c r="K29" s="2">
        <v>45748.0</v>
      </c>
    </row>
    <row r="30" hidden="1">
      <c r="A30" s="1" t="s">
        <v>51</v>
      </c>
      <c r="B30" s="1" t="s">
        <v>52</v>
      </c>
      <c r="C30" s="1" t="s">
        <v>36</v>
      </c>
      <c r="D30" s="1">
        <v>31.0</v>
      </c>
      <c r="E30" s="1">
        <v>60.0</v>
      </c>
      <c r="F30" s="1">
        <v>8.0</v>
      </c>
      <c r="G30" s="1">
        <v>7.0</v>
      </c>
      <c r="H30" s="1" t="s">
        <v>50</v>
      </c>
      <c r="I30" s="2">
        <v>45880.0</v>
      </c>
      <c r="J30" s="1">
        <v>175000.0</v>
      </c>
      <c r="K30" s="2">
        <v>45870.0</v>
      </c>
    </row>
    <row r="31" hidden="1">
      <c r="A31" s="1" t="s">
        <v>48</v>
      </c>
      <c r="B31" s="1" t="s">
        <v>49</v>
      </c>
      <c r="C31" s="1" t="s">
        <v>36</v>
      </c>
      <c r="D31" s="1">
        <v>38.0</v>
      </c>
      <c r="E31" s="1">
        <v>120.0</v>
      </c>
      <c r="F31" s="1">
        <v>17.0</v>
      </c>
      <c r="G31" s="1">
        <v>4.0</v>
      </c>
      <c r="H31" s="1" t="s">
        <v>50</v>
      </c>
      <c r="I31" s="2">
        <v>45864.0</v>
      </c>
      <c r="J31" s="1">
        <v>55000.0</v>
      </c>
      <c r="K31" s="2">
        <v>45839.0</v>
      </c>
    </row>
    <row r="32" hidden="1">
      <c r="A32" s="1" t="s">
        <v>11</v>
      </c>
      <c r="B32" s="1" t="s">
        <v>12</v>
      </c>
      <c r="C32" s="1" t="s">
        <v>13</v>
      </c>
      <c r="D32" s="1">
        <v>217.0</v>
      </c>
      <c r="E32" s="1">
        <v>50.0</v>
      </c>
      <c r="F32" s="1">
        <v>3.0</v>
      </c>
      <c r="G32" s="1">
        <v>7.0</v>
      </c>
      <c r="H32" s="1" t="s">
        <v>14</v>
      </c>
      <c r="I32" s="2">
        <v>46111.0</v>
      </c>
      <c r="J32" s="1">
        <v>125000.0</v>
      </c>
      <c r="K32" s="2">
        <v>46082.0</v>
      </c>
    </row>
    <row r="33" hidden="1">
      <c r="A33" s="1" t="s">
        <v>15</v>
      </c>
      <c r="B33" s="1" t="s">
        <v>16</v>
      </c>
      <c r="C33" s="1" t="s">
        <v>17</v>
      </c>
      <c r="D33" s="1">
        <v>11.0</v>
      </c>
      <c r="E33" s="1">
        <v>15.0</v>
      </c>
      <c r="F33" s="1">
        <v>1.0</v>
      </c>
      <c r="G33" s="1">
        <v>5.0</v>
      </c>
      <c r="H33" s="1" t="s">
        <v>18</v>
      </c>
      <c r="I33" s="2">
        <v>45754.0</v>
      </c>
      <c r="J33" s="1">
        <v>8500000.0</v>
      </c>
      <c r="K33" s="2">
        <v>45748.0</v>
      </c>
    </row>
    <row r="34" hidden="1">
      <c r="A34" s="1" t="s">
        <v>38</v>
      </c>
      <c r="B34" s="1" t="s">
        <v>39</v>
      </c>
      <c r="C34" s="1" t="s">
        <v>23</v>
      </c>
      <c r="D34" s="1">
        <v>36.0</v>
      </c>
      <c r="E34" s="1">
        <v>45.0</v>
      </c>
      <c r="F34" s="1">
        <v>7.0</v>
      </c>
      <c r="G34" s="1">
        <v>4.0</v>
      </c>
      <c r="H34" s="1" t="s">
        <v>24</v>
      </c>
      <c r="I34" s="2">
        <v>45883.0</v>
      </c>
      <c r="J34" s="1">
        <v>450000.0</v>
      </c>
      <c r="K34" s="2">
        <v>45870.0</v>
      </c>
    </row>
    <row r="35" hidden="1">
      <c r="A35" s="1" t="s">
        <v>48</v>
      </c>
      <c r="B35" s="1" t="s">
        <v>49</v>
      </c>
      <c r="C35" s="1" t="s">
        <v>36</v>
      </c>
      <c r="D35" s="1">
        <v>0.0</v>
      </c>
      <c r="E35" s="1">
        <v>120.0</v>
      </c>
      <c r="F35" s="1">
        <v>28.0</v>
      </c>
      <c r="G35" s="1">
        <v>6.0</v>
      </c>
      <c r="H35" s="1" t="s">
        <v>50</v>
      </c>
      <c r="I35" s="2">
        <v>45725.0</v>
      </c>
      <c r="J35" s="1">
        <v>55000.0</v>
      </c>
      <c r="K35" s="2">
        <v>45717.0</v>
      </c>
    </row>
    <row r="36" hidden="1">
      <c r="A36" s="1" t="s">
        <v>55</v>
      </c>
      <c r="B36" s="1" t="s">
        <v>56</v>
      </c>
      <c r="C36" s="1" t="s">
        <v>36</v>
      </c>
      <c r="D36" s="1">
        <v>-18.0</v>
      </c>
      <c r="E36" s="1">
        <v>100.0</v>
      </c>
      <c r="F36" s="1">
        <v>21.0</v>
      </c>
      <c r="G36" s="1">
        <v>3.0</v>
      </c>
      <c r="H36" s="1" t="s">
        <v>37</v>
      </c>
      <c r="I36" s="2">
        <v>46006.0</v>
      </c>
      <c r="J36" s="1">
        <v>85000.0</v>
      </c>
      <c r="K36" s="2">
        <v>45992.0</v>
      </c>
    </row>
    <row r="37" hidden="1">
      <c r="A37" s="1" t="s">
        <v>62</v>
      </c>
      <c r="B37" s="1" t="s">
        <v>63</v>
      </c>
      <c r="C37" s="1" t="s">
        <v>13</v>
      </c>
      <c r="D37" s="1">
        <v>375.0</v>
      </c>
      <c r="E37" s="1">
        <v>80.0</v>
      </c>
      <c r="F37" s="1">
        <v>5.0</v>
      </c>
      <c r="G37" s="1">
        <v>6.0</v>
      </c>
      <c r="H37" s="1" t="s">
        <v>33</v>
      </c>
      <c r="I37" s="2">
        <v>45737.0</v>
      </c>
      <c r="J37" s="1">
        <v>85000.0</v>
      </c>
      <c r="K37" s="2">
        <v>45717.0</v>
      </c>
    </row>
    <row r="38" hidden="1">
      <c r="A38" s="1" t="s">
        <v>19</v>
      </c>
      <c r="B38" s="1" t="s">
        <v>20</v>
      </c>
      <c r="C38" s="1" t="s">
        <v>17</v>
      </c>
      <c r="D38" s="1">
        <v>24.0</v>
      </c>
      <c r="E38" s="1">
        <v>30.0</v>
      </c>
      <c r="F38" s="1">
        <v>4.0</v>
      </c>
      <c r="G38" s="1">
        <v>5.0</v>
      </c>
      <c r="H38" s="1" t="s">
        <v>18</v>
      </c>
      <c r="I38" s="2">
        <v>45670.0</v>
      </c>
      <c r="J38" s="1">
        <v>1200000.0</v>
      </c>
      <c r="K38" s="2">
        <v>45658.0</v>
      </c>
    </row>
    <row r="39" hidden="1">
      <c r="A39" s="1" t="s">
        <v>25</v>
      </c>
      <c r="B39" s="1" t="s">
        <v>26</v>
      </c>
      <c r="C39" s="1" t="s">
        <v>17</v>
      </c>
      <c r="D39" s="1">
        <v>22.0</v>
      </c>
      <c r="E39" s="1">
        <v>25.0</v>
      </c>
      <c r="F39" s="1">
        <v>5.0</v>
      </c>
      <c r="G39" s="1">
        <v>14.0</v>
      </c>
      <c r="H39" s="1" t="s">
        <v>27</v>
      </c>
      <c r="I39" s="2">
        <v>45722.0</v>
      </c>
      <c r="J39" s="1">
        <v>4500000.0</v>
      </c>
      <c r="K39" s="2">
        <v>45717.0</v>
      </c>
    </row>
    <row r="40" hidden="1">
      <c r="A40" s="1" t="s">
        <v>44</v>
      </c>
      <c r="B40" s="1" t="s">
        <v>45</v>
      </c>
      <c r="C40" s="1" t="s">
        <v>42</v>
      </c>
      <c r="D40" s="1">
        <v>59.0</v>
      </c>
      <c r="E40" s="1">
        <v>30.0</v>
      </c>
      <c r="F40" s="1">
        <v>3.0</v>
      </c>
      <c r="G40" s="1">
        <v>6.0</v>
      </c>
      <c r="H40" s="1" t="s">
        <v>43</v>
      </c>
      <c r="I40" s="2">
        <v>45880.0</v>
      </c>
      <c r="J40" s="1">
        <v>350000.0</v>
      </c>
      <c r="K40" s="2">
        <v>45870.0</v>
      </c>
    </row>
    <row r="41" hidden="1">
      <c r="A41" s="1" t="s">
        <v>57</v>
      </c>
      <c r="B41" s="1" t="s">
        <v>58</v>
      </c>
      <c r="C41" s="1" t="s">
        <v>42</v>
      </c>
      <c r="D41" s="1">
        <v>22.0</v>
      </c>
      <c r="E41" s="1">
        <v>25.0</v>
      </c>
      <c r="F41" s="1">
        <v>2.0</v>
      </c>
      <c r="G41" s="1">
        <v>6.0</v>
      </c>
      <c r="H41" s="1" t="s">
        <v>59</v>
      </c>
      <c r="I41" s="2">
        <v>46000.0</v>
      </c>
      <c r="J41" s="1">
        <v>450000.0</v>
      </c>
      <c r="K41" s="2">
        <v>45992.0</v>
      </c>
    </row>
    <row r="42" hidden="1">
      <c r="A42" s="1" t="s">
        <v>60</v>
      </c>
      <c r="B42" s="1" t="s">
        <v>61</v>
      </c>
      <c r="C42" s="1" t="s">
        <v>17</v>
      </c>
      <c r="D42" s="1">
        <v>30.0</v>
      </c>
      <c r="E42" s="1">
        <v>20.0</v>
      </c>
      <c r="F42" s="1">
        <v>1.0</v>
      </c>
      <c r="G42" s="1">
        <v>14.0</v>
      </c>
      <c r="H42" s="1" t="s">
        <v>27</v>
      </c>
      <c r="I42" s="2">
        <v>46048.0</v>
      </c>
      <c r="J42" s="1">
        <v>3200000.0</v>
      </c>
      <c r="K42" s="2">
        <v>46023.0</v>
      </c>
    </row>
    <row r="43" hidden="1">
      <c r="A43" s="1" t="s">
        <v>25</v>
      </c>
      <c r="B43" s="1" t="s">
        <v>26</v>
      </c>
      <c r="C43" s="1" t="s">
        <v>17</v>
      </c>
      <c r="D43" s="1">
        <v>2.0</v>
      </c>
      <c r="E43" s="1">
        <v>25.0</v>
      </c>
      <c r="F43" s="1">
        <v>3.0</v>
      </c>
      <c r="G43" s="1">
        <v>20.0</v>
      </c>
      <c r="H43" s="1" t="s">
        <v>27</v>
      </c>
      <c r="I43" s="2">
        <v>45950.0</v>
      </c>
      <c r="J43" s="1">
        <v>4500000.0</v>
      </c>
      <c r="K43" s="2">
        <v>45931.0</v>
      </c>
    </row>
    <row r="44" hidden="1">
      <c r="A44" s="1" t="s">
        <v>31</v>
      </c>
      <c r="B44" s="1" t="s">
        <v>32</v>
      </c>
      <c r="C44" s="1" t="s">
        <v>13</v>
      </c>
      <c r="D44" s="1">
        <v>184.0</v>
      </c>
      <c r="E44" s="1">
        <v>40.0</v>
      </c>
      <c r="F44" s="1">
        <v>3.0</v>
      </c>
      <c r="G44" s="1">
        <v>6.0</v>
      </c>
      <c r="H44" s="1" t="s">
        <v>33</v>
      </c>
      <c r="I44" s="2">
        <v>45682.0</v>
      </c>
      <c r="J44" s="1">
        <v>550000.0</v>
      </c>
      <c r="K44" s="2">
        <v>45658.0</v>
      </c>
    </row>
    <row r="45" hidden="1">
      <c r="A45" s="1" t="s">
        <v>64</v>
      </c>
      <c r="B45" s="1" t="s">
        <v>65</v>
      </c>
      <c r="C45" s="1" t="s">
        <v>42</v>
      </c>
      <c r="D45" s="1">
        <v>19.0</v>
      </c>
      <c r="E45" s="1">
        <v>20.0</v>
      </c>
      <c r="F45" s="1">
        <v>4.0</v>
      </c>
      <c r="G45" s="1">
        <v>9.0</v>
      </c>
      <c r="H45" s="1" t="s">
        <v>59</v>
      </c>
      <c r="I45" s="2">
        <v>45782.0</v>
      </c>
      <c r="J45" s="1">
        <v>750000.0</v>
      </c>
      <c r="K45" s="2">
        <v>45778.0</v>
      </c>
    </row>
    <row r="46" hidden="1">
      <c r="A46" s="1" t="s">
        <v>62</v>
      </c>
      <c r="B46" s="1" t="s">
        <v>63</v>
      </c>
      <c r="C46" s="1" t="s">
        <v>13</v>
      </c>
      <c r="D46" s="1">
        <v>268.0</v>
      </c>
      <c r="E46" s="1">
        <v>80.0</v>
      </c>
      <c r="F46" s="1">
        <v>4.0</v>
      </c>
      <c r="G46" s="1">
        <v>4.0</v>
      </c>
      <c r="H46" s="1" t="s">
        <v>33</v>
      </c>
      <c r="I46" s="2">
        <v>46099.0</v>
      </c>
      <c r="J46" s="1">
        <v>85000.0</v>
      </c>
      <c r="K46" s="2">
        <v>46082.0</v>
      </c>
    </row>
    <row r="47" hidden="1">
      <c r="A47" s="1" t="s">
        <v>34</v>
      </c>
      <c r="B47" s="1" t="s">
        <v>35</v>
      </c>
      <c r="C47" s="1" t="s">
        <v>36</v>
      </c>
      <c r="D47" s="1">
        <v>31.0</v>
      </c>
      <c r="E47" s="1">
        <v>80.0</v>
      </c>
      <c r="F47" s="1">
        <v>13.0</v>
      </c>
      <c r="G47" s="1">
        <v>4.0</v>
      </c>
      <c r="H47" s="1" t="s">
        <v>37</v>
      </c>
      <c r="I47" s="2">
        <v>45857.0</v>
      </c>
      <c r="J47" s="1">
        <v>65000.0</v>
      </c>
      <c r="K47" s="2">
        <v>45839.0</v>
      </c>
    </row>
    <row r="48" hidden="1">
      <c r="A48" s="1" t="s">
        <v>55</v>
      </c>
      <c r="B48" s="1" t="s">
        <v>56</v>
      </c>
      <c r="C48" s="1" t="s">
        <v>36</v>
      </c>
      <c r="D48" s="1">
        <v>28.0</v>
      </c>
      <c r="E48" s="1">
        <v>100.0</v>
      </c>
      <c r="F48" s="1">
        <v>17.0</v>
      </c>
      <c r="G48" s="1">
        <v>3.0</v>
      </c>
      <c r="H48" s="1" t="s">
        <v>37</v>
      </c>
      <c r="I48" s="2">
        <v>46070.0</v>
      </c>
      <c r="J48" s="1">
        <v>85000.0</v>
      </c>
      <c r="K48" s="2">
        <v>46054.0</v>
      </c>
    </row>
    <row r="49" hidden="1">
      <c r="A49" s="1" t="s">
        <v>15</v>
      </c>
      <c r="B49" s="1" t="s">
        <v>16</v>
      </c>
      <c r="C49" s="1" t="s">
        <v>17</v>
      </c>
      <c r="D49" s="1">
        <v>22.0</v>
      </c>
      <c r="E49" s="1">
        <v>15.0</v>
      </c>
      <c r="F49" s="1">
        <v>2.0</v>
      </c>
      <c r="G49" s="1">
        <v>7.0</v>
      </c>
      <c r="H49" s="1" t="s">
        <v>18</v>
      </c>
      <c r="I49" s="2">
        <v>45878.0</v>
      </c>
      <c r="J49" s="1">
        <v>8500000.0</v>
      </c>
      <c r="K49" s="2">
        <v>45870.0</v>
      </c>
    </row>
    <row r="50" hidden="1">
      <c r="A50" s="1" t="s">
        <v>48</v>
      </c>
      <c r="B50" s="1" t="s">
        <v>49</v>
      </c>
      <c r="C50" s="1" t="s">
        <v>36</v>
      </c>
      <c r="D50" s="1">
        <v>27.0</v>
      </c>
      <c r="E50" s="1">
        <v>120.0</v>
      </c>
      <c r="F50" s="1">
        <v>18.0</v>
      </c>
      <c r="G50" s="1">
        <v>4.0</v>
      </c>
      <c r="H50" s="1" t="s">
        <v>50</v>
      </c>
      <c r="I50" s="2">
        <v>45782.0</v>
      </c>
      <c r="J50" s="1">
        <v>55000.0</v>
      </c>
      <c r="K50" s="2">
        <v>45778.0</v>
      </c>
    </row>
    <row r="51" hidden="1">
      <c r="A51" s="1" t="s">
        <v>38</v>
      </c>
      <c r="B51" s="1" t="s">
        <v>39</v>
      </c>
      <c r="C51" s="1" t="s">
        <v>23</v>
      </c>
      <c r="D51" s="1">
        <v>0.0</v>
      </c>
      <c r="E51" s="1">
        <v>45.0</v>
      </c>
      <c r="F51" s="1">
        <v>10.0</v>
      </c>
      <c r="G51" s="1">
        <v>3.0</v>
      </c>
      <c r="H51" s="1" t="s">
        <v>24</v>
      </c>
      <c r="I51" s="2">
        <v>45737.0</v>
      </c>
      <c r="J51" s="1">
        <v>450000.0</v>
      </c>
      <c r="K51" s="2">
        <v>45717.0</v>
      </c>
    </row>
    <row r="52" hidden="1">
      <c r="A52" s="1" t="s">
        <v>46</v>
      </c>
      <c r="B52" s="1" t="s">
        <v>47</v>
      </c>
      <c r="C52" s="1" t="s">
        <v>23</v>
      </c>
      <c r="D52" s="1">
        <v>0.0</v>
      </c>
      <c r="E52" s="1">
        <v>40.0</v>
      </c>
      <c r="F52" s="1">
        <v>8.0</v>
      </c>
      <c r="G52" s="1">
        <v>3.0</v>
      </c>
      <c r="H52" s="1" t="s">
        <v>30</v>
      </c>
      <c r="I52" s="2">
        <v>46018.0</v>
      </c>
      <c r="J52" s="1">
        <v>550000.0</v>
      </c>
      <c r="K52" s="2">
        <v>45992.0</v>
      </c>
    </row>
    <row r="53" hidden="1">
      <c r="A53" s="1" t="s">
        <v>55</v>
      </c>
      <c r="B53" s="1" t="s">
        <v>56</v>
      </c>
      <c r="C53" s="1" t="s">
        <v>36</v>
      </c>
      <c r="D53" s="1">
        <v>35.0</v>
      </c>
      <c r="E53" s="1">
        <v>100.0</v>
      </c>
      <c r="F53" s="1">
        <v>14.0</v>
      </c>
      <c r="G53" s="1">
        <v>3.0</v>
      </c>
      <c r="H53" s="1" t="s">
        <v>37</v>
      </c>
      <c r="I53" s="2">
        <v>45685.0</v>
      </c>
      <c r="J53" s="1">
        <v>85000.0</v>
      </c>
      <c r="K53" s="2">
        <v>45658.0</v>
      </c>
    </row>
    <row r="54" hidden="1">
      <c r="A54" s="1" t="s">
        <v>28</v>
      </c>
      <c r="B54" s="1" t="s">
        <v>29</v>
      </c>
      <c r="C54" s="1" t="s">
        <v>23</v>
      </c>
      <c r="D54" s="1">
        <v>0.0</v>
      </c>
      <c r="E54" s="1">
        <v>35.0</v>
      </c>
      <c r="F54" s="1">
        <v>9.0</v>
      </c>
      <c r="G54" s="1">
        <v>5.0</v>
      </c>
      <c r="H54" s="1" t="s">
        <v>30</v>
      </c>
      <c r="I54" s="2">
        <v>46095.0</v>
      </c>
      <c r="J54" s="1">
        <v>1250000.0</v>
      </c>
      <c r="K54" s="2">
        <v>46082.0</v>
      </c>
    </row>
    <row r="55" hidden="1">
      <c r="A55" s="1" t="s">
        <v>38</v>
      </c>
      <c r="B55" s="1" t="s">
        <v>39</v>
      </c>
      <c r="C55" s="1" t="s">
        <v>23</v>
      </c>
      <c r="D55" s="1">
        <v>40.0</v>
      </c>
      <c r="E55" s="1">
        <v>45.0</v>
      </c>
      <c r="F55" s="1">
        <v>5.0</v>
      </c>
      <c r="G55" s="1">
        <v>3.0</v>
      </c>
      <c r="H55" s="1" t="s">
        <v>24</v>
      </c>
      <c r="I55" s="2">
        <v>45959.0</v>
      </c>
      <c r="J55" s="1">
        <v>450000.0</v>
      </c>
      <c r="K55" s="2">
        <v>45931.0</v>
      </c>
    </row>
    <row r="56" hidden="1">
      <c r="A56" s="1" t="s">
        <v>64</v>
      </c>
      <c r="B56" s="1" t="s">
        <v>65</v>
      </c>
      <c r="C56" s="1" t="s">
        <v>42</v>
      </c>
      <c r="D56" s="1">
        <v>29.0</v>
      </c>
      <c r="E56" s="1">
        <v>20.0</v>
      </c>
      <c r="F56" s="1">
        <v>4.0</v>
      </c>
      <c r="G56" s="1">
        <v>10.0</v>
      </c>
      <c r="H56" s="1" t="s">
        <v>59</v>
      </c>
      <c r="I56" s="2">
        <v>45826.0</v>
      </c>
      <c r="J56" s="1">
        <v>750000.0</v>
      </c>
      <c r="K56" s="2">
        <v>45809.0</v>
      </c>
    </row>
    <row r="57" hidden="1">
      <c r="A57" s="1" t="s">
        <v>40</v>
      </c>
      <c r="B57" s="1" t="s">
        <v>41</v>
      </c>
      <c r="C57" s="1" t="s">
        <v>42</v>
      </c>
      <c r="D57" s="1">
        <v>30.0</v>
      </c>
      <c r="E57" s="1">
        <v>15.0</v>
      </c>
      <c r="F57" s="1">
        <v>2.0</v>
      </c>
      <c r="G57" s="1">
        <v>9.0</v>
      </c>
      <c r="H57" s="1" t="s">
        <v>43</v>
      </c>
      <c r="I57" s="2">
        <v>45892.0</v>
      </c>
      <c r="J57" s="1">
        <v>1200000.0</v>
      </c>
      <c r="K57" s="2">
        <v>45870.0</v>
      </c>
    </row>
    <row r="58" hidden="1">
      <c r="A58" s="1" t="s">
        <v>31</v>
      </c>
      <c r="B58" s="1" t="s">
        <v>32</v>
      </c>
      <c r="C58" s="1" t="s">
        <v>13</v>
      </c>
      <c r="D58" s="1">
        <v>91.0</v>
      </c>
      <c r="E58" s="1">
        <v>40.0</v>
      </c>
      <c r="F58" s="1">
        <v>3.0</v>
      </c>
      <c r="G58" s="1">
        <v>5.0</v>
      </c>
      <c r="H58" s="1" t="s">
        <v>33</v>
      </c>
      <c r="I58" s="2">
        <v>45724.0</v>
      </c>
      <c r="J58" s="1">
        <v>550000.0</v>
      </c>
      <c r="K58" s="2">
        <v>45717.0</v>
      </c>
    </row>
    <row r="59" hidden="1">
      <c r="A59" s="1" t="s">
        <v>53</v>
      </c>
      <c r="B59" s="1" t="s">
        <v>54</v>
      </c>
      <c r="C59" s="1" t="s">
        <v>13</v>
      </c>
      <c r="D59" s="1">
        <v>299.0</v>
      </c>
      <c r="E59" s="1">
        <v>60.0</v>
      </c>
      <c r="F59" s="1">
        <v>1.0</v>
      </c>
      <c r="G59" s="1">
        <v>7.0</v>
      </c>
      <c r="H59" s="1" t="s">
        <v>14</v>
      </c>
      <c r="I59" s="2">
        <v>45756.0</v>
      </c>
      <c r="J59" s="1">
        <v>165000.0</v>
      </c>
      <c r="K59" s="2">
        <v>45748.0</v>
      </c>
    </row>
    <row r="60" hidden="1">
      <c r="A60" s="1" t="s">
        <v>62</v>
      </c>
      <c r="B60" s="1" t="s">
        <v>63</v>
      </c>
      <c r="C60" s="1" t="s">
        <v>13</v>
      </c>
      <c r="D60" s="1">
        <v>392.0</v>
      </c>
      <c r="E60" s="1">
        <v>80.0</v>
      </c>
      <c r="F60" s="1">
        <v>5.0</v>
      </c>
      <c r="G60" s="1">
        <v>4.0</v>
      </c>
      <c r="H60" s="1" t="s">
        <v>33</v>
      </c>
      <c r="I60" s="2">
        <v>45701.0</v>
      </c>
      <c r="J60" s="1">
        <v>85000.0</v>
      </c>
      <c r="K60" s="2">
        <v>45689.0</v>
      </c>
    </row>
    <row r="61" hidden="1">
      <c r="A61" s="1" t="s">
        <v>53</v>
      </c>
      <c r="B61" s="1" t="s">
        <v>54</v>
      </c>
      <c r="C61" s="1" t="s">
        <v>13</v>
      </c>
      <c r="D61" s="1">
        <v>198.0</v>
      </c>
      <c r="E61" s="1">
        <v>60.0</v>
      </c>
      <c r="F61" s="1">
        <v>3.0</v>
      </c>
      <c r="G61" s="1">
        <v>8.0</v>
      </c>
      <c r="H61" s="1" t="s">
        <v>14</v>
      </c>
      <c r="I61" s="2">
        <v>45712.0</v>
      </c>
      <c r="J61" s="1">
        <v>165000.0</v>
      </c>
      <c r="K61" s="2">
        <v>45689.0</v>
      </c>
    </row>
    <row r="62" hidden="1">
      <c r="A62" s="1" t="s">
        <v>11</v>
      </c>
      <c r="B62" s="1" t="s">
        <v>12</v>
      </c>
      <c r="C62" s="1" t="s">
        <v>13</v>
      </c>
      <c r="D62" s="1">
        <v>238.0</v>
      </c>
      <c r="E62" s="1">
        <v>50.0</v>
      </c>
      <c r="F62" s="1">
        <v>2.0</v>
      </c>
      <c r="G62" s="1">
        <v>7.0</v>
      </c>
      <c r="H62" s="1" t="s">
        <v>14</v>
      </c>
      <c r="I62" s="2">
        <v>45671.0</v>
      </c>
      <c r="J62" s="1">
        <v>125000.0</v>
      </c>
      <c r="K62" s="2">
        <v>45658.0</v>
      </c>
    </row>
    <row r="63" hidden="1">
      <c r="A63" s="1" t="s">
        <v>46</v>
      </c>
      <c r="B63" s="1" t="s">
        <v>47</v>
      </c>
      <c r="C63" s="1" t="s">
        <v>23</v>
      </c>
      <c r="D63" s="1">
        <v>44.0</v>
      </c>
      <c r="E63" s="1">
        <v>40.0</v>
      </c>
      <c r="F63" s="1">
        <v>5.0</v>
      </c>
      <c r="G63" s="1">
        <v>6.0</v>
      </c>
      <c r="H63" s="1" t="s">
        <v>30</v>
      </c>
      <c r="I63" s="2">
        <v>45799.0</v>
      </c>
      <c r="J63" s="1">
        <v>550000.0</v>
      </c>
      <c r="K63" s="2">
        <v>45778.0</v>
      </c>
    </row>
    <row r="64" hidden="1">
      <c r="A64" s="1" t="s">
        <v>46</v>
      </c>
      <c r="B64" s="1" t="s">
        <v>47</v>
      </c>
      <c r="C64" s="1" t="s">
        <v>23</v>
      </c>
      <c r="D64" s="1">
        <v>28.0</v>
      </c>
      <c r="E64" s="1">
        <v>40.0</v>
      </c>
      <c r="F64" s="1">
        <v>3.0</v>
      </c>
      <c r="G64" s="1">
        <v>6.0</v>
      </c>
      <c r="H64" s="1" t="s">
        <v>30</v>
      </c>
      <c r="I64" s="2">
        <v>45956.0</v>
      </c>
      <c r="J64" s="1">
        <v>550000.0</v>
      </c>
      <c r="K64" s="2">
        <v>45931.0</v>
      </c>
    </row>
    <row r="65" hidden="1">
      <c r="A65" s="1" t="s">
        <v>46</v>
      </c>
      <c r="B65" s="1" t="s">
        <v>47</v>
      </c>
      <c r="C65" s="1" t="s">
        <v>23</v>
      </c>
      <c r="D65" s="1">
        <v>29.0</v>
      </c>
      <c r="E65" s="1">
        <v>40.0</v>
      </c>
      <c r="F65" s="1">
        <v>4.0</v>
      </c>
      <c r="G65" s="1">
        <v>9.0</v>
      </c>
      <c r="H65" s="1" t="s">
        <v>30</v>
      </c>
      <c r="I65" s="2">
        <v>45839.0</v>
      </c>
      <c r="J65" s="1">
        <v>550000.0</v>
      </c>
      <c r="K65" s="2">
        <v>45839.0</v>
      </c>
    </row>
    <row r="66" hidden="1">
      <c r="A66" s="1" t="s">
        <v>62</v>
      </c>
      <c r="B66" s="1" t="s">
        <v>63</v>
      </c>
      <c r="C66" s="1" t="s">
        <v>13</v>
      </c>
      <c r="D66" s="1">
        <v>468.0</v>
      </c>
      <c r="E66" s="1">
        <v>80.0</v>
      </c>
      <c r="F66" s="1">
        <v>5.0</v>
      </c>
      <c r="G66" s="1">
        <v>6.0</v>
      </c>
      <c r="H66" s="1" t="s">
        <v>33</v>
      </c>
      <c r="I66" s="2">
        <v>46079.0</v>
      </c>
      <c r="J66" s="1">
        <v>85000.0</v>
      </c>
      <c r="K66" s="2">
        <v>46054.0</v>
      </c>
    </row>
    <row r="67" hidden="1">
      <c r="A67" s="1" t="s">
        <v>57</v>
      </c>
      <c r="B67" s="1" t="s">
        <v>58</v>
      </c>
      <c r="C67" s="1" t="s">
        <v>42</v>
      </c>
      <c r="D67" s="1">
        <v>16.0</v>
      </c>
      <c r="E67" s="1">
        <v>25.0</v>
      </c>
      <c r="F67" s="1">
        <v>3.0</v>
      </c>
      <c r="G67" s="1">
        <v>6.0</v>
      </c>
      <c r="H67" s="1" t="s">
        <v>59</v>
      </c>
      <c r="I67" s="2">
        <v>45982.0</v>
      </c>
      <c r="J67" s="1">
        <v>450000.0</v>
      </c>
      <c r="K67" s="2">
        <v>45962.0</v>
      </c>
    </row>
    <row r="68" hidden="1">
      <c r="A68" s="1" t="s">
        <v>62</v>
      </c>
      <c r="B68" s="1" t="s">
        <v>63</v>
      </c>
      <c r="C68" s="1" t="s">
        <v>13</v>
      </c>
      <c r="D68" s="1">
        <v>320.0</v>
      </c>
      <c r="E68" s="1">
        <v>80.0</v>
      </c>
      <c r="F68" s="1">
        <v>5.0</v>
      </c>
      <c r="G68" s="1">
        <v>4.0</v>
      </c>
      <c r="H68" s="1" t="s">
        <v>33</v>
      </c>
      <c r="I68" s="2">
        <v>45909.0</v>
      </c>
      <c r="J68" s="1">
        <v>85000.0</v>
      </c>
      <c r="K68" s="2">
        <v>45901.0</v>
      </c>
    </row>
    <row r="69" hidden="1">
      <c r="A69" s="1" t="s">
        <v>38</v>
      </c>
      <c r="B69" s="1" t="s">
        <v>39</v>
      </c>
      <c r="C69" s="1" t="s">
        <v>23</v>
      </c>
      <c r="D69" s="1">
        <v>0.0</v>
      </c>
      <c r="E69" s="1">
        <v>45.0</v>
      </c>
      <c r="F69" s="1">
        <v>10.0</v>
      </c>
      <c r="G69" s="1">
        <v>4.0</v>
      </c>
      <c r="H69" s="1" t="s">
        <v>24</v>
      </c>
      <c r="I69" s="2">
        <v>45768.0</v>
      </c>
      <c r="J69" s="1">
        <v>450000.0</v>
      </c>
      <c r="K69" s="2">
        <v>45748.0</v>
      </c>
    </row>
    <row r="70" hidden="1">
      <c r="A70" s="1" t="s">
        <v>55</v>
      </c>
      <c r="B70" s="1" t="s">
        <v>56</v>
      </c>
      <c r="C70" s="1" t="s">
        <v>36</v>
      </c>
      <c r="D70" s="1">
        <v>29.0</v>
      </c>
      <c r="E70" s="1">
        <v>100.0</v>
      </c>
      <c r="F70" s="1">
        <v>16.0</v>
      </c>
      <c r="G70" s="1">
        <v>5.0</v>
      </c>
      <c r="H70" s="1" t="s">
        <v>37</v>
      </c>
      <c r="I70" s="2">
        <v>45813.0</v>
      </c>
      <c r="J70" s="1">
        <v>85000.0</v>
      </c>
      <c r="K70" s="2">
        <v>45809.0</v>
      </c>
    </row>
    <row r="71" hidden="1">
      <c r="A71" s="1" t="s">
        <v>19</v>
      </c>
      <c r="B71" s="1" t="s">
        <v>20</v>
      </c>
      <c r="C71" s="1" t="s">
        <v>17</v>
      </c>
      <c r="D71" s="1">
        <v>34.0</v>
      </c>
      <c r="E71" s="1">
        <v>30.0</v>
      </c>
      <c r="F71" s="1">
        <v>4.0</v>
      </c>
      <c r="G71" s="1">
        <v>5.0</v>
      </c>
      <c r="H71" s="1" t="s">
        <v>18</v>
      </c>
      <c r="I71" s="2">
        <v>46083.0</v>
      </c>
      <c r="J71" s="1">
        <v>1200000.0</v>
      </c>
      <c r="K71" s="2">
        <v>46082.0</v>
      </c>
    </row>
    <row r="72" hidden="1">
      <c r="A72" s="1" t="s">
        <v>55</v>
      </c>
      <c r="B72" s="1" t="s">
        <v>56</v>
      </c>
      <c r="C72" s="1" t="s">
        <v>36</v>
      </c>
      <c r="D72" s="1">
        <v>60.0</v>
      </c>
      <c r="E72" s="1">
        <v>100.0</v>
      </c>
      <c r="F72" s="1">
        <v>12.0</v>
      </c>
      <c r="G72" s="1">
        <v>4.0</v>
      </c>
      <c r="H72" s="1" t="s">
        <v>37</v>
      </c>
      <c r="I72" s="2">
        <v>45928.0</v>
      </c>
      <c r="J72" s="1">
        <v>85000.0</v>
      </c>
      <c r="K72" s="2">
        <v>45901.0</v>
      </c>
    </row>
    <row r="73" hidden="1">
      <c r="A73" s="1" t="s">
        <v>15</v>
      </c>
      <c r="B73" s="1" t="s">
        <v>16</v>
      </c>
      <c r="C73" s="1" t="s">
        <v>17</v>
      </c>
      <c r="D73" s="1">
        <v>1.0</v>
      </c>
      <c r="E73" s="1">
        <v>15.0</v>
      </c>
      <c r="F73" s="1">
        <v>2.0</v>
      </c>
      <c r="G73" s="1">
        <v>6.0</v>
      </c>
      <c r="H73" s="1" t="s">
        <v>18</v>
      </c>
      <c r="I73" s="2">
        <v>45861.0</v>
      </c>
      <c r="J73" s="1">
        <v>8500000.0</v>
      </c>
      <c r="K73" s="2">
        <v>45839.0</v>
      </c>
    </row>
    <row r="74" hidden="1">
      <c r="A74" s="1" t="s">
        <v>31</v>
      </c>
      <c r="B74" s="1" t="s">
        <v>32</v>
      </c>
      <c r="C74" s="1" t="s">
        <v>13</v>
      </c>
      <c r="D74" s="1">
        <v>177.0</v>
      </c>
      <c r="E74" s="1">
        <v>40.0</v>
      </c>
      <c r="F74" s="1">
        <v>2.0</v>
      </c>
      <c r="G74" s="1">
        <v>4.0</v>
      </c>
      <c r="H74" s="1" t="s">
        <v>33</v>
      </c>
      <c r="I74" s="2">
        <v>45757.0</v>
      </c>
      <c r="J74" s="1">
        <v>550000.0</v>
      </c>
      <c r="K74" s="2">
        <v>45748.0</v>
      </c>
    </row>
    <row r="75" hidden="1">
      <c r="A75" s="1" t="s">
        <v>60</v>
      </c>
      <c r="B75" s="1" t="s">
        <v>61</v>
      </c>
      <c r="C75" s="1" t="s">
        <v>17</v>
      </c>
      <c r="D75" s="1">
        <v>28.0</v>
      </c>
      <c r="E75" s="1">
        <v>20.0</v>
      </c>
      <c r="F75" s="1">
        <v>1.0</v>
      </c>
      <c r="G75" s="1">
        <v>11.0</v>
      </c>
      <c r="H75" s="1" t="s">
        <v>27</v>
      </c>
      <c r="I75" s="2">
        <v>45669.0</v>
      </c>
      <c r="J75" s="1">
        <v>3200000.0</v>
      </c>
      <c r="K75" s="2">
        <v>45658.0</v>
      </c>
    </row>
    <row r="76" hidden="1">
      <c r="A76" s="1" t="s">
        <v>25</v>
      </c>
      <c r="B76" s="1" t="s">
        <v>26</v>
      </c>
      <c r="C76" s="1" t="s">
        <v>17</v>
      </c>
      <c r="D76" s="1">
        <v>42.0</v>
      </c>
      <c r="E76" s="1">
        <v>25.0</v>
      </c>
      <c r="F76" s="1">
        <v>4.0</v>
      </c>
      <c r="G76" s="1">
        <v>19.0</v>
      </c>
      <c r="H76" s="1" t="s">
        <v>27</v>
      </c>
      <c r="I76" s="2">
        <v>45881.0</v>
      </c>
      <c r="J76" s="1">
        <v>4500000.0</v>
      </c>
      <c r="K76" s="2">
        <v>45870.0</v>
      </c>
    </row>
    <row r="77" hidden="1">
      <c r="A77" s="1" t="s">
        <v>51</v>
      </c>
      <c r="B77" s="1" t="s">
        <v>52</v>
      </c>
      <c r="C77" s="1" t="s">
        <v>36</v>
      </c>
      <c r="D77" s="1">
        <v>18.0</v>
      </c>
      <c r="E77" s="1">
        <v>60.0</v>
      </c>
      <c r="F77" s="1">
        <v>8.0</v>
      </c>
      <c r="G77" s="1">
        <v>5.0</v>
      </c>
      <c r="H77" s="1" t="s">
        <v>50</v>
      </c>
      <c r="I77" s="2">
        <v>45712.0</v>
      </c>
      <c r="K77" s="2">
        <v>45689.0</v>
      </c>
    </row>
    <row r="78" hidden="1">
      <c r="A78" s="1" t="s">
        <v>19</v>
      </c>
      <c r="B78" s="1" t="s">
        <v>20</v>
      </c>
      <c r="C78" s="1" t="s">
        <v>17</v>
      </c>
      <c r="D78" s="1">
        <v>17.0</v>
      </c>
      <c r="E78" s="1">
        <v>30.0</v>
      </c>
      <c r="F78" s="1">
        <v>6.0</v>
      </c>
      <c r="G78" s="1">
        <v>8.0</v>
      </c>
      <c r="H78" s="1" t="s">
        <v>18</v>
      </c>
      <c r="I78" s="2">
        <v>45996.0</v>
      </c>
      <c r="J78" s="1">
        <v>1200000.0</v>
      </c>
      <c r="K78" s="2">
        <v>45992.0</v>
      </c>
    </row>
    <row r="79" hidden="1">
      <c r="A79" s="1" t="s">
        <v>11</v>
      </c>
      <c r="B79" s="1" t="s">
        <v>12</v>
      </c>
      <c r="C79" s="1" t="s">
        <v>13</v>
      </c>
      <c r="D79" s="1">
        <v>238.0</v>
      </c>
      <c r="E79" s="1">
        <v>50.0</v>
      </c>
      <c r="F79" s="1">
        <v>2.0</v>
      </c>
      <c r="G79" s="1">
        <v>7.0</v>
      </c>
      <c r="H79" s="1" t="s">
        <v>14</v>
      </c>
      <c r="I79" s="2">
        <v>45671.0</v>
      </c>
      <c r="J79" s="1">
        <v>125000.0</v>
      </c>
      <c r="K79" s="2">
        <v>45658.0</v>
      </c>
    </row>
    <row r="80" hidden="1">
      <c r="A80" s="1" t="s">
        <v>46</v>
      </c>
      <c r="B80" s="1" t="s">
        <v>47</v>
      </c>
      <c r="C80" s="1" t="s">
        <v>23</v>
      </c>
      <c r="D80" s="1">
        <v>0.0</v>
      </c>
      <c r="E80" s="1">
        <v>40.0</v>
      </c>
      <c r="F80" s="1">
        <v>10.0</v>
      </c>
      <c r="G80" s="1">
        <v>7.0</v>
      </c>
      <c r="H80" s="1" t="s">
        <v>30</v>
      </c>
      <c r="I80" s="2">
        <v>46109.0</v>
      </c>
      <c r="J80" s="1">
        <v>550000.0</v>
      </c>
      <c r="K80" s="2">
        <v>46082.0</v>
      </c>
    </row>
    <row r="81" hidden="1">
      <c r="A81" s="1" t="s">
        <v>34</v>
      </c>
      <c r="B81" s="1" t="s">
        <v>35</v>
      </c>
      <c r="C81" s="1" t="s">
        <v>36</v>
      </c>
      <c r="E81" s="1">
        <v>80.0</v>
      </c>
      <c r="F81" s="1">
        <v>11.0</v>
      </c>
      <c r="G81" s="1">
        <v>4.0</v>
      </c>
      <c r="H81" s="1" t="s">
        <v>37</v>
      </c>
      <c r="I81" s="2">
        <v>45766.0</v>
      </c>
      <c r="J81" s="1">
        <v>65000.0</v>
      </c>
      <c r="K81" s="2">
        <v>45748.0</v>
      </c>
    </row>
    <row r="82" hidden="1">
      <c r="A82" s="1" t="s">
        <v>55</v>
      </c>
      <c r="B82" s="1" t="s">
        <v>56</v>
      </c>
      <c r="C82" s="1" t="s">
        <v>36</v>
      </c>
      <c r="D82" s="1">
        <v>26.0</v>
      </c>
      <c r="E82" s="1">
        <v>100.0</v>
      </c>
      <c r="F82" s="1">
        <v>16.0</v>
      </c>
      <c r="G82" s="1">
        <v>4.0</v>
      </c>
      <c r="H82" s="1" t="s">
        <v>37</v>
      </c>
      <c r="I82" s="2">
        <v>45778.0</v>
      </c>
      <c r="J82" s="1">
        <v>85000.0</v>
      </c>
      <c r="K82" s="2">
        <v>45778.0</v>
      </c>
    </row>
    <row r="83" hidden="1">
      <c r="A83" s="1" t="s">
        <v>62</v>
      </c>
      <c r="B83" s="1" t="s">
        <v>63</v>
      </c>
      <c r="C83" s="1" t="s">
        <v>13</v>
      </c>
      <c r="D83" s="1">
        <v>301.0</v>
      </c>
      <c r="E83" s="1">
        <v>80.0</v>
      </c>
      <c r="F83" s="1">
        <v>3.0</v>
      </c>
      <c r="G83" s="1">
        <v>4.0</v>
      </c>
      <c r="H83" s="1" t="s">
        <v>33</v>
      </c>
      <c r="I83" s="2">
        <v>45936.0</v>
      </c>
      <c r="J83" s="1">
        <v>85000.0</v>
      </c>
      <c r="K83" s="2">
        <v>45931.0</v>
      </c>
    </row>
    <row r="84" hidden="1">
      <c r="A84" s="1" t="s">
        <v>57</v>
      </c>
      <c r="B84" s="1" t="s">
        <v>58</v>
      </c>
      <c r="C84" s="1" t="s">
        <v>42</v>
      </c>
      <c r="D84" s="1">
        <v>19.0</v>
      </c>
      <c r="E84" s="1">
        <v>25.0</v>
      </c>
      <c r="F84" s="1">
        <v>4.0</v>
      </c>
      <c r="G84" s="1">
        <v>10.0</v>
      </c>
      <c r="H84" s="1" t="s">
        <v>59</v>
      </c>
      <c r="I84" s="2">
        <v>45729.0</v>
      </c>
      <c r="J84" s="1">
        <v>450000.0</v>
      </c>
      <c r="K84" s="2">
        <v>45717.0</v>
      </c>
    </row>
    <row r="85" hidden="1">
      <c r="A85" s="1" t="s">
        <v>44</v>
      </c>
      <c r="B85" s="1" t="s">
        <v>45</v>
      </c>
      <c r="C85" s="1" t="s">
        <v>42</v>
      </c>
      <c r="D85" s="1">
        <v>51.0</v>
      </c>
      <c r="E85" s="1">
        <v>30.0</v>
      </c>
      <c r="F85" s="1">
        <v>6.0</v>
      </c>
      <c r="G85" s="1">
        <v>9.0</v>
      </c>
      <c r="H85" s="1" t="s">
        <v>43</v>
      </c>
      <c r="I85" s="2">
        <v>45752.0</v>
      </c>
      <c r="J85" s="1">
        <v>350000.0</v>
      </c>
      <c r="K85" s="2">
        <v>45748.0</v>
      </c>
    </row>
    <row r="86" hidden="1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</row>
    <row r="87" hidden="1">
      <c r="A87" s="1" t="s">
        <v>53</v>
      </c>
      <c r="B87" s="1" t="s">
        <v>54</v>
      </c>
      <c r="C87" s="1" t="s">
        <v>13</v>
      </c>
      <c r="D87" s="1">
        <v>223.0</v>
      </c>
      <c r="E87" s="1">
        <v>60.0</v>
      </c>
      <c r="F87" s="1">
        <v>4.0</v>
      </c>
      <c r="G87" s="1">
        <v>8.0</v>
      </c>
      <c r="H87" s="1" t="s">
        <v>14</v>
      </c>
      <c r="I87" s="2">
        <v>46108.0</v>
      </c>
      <c r="J87" s="1">
        <v>165000.0</v>
      </c>
      <c r="K87" s="2">
        <v>46082.0</v>
      </c>
    </row>
    <row r="88" hidden="1">
      <c r="A88" s="1" t="s">
        <v>21</v>
      </c>
      <c r="B88" s="1" t="s">
        <v>22</v>
      </c>
      <c r="C88" s="1" t="s">
        <v>23</v>
      </c>
      <c r="D88" s="1">
        <v>34.0</v>
      </c>
      <c r="E88" s="1">
        <v>50.0</v>
      </c>
      <c r="F88" s="1">
        <v>6.0</v>
      </c>
      <c r="G88" s="1">
        <v>6.0</v>
      </c>
      <c r="H88" s="1" t="s">
        <v>24</v>
      </c>
      <c r="I88" s="2">
        <v>45849.0</v>
      </c>
      <c r="J88" s="1">
        <v>350000.0</v>
      </c>
      <c r="K88" s="2">
        <v>45839.0</v>
      </c>
    </row>
    <row r="89" hidden="1">
      <c r="A89" s="1" t="s">
        <v>46</v>
      </c>
      <c r="B89" s="1" t="s">
        <v>47</v>
      </c>
      <c r="C89" s="1" t="s">
        <v>23</v>
      </c>
      <c r="D89" s="1">
        <v>10.0</v>
      </c>
      <c r="E89" s="1">
        <v>40.0</v>
      </c>
      <c r="F89" s="1">
        <v>4.0</v>
      </c>
      <c r="G89" s="1">
        <v>3.0</v>
      </c>
      <c r="H89" s="1" t="s">
        <v>30</v>
      </c>
      <c r="I89" s="2">
        <v>46055.0</v>
      </c>
      <c r="J89" s="1">
        <v>550000.0</v>
      </c>
      <c r="K89" s="2">
        <v>46054.0</v>
      </c>
    </row>
    <row r="90" hidden="1">
      <c r="A90" s="1" t="s">
        <v>62</v>
      </c>
      <c r="B90" s="1" t="s">
        <v>63</v>
      </c>
      <c r="C90" s="1" t="s">
        <v>13</v>
      </c>
      <c r="D90" s="1">
        <v>436.0</v>
      </c>
      <c r="E90" s="1">
        <v>80.0</v>
      </c>
      <c r="F90" s="1">
        <v>4.0</v>
      </c>
      <c r="G90" s="1">
        <v>4.0</v>
      </c>
      <c r="H90" s="1" t="s">
        <v>33</v>
      </c>
      <c r="I90" s="2">
        <v>45755.0</v>
      </c>
      <c r="J90" s="1">
        <v>85000.0</v>
      </c>
      <c r="K90" s="2">
        <v>45748.0</v>
      </c>
    </row>
    <row r="91" hidden="1">
      <c r="A91" s="1" t="s">
        <v>25</v>
      </c>
      <c r="B91" s="1" t="s">
        <v>26</v>
      </c>
      <c r="C91" s="1" t="s">
        <v>17</v>
      </c>
      <c r="D91" s="1">
        <v>0.0</v>
      </c>
      <c r="E91" s="1">
        <v>25.0</v>
      </c>
      <c r="F91" s="1">
        <v>8.0</v>
      </c>
      <c r="G91" s="1">
        <v>10.0</v>
      </c>
      <c r="H91" s="1" t="s">
        <v>27</v>
      </c>
      <c r="I91" s="2">
        <v>46013.0</v>
      </c>
      <c r="J91" s="1">
        <v>4500000.0</v>
      </c>
      <c r="K91" s="2">
        <v>45992.0</v>
      </c>
    </row>
    <row r="92" hidden="1">
      <c r="A92" s="1" t="s">
        <v>25</v>
      </c>
      <c r="B92" s="1" t="s">
        <v>26</v>
      </c>
      <c r="C92" s="1" t="s">
        <v>17</v>
      </c>
      <c r="D92" s="1">
        <v>20.0</v>
      </c>
      <c r="E92" s="1">
        <v>25.0</v>
      </c>
      <c r="F92" s="1">
        <v>4.0</v>
      </c>
      <c r="G92" s="1">
        <v>19.0</v>
      </c>
      <c r="H92" s="1" t="s">
        <v>27</v>
      </c>
      <c r="I92" s="2">
        <v>45786.0</v>
      </c>
      <c r="J92" s="1">
        <v>4500000.0</v>
      </c>
      <c r="K92" s="2">
        <v>45778.0</v>
      </c>
    </row>
    <row r="93" hidden="1">
      <c r="A93" s="1" t="s">
        <v>57</v>
      </c>
      <c r="B93" s="1" t="s">
        <v>58</v>
      </c>
      <c r="C93" s="1" t="s">
        <v>42</v>
      </c>
      <c r="D93" s="1">
        <v>42.0</v>
      </c>
      <c r="E93" s="1">
        <v>25.0</v>
      </c>
      <c r="F93" s="1">
        <v>4.0</v>
      </c>
      <c r="G93" s="1">
        <v>8.0</v>
      </c>
      <c r="H93" s="1" t="s">
        <v>59</v>
      </c>
      <c r="I93" s="2">
        <v>46029.0</v>
      </c>
      <c r="J93" s="1">
        <v>450000.0</v>
      </c>
      <c r="K93" s="2">
        <v>46023.0</v>
      </c>
    </row>
    <row r="94" hidden="1">
      <c r="A94" s="1" t="s">
        <v>28</v>
      </c>
      <c r="B94" s="1" t="s">
        <v>29</v>
      </c>
      <c r="C94" s="1" t="s">
        <v>23</v>
      </c>
      <c r="D94" s="1">
        <v>0.0</v>
      </c>
      <c r="E94" s="1">
        <v>35.0</v>
      </c>
      <c r="F94" s="1">
        <v>12.0</v>
      </c>
      <c r="G94" s="1">
        <v>9.0</v>
      </c>
      <c r="H94" s="1" t="s">
        <v>30</v>
      </c>
      <c r="I94" s="2">
        <v>45746.0</v>
      </c>
      <c r="J94" s="1">
        <v>1250000.0</v>
      </c>
      <c r="K94" s="2">
        <v>45717.0</v>
      </c>
    </row>
    <row r="95" hidden="1">
      <c r="A95" s="1" t="s">
        <v>38</v>
      </c>
      <c r="B95" s="1" t="s">
        <v>39</v>
      </c>
      <c r="C95" s="1" t="s">
        <v>23</v>
      </c>
      <c r="D95" s="1">
        <v>34.0</v>
      </c>
      <c r="E95" s="1">
        <v>45.0</v>
      </c>
      <c r="F95" s="1">
        <v>5.0</v>
      </c>
      <c r="G95" s="1">
        <v>4.0</v>
      </c>
      <c r="H95" s="1" t="s">
        <v>24</v>
      </c>
      <c r="I95" s="2">
        <v>45801.0</v>
      </c>
      <c r="J95" s="1">
        <v>450000.0</v>
      </c>
      <c r="K95" s="2">
        <v>45778.0</v>
      </c>
    </row>
    <row r="96" hidden="1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10.0</v>
      </c>
      <c r="G96" s="1">
        <v>7.0</v>
      </c>
      <c r="H96" s="1" t="s">
        <v>30</v>
      </c>
      <c r="I96" s="2">
        <v>46008.0</v>
      </c>
      <c r="J96" s="1">
        <v>1250000.0</v>
      </c>
      <c r="K96" s="2">
        <v>45992.0</v>
      </c>
    </row>
    <row r="97" hidden="1">
      <c r="A97" s="1" t="s">
        <v>31</v>
      </c>
      <c r="B97" s="1" t="s">
        <v>32</v>
      </c>
      <c r="C97" s="1" t="s">
        <v>13</v>
      </c>
      <c r="D97" s="1">
        <v>169.0</v>
      </c>
      <c r="E97" s="1">
        <v>40.0</v>
      </c>
      <c r="F97" s="1">
        <v>3.0</v>
      </c>
      <c r="G97" s="1">
        <v>4.0</v>
      </c>
      <c r="H97" s="1" t="s">
        <v>33</v>
      </c>
      <c r="I97" s="2">
        <v>46074.0</v>
      </c>
      <c r="J97" s="1">
        <v>550000.0</v>
      </c>
      <c r="K97" s="2">
        <v>46054.0</v>
      </c>
    </row>
    <row r="98" hidden="1">
      <c r="A98" s="1" t="s">
        <v>21</v>
      </c>
      <c r="B98" s="1" t="s">
        <v>22</v>
      </c>
      <c r="C98" s="1" t="s">
        <v>23</v>
      </c>
      <c r="D98" s="1">
        <v>15.0</v>
      </c>
      <c r="E98" s="1">
        <v>50.0</v>
      </c>
      <c r="F98" s="1">
        <v>7.0</v>
      </c>
      <c r="G98" s="1">
        <v>7.0</v>
      </c>
      <c r="H98" s="1" t="s">
        <v>24</v>
      </c>
      <c r="I98" s="2">
        <v>46032.0</v>
      </c>
      <c r="J98" s="1">
        <v>350000.0</v>
      </c>
      <c r="K98" s="2">
        <v>46023.0</v>
      </c>
    </row>
    <row r="99" hidden="1">
      <c r="A99" s="1" t="s">
        <v>48</v>
      </c>
      <c r="B99" s="1" t="s">
        <v>49</v>
      </c>
      <c r="C99" s="1" t="s">
        <v>36</v>
      </c>
      <c r="D99" s="1">
        <v>48.0</v>
      </c>
      <c r="E99" s="1">
        <v>120.0</v>
      </c>
      <c r="F99" s="1">
        <v>18.0</v>
      </c>
      <c r="G99" s="1">
        <v>6.0</v>
      </c>
      <c r="H99" s="1" t="s">
        <v>50</v>
      </c>
      <c r="I99" s="2">
        <v>46074.0</v>
      </c>
      <c r="J99" s="1">
        <v>55000.0</v>
      </c>
      <c r="K99" s="2">
        <v>46054.0</v>
      </c>
    </row>
    <row r="100" hidden="1">
      <c r="A100" s="1" t="s">
        <v>25</v>
      </c>
      <c r="B100" s="1" t="s">
        <v>26</v>
      </c>
      <c r="C100" s="1" t="s">
        <v>17</v>
      </c>
      <c r="D100" s="1">
        <v>0.0</v>
      </c>
      <c r="E100" s="1">
        <v>25.0</v>
      </c>
      <c r="F100" s="1">
        <v>3.0</v>
      </c>
      <c r="G100" s="1">
        <v>18.0</v>
      </c>
      <c r="H100" s="1" t="s">
        <v>27</v>
      </c>
      <c r="I100" s="2">
        <v>45663.0</v>
      </c>
      <c r="J100" s="1">
        <v>4500000.0</v>
      </c>
      <c r="K100" s="2">
        <v>45658.0</v>
      </c>
    </row>
    <row r="101" hidden="1">
      <c r="A101" s="1" t="s">
        <v>15</v>
      </c>
      <c r="B101" s="1" t="s">
        <v>16</v>
      </c>
      <c r="C101" s="1" t="s">
        <v>17</v>
      </c>
      <c r="D101" s="1">
        <v>0.0</v>
      </c>
      <c r="E101" s="1">
        <v>15.0</v>
      </c>
      <c r="F101" s="1">
        <v>3.0</v>
      </c>
      <c r="G101" s="1">
        <v>8.0</v>
      </c>
      <c r="H101" s="1" t="s">
        <v>18</v>
      </c>
      <c r="I101" s="2">
        <v>45979.0</v>
      </c>
      <c r="J101" s="1">
        <v>8500000.0</v>
      </c>
      <c r="K101" s="2">
        <v>45962.0</v>
      </c>
    </row>
    <row r="102" hidden="1">
      <c r="A102" s="1" t="s">
        <v>44</v>
      </c>
      <c r="B102" s="1" t="s">
        <v>45</v>
      </c>
      <c r="C102" s="1" t="s">
        <v>42</v>
      </c>
      <c r="D102" s="1">
        <v>53.0</v>
      </c>
      <c r="E102" s="1">
        <v>30.0</v>
      </c>
      <c r="F102" s="1">
        <v>5.0</v>
      </c>
      <c r="G102" s="1">
        <v>4.0</v>
      </c>
      <c r="H102" s="1" t="s">
        <v>43</v>
      </c>
      <c r="I102" s="2">
        <v>45730.0</v>
      </c>
      <c r="J102" s="1">
        <v>350000.0</v>
      </c>
      <c r="K102" s="2">
        <v>45717.0</v>
      </c>
    </row>
    <row r="103" hidden="1">
      <c r="A103" s="1" t="s">
        <v>40</v>
      </c>
      <c r="B103" s="1" t="s">
        <v>41</v>
      </c>
      <c r="C103" s="1" t="s">
        <v>42</v>
      </c>
      <c r="D103" s="1">
        <v>12.0</v>
      </c>
      <c r="E103" s="1">
        <v>15.0</v>
      </c>
      <c r="F103" s="1">
        <v>4.0</v>
      </c>
      <c r="G103" s="1">
        <v>10.0</v>
      </c>
      <c r="H103" s="1" t="s">
        <v>43</v>
      </c>
      <c r="I103" s="2">
        <v>45717.0</v>
      </c>
      <c r="J103" s="1">
        <v>1200000.0</v>
      </c>
      <c r="K103" s="2">
        <v>45717.0</v>
      </c>
    </row>
    <row r="104" hidden="1">
      <c r="A104" s="1" t="s">
        <v>28</v>
      </c>
      <c r="B104" s="1" t="s">
        <v>29</v>
      </c>
      <c r="C104" s="1" t="s">
        <v>23</v>
      </c>
      <c r="D104" s="1">
        <v>31.0</v>
      </c>
      <c r="E104" s="1">
        <v>35.0</v>
      </c>
      <c r="F104" s="1">
        <v>3.0</v>
      </c>
      <c r="G104" s="1">
        <v>6.0</v>
      </c>
      <c r="H104" s="1" t="s">
        <v>30</v>
      </c>
      <c r="I104" s="2">
        <v>45891.0</v>
      </c>
      <c r="J104" s="1">
        <v>1250000.0</v>
      </c>
      <c r="K104" s="2">
        <v>45870.0</v>
      </c>
    </row>
    <row r="105" hidden="1">
      <c r="A105" s="1" t="s">
        <v>21</v>
      </c>
      <c r="B105" s="1" t="s">
        <v>22</v>
      </c>
      <c r="C105" s="1" t="s">
        <v>23</v>
      </c>
      <c r="D105" s="1">
        <v>21.0</v>
      </c>
      <c r="E105" s="1">
        <v>50.0</v>
      </c>
      <c r="F105" s="1">
        <v>7.0</v>
      </c>
      <c r="G105" s="1">
        <v>3.0</v>
      </c>
      <c r="H105" s="1" t="s">
        <v>24</v>
      </c>
      <c r="I105" s="2">
        <v>45918.0</v>
      </c>
      <c r="J105" s="1">
        <v>350000.0</v>
      </c>
      <c r="K105" s="2">
        <v>45901.0</v>
      </c>
    </row>
    <row r="106" hidden="1">
      <c r="A106" s="1" t="s">
        <v>11</v>
      </c>
      <c r="B106" s="1" t="s">
        <v>12</v>
      </c>
      <c r="C106" s="1" t="s">
        <v>13</v>
      </c>
      <c r="D106" s="1">
        <v>250.0</v>
      </c>
      <c r="E106" s="1">
        <v>50.0</v>
      </c>
      <c r="F106" s="1">
        <v>1.0</v>
      </c>
      <c r="G106" s="1">
        <v>7.0</v>
      </c>
      <c r="H106" s="1" t="s">
        <v>14</v>
      </c>
      <c r="I106" s="2">
        <v>46050.0</v>
      </c>
      <c r="J106" s="1">
        <v>125000.0</v>
      </c>
      <c r="K106" s="2">
        <v>46023.0</v>
      </c>
    </row>
    <row r="107" hidden="1">
      <c r="A107" s="1" t="s">
        <v>60</v>
      </c>
      <c r="B107" s="1" t="s">
        <v>61</v>
      </c>
      <c r="C107" s="1" t="s">
        <v>17</v>
      </c>
      <c r="D107" s="1">
        <v>-19.0</v>
      </c>
      <c r="E107" s="1">
        <v>20.0</v>
      </c>
      <c r="F107" s="1">
        <v>2.0</v>
      </c>
      <c r="G107" s="1">
        <v>18.0</v>
      </c>
      <c r="H107" s="1" t="s">
        <v>27</v>
      </c>
      <c r="I107" s="2">
        <v>45884.0</v>
      </c>
      <c r="J107" s="1">
        <v>3200000.0</v>
      </c>
      <c r="K107" s="2">
        <v>45870.0</v>
      </c>
    </row>
    <row r="108" hidden="1">
      <c r="A108" s="1" t="s">
        <v>25</v>
      </c>
      <c r="B108" s="1" t="s">
        <v>26</v>
      </c>
      <c r="C108" s="1" t="s">
        <v>17</v>
      </c>
      <c r="D108" s="1">
        <v>32.0</v>
      </c>
      <c r="E108" s="1">
        <v>25.0</v>
      </c>
      <c r="F108" s="1">
        <v>4.0</v>
      </c>
      <c r="G108" s="1">
        <v>9.0</v>
      </c>
      <c r="H108" s="1" t="s">
        <v>27</v>
      </c>
      <c r="I108" s="2">
        <v>45708.0</v>
      </c>
      <c r="J108" s="1">
        <v>4500000.0</v>
      </c>
      <c r="K108" s="2">
        <v>45689.0</v>
      </c>
    </row>
    <row r="109" hidden="1">
      <c r="A109" s="1" t="s">
        <v>19</v>
      </c>
      <c r="B109" s="1" t="s">
        <v>20</v>
      </c>
      <c r="C109" s="1" t="s">
        <v>17</v>
      </c>
      <c r="D109" s="1">
        <v>-12.0</v>
      </c>
      <c r="E109" s="1">
        <v>30.0</v>
      </c>
      <c r="F109" s="1">
        <v>6.0</v>
      </c>
      <c r="G109" s="1">
        <v>7.0</v>
      </c>
      <c r="H109" s="1" t="s">
        <v>18</v>
      </c>
      <c r="I109" s="2">
        <v>45975.0</v>
      </c>
      <c r="J109" s="1">
        <v>1200000.0</v>
      </c>
      <c r="K109" s="2">
        <v>45962.0</v>
      </c>
    </row>
    <row r="110" hidden="1">
      <c r="A110" s="1" t="s">
        <v>40</v>
      </c>
      <c r="B110" s="1" t="s">
        <v>41</v>
      </c>
      <c r="C110" s="1" t="s">
        <v>42</v>
      </c>
      <c r="D110" s="1">
        <v>3.0</v>
      </c>
      <c r="E110" s="1">
        <v>15.0</v>
      </c>
      <c r="F110" s="1">
        <v>3.0</v>
      </c>
      <c r="G110" s="1">
        <v>8.0</v>
      </c>
      <c r="H110" s="1" t="s">
        <v>43</v>
      </c>
      <c r="I110" s="2">
        <v>45815.0</v>
      </c>
      <c r="J110" s="1">
        <v>1200000.0</v>
      </c>
      <c r="K110" s="2">
        <v>45809.0</v>
      </c>
    </row>
    <row r="111" hidden="1">
      <c r="A111" s="1" t="s">
        <v>51</v>
      </c>
      <c r="B111" s="1" t="s">
        <v>52</v>
      </c>
      <c r="C111" s="1" t="s">
        <v>36</v>
      </c>
      <c r="D111" s="1">
        <v>0.0</v>
      </c>
      <c r="E111" s="1">
        <v>60.0</v>
      </c>
      <c r="F111" s="1">
        <v>13.0</v>
      </c>
      <c r="G111" s="1">
        <v>4.0</v>
      </c>
      <c r="H111" s="1" t="s">
        <v>50</v>
      </c>
      <c r="I111" s="2">
        <v>46004.0</v>
      </c>
      <c r="J111" s="1">
        <v>175000.0</v>
      </c>
      <c r="K111" s="2">
        <v>45992.0</v>
      </c>
    </row>
    <row r="112" hidden="1">
      <c r="A112" s="1" t="s">
        <v>21</v>
      </c>
      <c r="B112" s="1" t="s">
        <v>22</v>
      </c>
      <c r="C112" s="1" t="s">
        <v>23</v>
      </c>
      <c r="D112" s="1">
        <v>26.0</v>
      </c>
      <c r="E112" s="1">
        <v>50.0</v>
      </c>
      <c r="F112" s="1">
        <v>8.0</v>
      </c>
      <c r="G112" s="1">
        <v>3.0</v>
      </c>
      <c r="H112" s="1" t="s">
        <v>24</v>
      </c>
      <c r="I112" s="2">
        <v>45884.0</v>
      </c>
      <c r="J112" s="1">
        <v>350000.0</v>
      </c>
      <c r="K112" s="2">
        <v>45870.0</v>
      </c>
    </row>
    <row r="113" hidden="1">
      <c r="A113" s="1" t="s">
        <v>46</v>
      </c>
      <c r="B113" s="1" t="s">
        <v>47</v>
      </c>
      <c r="C113" s="1" t="s">
        <v>23</v>
      </c>
      <c r="D113" s="1">
        <v>32.0</v>
      </c>
      <c r="E113" s="1">
        <v>40.0</v>
      </c>
      <c r="F113" s="1">
        <v>5.0</v>
      </c>
      <c r="G113" s="1">
        <v>5.0</v>
      </c>
      <c r="H113" s="1" t="s">
        <v>30</v>
      </c>
      <c r="I113" s="2">
        <v>45915.0</v>
      </c>
      <c r="J113" s="1">
        <v>550000.0</v>
      </c>
      <c r="K113" s="2">
        <v>45901.0</v>
      </c>
    </row>
    <row r="114" hidden="1">
      <c r="A114" s="1" t="s">
        <v>21</v>
      </c>
      <c r="B114" s="1" t="s">
        <v>22</v>
      </c>
      <c r="C114" s="1" t="s">
        <v>23</v>
      </c>
      <c r="D114" s="1">
        <v>28.0</v>
      </c>
      <c r="E114" s="1">
        <v>50.0</v>
      </c>
      <c r="F114" s="1">
        <v>7.0</v>
      </c>
      <c r="G114" s="1">
        <v>7.0</v>
      </c>
      <c r="H114" s="1" t="s">
        <v>24</v>
      </c>
      <c r="I114" s="2">
        <v>45939.0</v>
      </c>
      <c r="J114" s="1">
        <v>350000.0</v>
      </c>
      <c r="K114" s="2">
        <v>45931.0</v>
      </c>
    </row>
    <row r="115" hidden="1">
      <c r="A115" s="1" t="s">
        <v>60</v>
      </c>
      <c r="B115" s="1" t="s">
        <v>61</v>
      </c>
      <c r="C115" s="1" t="s">
        <v>17</v>
      </c>
      <c r="D115" s="1">
        <v>0.0</v>
      </c>
      <c r="E115" s="1">
        <v>20.0</v>
      </c>
      <c r="F115" s="1">
        <v>1.0</v>
      </c>
      <c r="G115" s="1">
        <v>23.0</v>
      </c>
      <c r="H115" s="1" t="s">
        <v>27</v>
      </c>
      <c r="I115" s="2">
        <v>45689.0</v>
      </c>
      <c r="J115" s="1">
        <v>3200000.0</v>
      </c>
      <c r="K115" s="2">
        <v>45689.0</v>
      </c>
    </row>
    <row r="116" hidden="1">
      <c r="A116" s="1" t="s">
        <v>31</v>
      </c>
      <c r="B116" s="1" t="s">
        <v>32</v>
      </c>
      <c r="C116" s="1" t="s">
        <v>13</v>
      </c>
      <c r="D116" s="1">
        <v>221.0</v>
      </c>
      <c r="E116" s="1">
        <v>40.0</v>
      </c>
      <c r="F116" s="1">
        <v>2.0</v>
      </c>
      <c r="G116" s="1">
        <v>5.0</v>
      </c>
      <c r="H116" s="1" t="s">
        <v>33</v>
      </c>
      <c r="I116" s="2">
        <v>45791.0</v>
      </c>
      <c r="J116" s="1">
        <v>550000.0</v>
      </c>
      <c r="K116" s="2">
        <v>45778.0</v>
      </c>
    </row>
    <row r="117" hidden="1">
      <c r="A117" s="1" t="s">
        <v>40</v>
      </c>
      <c r="B117" s="1" t="s">
        <v>41</v>
      </c>
      <c r="C117" s="1" t="s">
        <v>42</v>
      </c>
      <c r="D117" s="1">
        <v>22.0</v>
      </c>
      <c r="E117" s="1">
        <v>15.0</v>
      </c>
      <c r="F117" s="1">
        <v>3.0</v>
      </c>
      <c r="G117" s="1">
        <v>4.0</v>
      </c>
      <c r="H117" s="1" t="s">
        <v>43</v>
      </c>
      <c r="I117" s="2">
        <v>45919.0</v>
      </c>
      <c r="J117" s="1">
        <v>1200000.0</v>
      </c>
      <c r="K117" s="2">
        <v>45901.0</v>
      </c>
    </row>
    <row r="118" hidden="1">
      <c r="A118" s="1" t="s">
        <v>11</v>
      </c>
      <c r="B118" s="1" t="s">
        <v>12</v>
      </c>
      <c r="C118" s="1" t="s">
        <v>13</v>
      </c>
      <c r="D118" s="1">
        <v>185.0</v>
      </c>
      <c r="E118" s="1">
        <v>50.0</v>
      </c>
      <c r="F118" s="1">
        <v>2.0</v>
      </c>
      <c r="G118" s="1">
        <v>8.0</v>
      </c>
      <c r="H118" s="1" t="s">
        <v>14</v>
      </c>
      <c r="I118" s="2">
        <v>46078.0</v>
      </c>
      <c r="J118" s="1">
        <v>125000.0</v>
      </c>
      <c r="K118" s="2">
        <v>46054.0</v>
      </c>
    </row>
    <row r="119" hidden="1">
      <c r="A119" s="1" t="s">
        <v>64</v>
      </c>
      <c r="B119" s="1" t="s">
        <v>65</v>
      </c>
      <c r="C119" s="1" t="s">
        <v>42</v>
      </c>
      <c r="D119" s="1">
        <v>32.0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45865.0</v>
      </c>
      <c r="J119" s="1">
        <v>750000.0</v>
      </c>
      <c r="K119" s="2">
        <v>45839.0</v>
      </c>
    </row>
    <row r="120" hidden="1">
      <c r="A120" s="1" t="s">
        <v>25</v>
      </c>
      <c r="B120" s="1" t="s">
        <v>26</v>
      </c>
      <c r="C120" s="1" t="s">
        <v>17</v>
      </c>
      <c r="D120" s="1">
        <v>32.0</v>
      </c>
      <c r="E120" s="1">
        <v>25.0</v>
      </c>
      <c r="F120" s="1">
        <v>3.0</v>
      </c>
      <c r="G120" s="1">
        <v>8.0</v>
      </c>
      <c r="H120" s="1" t="s">
        <v>27</v>
      </c>
      <c r="I120" s="2">
        <v>45755.0</v>
      </c>
      <c r="J120" s="1">
        <v>4500000.0</v>
      </c>
      <c r="K120" s="2">
        <v>45748.0</v>
      </c>
    </row>
    <row r="121" hidden="1">
      <c r="A121" s="1" t="s">
        <v>48</v>
      </c>
      <c r="B121" s="1" t="s">
        <v>49</v>
      </c>
      <c r="C121" s="1" t="s">
        <v>36</v>
      </c>
      <c r="D121" s="1">
        <v>154.0</v>
      </c>
      <c r="E121" s="1">
        <v>120.0</v>
      </c>
      <c r="F121" s="1">
        <v>19.0</v>
      </c>
      <c r="G121" s="1">
        <v>6.0</v>
      </c>
      <c r="H121" s="1" t="s">
        <v>50</v>
      </c>
      <c r="I121" s="2">
        <v>45978.0</v>
      </c>
      <c r="J121" s="1">
        <v>55000.0</v>
      </c>
      <c r="K121" s="2">
        <v>45962.0</v>
      </c>
    </row>
    <row r="122" hidden="1">
      <c r="A122" s="1" t="s">
        <v>28</v>
      </c>
      <c r="B122" s="1" t="s">
        <v>29</v>
      </c>
      <c r="C122" s="1" t="s">
        <v>23</v>
      </c>
      <c r="D122" s="1">
        <v>18.0</v>
      </c>
      <c r="E122" s="1">
        <v>35.0</v>
      </c>
      <c r="F122" s="1">
        <v>7.0</v>
      </c>
      <c r="G122" s="1">
        <v>5.0</v>
      </c>
      <c r="H122" s="1" t="s">
        <v>30</v>
      </c>
      <c r="I122" s="2">
        <v>45859.0</v>
      </c>
      <c r="J122" s="1">
        <v>1250000.0</v>
      </c>
      <c r="K122" s="2">
        <v>45839.0</v>
      </c>
    </row>
    <row r="123" hidden="1">
      <c r="A123" s="1" t="s">
        <v>57</v>
      </c>
      <c r="B123" s="1" t="s">
        <v>58</v>
      </c>
      <c r="C123" s="1" t="s">
        <v>42</v>
      </c>
      <c r="D123" s="1">
        <v>14.0</v>
      </c>
      <c r="E123" s="1">
        <v>25.0</v>
      </c>
      <c r="F123" s="1">
        <v>5.0</v>
      </c>
      <c r="G123" s="1">
        <v>9.0</v>
      </c>
      <c r="H123" s="1" t="s">
        <v>59</v>
      </c>
      <c r="I123" s="2">
        <v>45816.0</v>
      </c>
      <c r="K123" s="2">
        <v>45809.0</v>
      </c>
    </row>
    <row r="124" hidden="1">
      <c r="A124" s="1" t="s">
        <v>44</v>
      </c>
      <c r="B124" s="1" t="s">
        <v>45</v>
      </c>
      <c r="C124" s="1" t="s">
        <v>42</v>
      </c>
      <c r="D124" s="1">
        <v>34.0</v>
      </c>
      <c r="E124" s="1">
        <v>30.0</v>
      </c>
      <c r="F124" s="1">
        <v>5.0</v>
      </c>
      <c r="G124" s="1">
        <v>5.0</v>
      </c>
      <c r="H124" s="1" t="s">
        <v>43</v>
      </c>
      <c r="I124" s="2">
        <v>46007.0</v>
      </c>
      <c r="J124" s="1">
        <v>350000.0</v>
      </c>
      <c r="K124" s="2">
        <v>45992.0</v>
      </c>
    </row>
    <row r="125" hidden="1">
      <c r="A125" s="1" t="s">
        <v>38</v>
      </c>
      <c r="B125" s="1" t="s">
        <v>39</v>
      </c>
      <c r="C125" s="1" t="s">
        <v>23</v>
      </c>
      <c r="D125" s="1">
        <v>0.0</v>
      </c>
      <c r="E125" s="1">
        <v>45.0</v>
      </c>
      <c r="F125" s="1">
        <v>13.0</v>
      </c>
      <c r="G125" s="1">
        <v>7.0</v>
      </c>
      <c r="H125" s="1" t="s">
        <v>24</v>
      </c>
      <c r="I125" s="2">
        <v>46015.0</v>
      </c>
      <c r="J125" s="1">
        <v>450000.0</v>
      </c>
      <c r="K125" s="2">
        <v>45992.0</v>
      </c>
    </row>
    <row r="126" hidden="1">
      <c r="A126" s="1" t="s">
        <v>34</v>
      </c>
      <c r="B126" s="1" t="s">
        <v>35</v>
      </c>
      <c r="C126" s="1" t="s">
        <v>36</v>
      </c>
      <c r="D126" s="1">
        <v>17.0</v>
      </c>
      <c r="E126" s="1">
        <v>80.0</v>
      </c>
      <c r="F126" s="1">
        <v>11.0</v>
      </c>
      <c r="G126" s="1">
        <v>5.0</v>
      </c>
      <c r="H126" s="1" t="s">
        <v>37</v>
      </c>
      <c r="I126" s="2">
        <v>45882.0</v>
      </c>
      <c r="J126" s="1">
        <v>65000.0</v>
      </c>
      <c r="K126" s="2">
        <v>45870.0</v>
      </c>
    </row>
    <row r="127" hidden="1">
      <c r="A127" s="1" t="s">
        <v>51</v>
      </c>
      <c r="B127" s="1" t="s">
        <v>52</v>
      </c>
      <c r="C127" s="1" t="s">
        <v>36</v>
      </c>
      <c r="D127" s="1">
        <v>0.0</v>
      </c>
      <c r="E127" s="1">
        <v>60.0</v>
      </c>
      <c r="F127" s="1">
        <v>14.0</v>
      </c>
      <c r="G127" s="1">
        <v>4.0</v>
      </c>
      <c r="H127" s="1" t="s">
        <v>50</v>
      </c>
      <c r="I127" s="2">
        <v>45741.0</v>
      </c>
      <c r="J127" s="1">
        <v>175000.0</v>
      </c>
      <c r="K127" s="2">
        <v>45717.0</v>
      </c>
    </row>
    <row r="128" hidden="1">
      <c r="A128" s="1" t="s">
        <v>40</v>
      </c>
      <c r="B128" s="1" t="s">
        <v>41</v>
      </c>
      <c r="C128" s="1" t="s">
        <v>42</v>
      </c>
      <c r="D128" s="1">
        <v>13.0</v>
      </c>
      <c r="E128" s="1">
        <v>15.0</v>
      </c>
      <c r="F128" s="1">
        <v>2.0</v>
      </c>
      <c r="G128" s="1">
        <v>7.0</v>
      </c>
      <c r="H128" s="1" t="s">
        <v>43</v>
      </c>
      <c r="I128" s="2">
        <v>45799.0</v>
      </c>
      <c r="J128" s="1">
        <v>1200000.0</v>
      </c>
      <c r="K128" s="2">
        <v>45778.0</v>
      </c>
    </row>
    <row r="129" hidden="1">
      <c r="A129" s="1" t="s">
        <v>34</v>
      </c>
      <c r="B129" s="1" t="s">
        <v>35</v>
      </c>
      <c r="C129" s="1" t="s">
        <v>36</v>
      </c>
      <c r="D129" s="1">
        <v>9.0</v>
      </c>
      <c r="E129" s="1">
        <v>80.0</v>
      </c>
      <c r="F129" s="1">
        <v>11.0</v>
      </c>
      <c r="G129" s="1">
        <v>4.0</v>
      </c>
      <c r="H129" s="1" t="s">
        <v>37</v>
      </c>
      <c r="I129" s="2">
        <v>46077.0</v>
      </c>
      <c r="J129" s="1">
        <v>65000.0</v>
      </c>
      <c r="K129" s="2">
        <v>46054.0</v>
      </c>
    </row>
    <row r="130" hidden="1">
      <c r="A130" s="1" t="s">
        <v>53</v>
      </c>
      <c r="B130" s="1" t="s">
        <v>54</v>
      </c>
      <c r="C130" s="1" t="s">
        <v>13</v>
      </c>
      <c r="D130" s="1">
        <v>202.0</v>
      </c>
      <c r="E130" s="1">
        <v>60.0</v>
      </c>
      <c r="F130" s="1">
        <v>2.0</v>
      </c>
      <c r="G130" s="1">
        <v>4.0</v>
      </c>
      <c r="H130" s="1" t="s">
        <v>14</v>
      </c>
      <c r="I130" s="2">
        <v>46019.0</v>
      </c>
      <c r="J130" s="1">
        <v>165000.0</v>
      </c>
      <c r="K130" s="2">
        <v>45992.0</v>
      </c>
    </row>
    <row r="131" hidden="1">
      <c r="A131" s="1" t="s">
        <v>53</v>
      </c>
      <c r="B131" s="1" t="s">
        <v>54</v>
      </c>
      <c r="C131" s="1" t="s">
        <v>13</v>
      </c>
      <c r="D131" s="1">
        <v>252.0</v>
      </c>
      <c r="E131" s="1">
        <v>60.0</v>
      </c>
      <c r="F131" s="1">
        <v>4.0</v>
      </c>
      <c r="G131" s="1">
        <v>7.0</v>
      </c>
      <c r="H131" s="1" t="s">
        <v>14</v>
      </c>
      <c r="I131" s="2">
        <v>45930.0</v>
      </c>
      <c r="J131" s="1">
        <v>165000.0</v>
      </c>
      <c r="K131" s="2">
        <v>45901.0</v>
      </c>
    </row>
    <row r="132" hidden="1">
      <c r="A132" s="1" t="s">
        <v>64</v>
      </c>
      <c r="B132" s="1" t="s">
        <v>65</v>
      </c>
      <c r="C132" s="1" t="s">
        <v>42</v>
      </c>
      <c r="D132" s="1">
        <v>20.0</v>
      </c>
      <c r="E132" s="1">
        <v>20.0</v>
      </c>
      <c r="F132" s="1">
        <v>2.0</v>
      </c>
      <c r="G132" s="1">
        <v>7.0</v>
      </c>
      <c r="H132" s="1" t="s">
        <v>59</v>
      </c>
      <c r="I132" s="2">
        <v>46027.0</v>
      </c>
      <c r="J132" s="1">
        <v>750000.0</v>
      </c>
      <c r="K132" s="2">
        <v>46023.0</v>
      </c>
    </row>
    <row r="133" hidden="1">
      <c r="A133" s="1" t="s">
        <v>31</v>
      </c>
      <c r="B133" s="1" t="s">
        <v>32</v>
      </c>
      <c r="C133" s="1" t="s">
        <v>13</v>
      </c>
      <c r="D133" s="1">
        <v>153.0</v>
      </c>
      <c r="E133" s="1">
        <v>40.0</v>
      </c>
      <c r="F133" s="1">
        <v>4.0</v>
      </c>
      <c r="G133" s="1">
        <v>5.0</v>
      </c>
      <c r="H133" s="1" t="s">
        <v>33</v>
      </c>
      <c r="I133" s="2">
        <v>46097.0</v>
      </c>
      <c r="J133" s="1">
        <v>550000.0</v>
      </c>
      <c r="K133" s="2">
        <v>46082.0</v>
      </c>
    </row>
    <row r="134" hidden="1">
      <c r="A134" s="1" t="s">
        <v>57</v>
      </c>
      <c r="B134" s="1" t="s">
        <v>58</v>
      </c>
      <c r="C134" s="1" t="s">
        <v>42</v>
      </c>
      <c r="D134" s="1">
        <v>41.0</v>
      </c>
      <c r="E134" s="1">
        <v>25.0</v>
      </c>
      <c r="F134" s="1">
        <v>4.0</v>
      </c>
      <c r="G134" s="1">
        <v>10.0</v>
      </c>
      <c r="H134" s="1" t="s">
        <v>59</v>
      </c>
      <c r="I134" s="2">
        <v>45801.0</v>
      </c>
      <c r="J134" s="1">
        <v>450000.0</v>
      </c>
      <c r="K134" s="2">
        <v>45778.0</v>
      </c>
    </row>
    <row r="135" hidden="1">
      <c r="A135" s="1" t="s">
        <v>62</v>
      </c>
      <c r="B135" s="1" t="s">
        <v>63</v>
      </c>
      <c r="C135" s="1" t="s">
        <v>13</v>
      </c>
      <c r="D135" s="1">
        <v>405.0</v>
      </c>
      <c r="E135" s="1">
        <v>80.0</v>
      </c>
      <c r="G135" s="1">
        <v>5.0</v>
      </c>
      <c r="H135" s="1" t="s">
        <v>33</v>
      </c>
      <c r="I135" s="2">
        <v>45663.0</v>
      </c>
      <c r="J135" s="1">
        <v>85000.0</v>
      </c>
      <c r="K135" s="2">
        <v>45658.0</v>
      </c>
    </row>
    <row r="136" hidden="1">
      <c r="A136" s="1" t="s">
        <v>64</v>
      </c>
      <c r="B136" s="1" t="s">
        <v>65</v>
      </c>
      <c r="C136" s="1" t="s">
        <v>42</v>
      </c>
      <c r="D136" s="1">
        <v>32.0</v>
      </c>
      <c r="E136" s="1">
        <v>20.0</v>
      </c>
      <c r="F136" s="1">
        <v>1.0</v>
      </c>
      <c r="G136" s="1">
        <v>8.0</v>
      </c>
      <c r="H136" s="1" t="s">
        <v>59</v>
      </c>
      <c r="I136" s="2">
        <v>45955.0</v>
      </c>
      <c r="J136" s="1">
        <v>750000.0</v>
      </c>
      <c r="K136" s="2">
        <v>45931.0</v>
      </c>
    </row>
    <row r="137" hidden="1">
      <c r="A137" s="1" t="s">
        <v>60</v>
      </c>
      <c r="B137" s="1" t="s">
        <v>61</v>
      </c>
      <c r="C137" s="1" t="s">
        <v>17</v>
      </c>
      <c r="D137" s="1">
        <v>0.0</v>
      </c>
      <c r="E137" s="1">
        <v>20.0</v>
      </c>
      <c r="F137" s="1">
        <v>3.0</v>
      </c>
      <c r="G137" s="1">
        <v>7.0</v>
      </c>
      <c r="H137" s="1" t="s">
        <v>27</v>
      </c>
      <c r="I137" s="2">
        <v>45919.0</v>
      </c>
      <c r="J137" s="1">
        <v>3200000.0</v>
      </c>
      <c r="K137" s="2">
        <v>45901.0</v>
      </c>
    </row>
    <row r="138" hidden="1">
      <c r="A138" s="1" t="s">
        <v>62</v>
      </c>
      <c r="B138" s="1" t="s">
        <v>63</v>
      </c>
      <c r="C138" s="1" t="s">
        <v>13</v>
      </c>
      <c r="D138" s="1">
        <v>255.0</v>
      </c>
      <c r="E138" s="1">
        <v>80.0</v>
      </c>
      <c r="F138" s="1">
        <v>4.0</v>
      </c>
      <c r="G138" s="1">
        <v>6.0</v>
      </c>
      <c r="H138" s="1" t="s">
        <v>33</v>
      </c>
      <c r="I138" s="2">
        <v>46001.0</v>
      </c>
      <c r="J138" s="1">
        <v>85000.0</v>
      </c>
      <c r="K138" s="2">
        <v>45992.0</v>
      </c>
    </row>
    <row r="139" hidden="1">
      <c r="A139" s="1" t="s">
        <v>31</v>
      </c>
      <c r="B139" s="1" t="s">
        <v>32</v>
      </c>
      <c r="C139" s="1" t="s">
        <v>13</v>
      </c>
      <c r="D139" s="1">
        <v>168.0</v>
      </c>
      <c r="E139" s="1">
        <v>40.0</v>
      </c>
      <c r="F139" s="1">
        <v>3.0</v>
      </c>
      <c r="G139" s="1">
        <v>5.0</v>
      </c>
      <c r="H139" s="1" t="s">
        <v>33</v>
      </c>
      <c r="I139" s="2">
        <v>45709.0</v>
      </c>
      <c r="J139" s="1">
        <v>550000.0</v>
      </c>
      <c r="K139" s="2">
        <v>45689.0</v>
      </c>
    </row>
    <row r="140" hidden="1">
      <c r="A140" s="1" t="s">
        <v>57</v>
      </c>
      <c r="B140" s="1" t="s">
        <v>58</v>
      </c>
      <c r="C140" s="1" t="s">
        <v>42</v>
      </c>
      <c r="D140" s="1">
        <v>58.0</v>
      </c>
      <c r="E140" s="1">
        <v>25.0</v>
      </c>
      <c r="F140" s="1">
        <v>1.0</v>
      </c>
      <c r="G140" s="1">
        <v>10.0</v>
      </c>
      <c r="H140" s="1" t="s">
        <v>59</v>
      </c>
      <c r="I140" s="2">
        <v>45952.0</v>
      </c>
      <c r="J140" s="1">
        <v>450000.0</v>
      </c>
      <c r="K140" s="2">
        <v>45931.0</v>
      </c>
    </row>
    <row r="141" hidden="1">
      <c r="A141" s="1" t="s">
        <v>46</v>
      </c>
      <c r="B141" s="1" t="s">
        <v>47</v>
      </c>
      <c r="C141" s="1" t="s">
        <v>23</v>
      </c>
      <c r="D141" s="1">
        <v>42.0</v>
      </c>
      <c r="E141" s="1">
        <v>40.0</v>
      </c>
      <c r="F141" s="1">
        <v>4.0</v>
      </c>
      <c r="G141" s="1">
        <v>7.0</v>
      </c>
      <c r="H141" s="1" t="s">
        <v>30</v>
      </c>
      <c r="I141" s="2">
        <v>45889.0</v>
      </c>
      <c r="J141" s="1">
        <v>550000.0</v>
      </c>
      <c r="K141" s="2">
        <v>45870.0</v>
      </c>
    </row>
    <row r="142" hidden="1">
      <c r="A142" s="1" t="s">
        <v>44</v>
      </c>
      <c r="B142" s="1" t="s">
        <v>45</v>
      </c>
      <c r="C142" s="1" t="s">
        <v>42</v>
      </c>
      <c r="D142" s="1">
        <v>35.0</v>
      </c>
      <c r="E142" s="1">
        <v>30.0</v>
      </c>
      <c r="F142" s="1">
        <v>5.0</v>
      </c>
      <c r="G142" s="1">
        <v>6.0</v>
      </c>
      <c r="H142" s="1" t="s">
        <v>43</v>
      </c>
      <c r="I142" s="2">
        <v>46048.0</v>
      </c>
      <c r="J142" s="1">
        <v>350000.0</v>
      </c>
      <c r="K142" s="2">
        <v>46023.0</v>
      </c>
    </row>
    <row r="143" hidden="1">
      <c r="A143" s="1" t="s">
        <v>46</v>
      </c>
      <c r="B143" s="1" t="s">
        <v>47</v>
      </c>
      <c r="C143" s="1" t="s">
        <v>23</v>
      </c>
      <c r="D143" s="1">
        <v>36.0</v>
      </c>
      <c r="E143" s="1">
        <v>40.0</v>
      </c>
      <c r="F143" s="1">
        <v>6.0</v>
      </c>
      <c r="G143" s="1">
        <v>4.0</v>
      </c>
      <c r="H143" s="1" t="s">
        <v>30</v>
      </c>
      <c r="I143" s="2">
        <v>46044.0</v>
      </c>
      <c r="J143" s="1">
        <v>550000.0</v>
      </c>
      <c r="K143" s="2">
        <v>46023.0</v>
      </c>
    </row>
    <row r="144" hidden="1">
      <c r="A144" s="1" t="s">
        <v>48</v>
      </c>
      <c r="B144" s="1" t="s">
        <v>49</v>
      </c>
      <c r="C144" s="1" t="s">
        <v>36</v>
      </c>
      <c r="D144" s="1">
        <v>87.0</v>
      </c>
      <c r="E144" s="1">
        <v>120.0</v>
      </c>
      <c r="F144" s="1">
        <v>18.0</v>
      </c>
      <c r="G144" s="1">
        <v>7.0</v>
      </c>
      <c r="H144" s="1" t="s">
        <v>50</v>
      </c>
      <c r="I144" s="2">
        <v>45748.0</v>
      </c>
      <c r="J144" s="1">
        <v>55000.0</v>
      </c>
      <c r="K144" s="2">
        <v>45748.0</v>
      </c>
    </row>
    <row r="145">
      <c r="A145" s="1" t="s">
        <v>51</v>
      </c>
      <c r="B145" s="1" t="s">
        <v>52</v>
      </c>
      <c r="C145" s="1" t="s">
        <v>36</v>
      </c>
      <c r="D145" s="1">
        <v>35.0</v>
      </c>
      <c r="E145" s="1">
        <v>60.0</v>
      </c>
      <c r="F145" s="1">
        <v>6.0</v>
      </c>
      <c r="G145" s="1">
        <v>7.0</v>
      </c>
      <c r="H145" s="1" t="s">
        <v>50</v>
      </c>
      <c r="I145" s="2">
        <v>46221.0</v>
      </c>
      <c r="J145" s="1">
        <v>175000.0</v>
      </c>
      <c r="K145" s="2">
        <v>46023.0</v>
      </c>
    </row>
    <row r="146" hidden="1">
      <c r="A146" s="1" t="s">
        <v>40</v>
      </c>
      <c r="B146" s="1" t="s">
        <v>41</v>
      </c>
      <c r="C146" s="1" t="s">
        <v>42</v>
      </c>
      <c r="D146" s="1">
        <v>32.0</v>
      </c>
      <c r="E146" s="1">
        <v>15.0</v>
      </c>
      <c r="F146" s="1">
        <v>1.0</v>
      </c>
      <c r="G146" s="1">
        <v>8.0</v>
      </c>
      <c r="H146" s="1" t="s">
        <v>43</v>
      </c>
      <c r="I146" s="2">
        <v>46079.0</v>
      </c>
      <c r="J146" s="1">
        <v>1200000.0</v>
      </c>
      <c r="K146" s="2">
        <v>46054.0</v>
      </c>
    </row>
    <row r="147" hidden="1">
      <c r="A147" s="1" t="s">
        <v>31</v>
      </c>
      <c r="B147" s="1" t="s">
        <v>32</v>
      </c>
      <c r="C147" s="1" t="s">
        <v>13</v>
      </c>
      <c r="D147" s="1">
        <v>139.0</v>
      </c>
      <c r="E147" s="1">
        <v>40.0</v>
      </c>
      <c r="F147" s="1">
        <v>2.0</v>
      </c>
      <c r="G147" s="1">
        <v>6.0</v>
      </c>
      <c r="H147" s="1" t="s">
        <v>33</v>
      </c>
      <c r="I147" s="2">
        <v>45845.0</v>
      </c>
      <c r="J147" s="1">
        <v>550000.0</v>
      </c>
      <c r="K147" s="2">
        <v>45839.0</v>
      </c>
    </row>
    <row r="148" hidden="1">
      <c r="A148" s="1" t="s">
        <v>31</v>
      </c>
      <c r="B148" s="1" t="s">
        <v>32</v>
      </c>
      <c r="C148" s="1" t="s">
        <v>13</v>
      </c>
      <c r="D148" s="1">
        <v>169.0</v>
      </c>
      <c r="E148" s="1">
        <v>40.0</v>
      </c>
      <c r="F148" s="1">
        <v>3.0</v>
      </c>
      <c r="G148" s="1">
        <v>4.0</v>
      </c>
      <c r="H148" s="1" t="s">
        <v>33</v>
      </c>
      <c r="I148" s="2">
        <v>46074.0</v>
      </c>
      <c r="J148" s="1">
        <v>550000.0</v>
      </c>
      <c r="K148" s="2">
        <v>46054.0</v>
      </c>
    </row>
    <row r="149" hidden="1">
      <c r="A149" s="1" t="s">
        <v>15</v>
      </c>
      <c r="B149" s="1" t="s">
        <v>16</v>
      </c>
      <c r="C149" s="1" t="s">
        <v>17</v>
      </c>
      <c r="D149" s="1">
        <v>25.0</v>
      </c>
      <c r="E149" s="1">
        <v>15.0</v>
      </c>
      <c r="F149" s="1">
        <v>2.0</v>
      </c>
      <c r="G149" s="1">
        <v>8.0</v>
      </c>
      <c r="H149" s="1" t="s">
        <v>18</v>
      </c>
      <c r="I149" s="2">
        <v>45718.0</v>
      </c>
      <c r="J149" s="1">
        <v>8500000.0</v>
      </c>
      <c r="K149" s="2">
        <v>45717.0</v>
      </c>
    </row>
    <row r="150" hidden="1">
      <c r="A150" s="1" t="s">
        <v>46</v>
      </c>
      <c r="B150" s="1" t="s">
        <v>47</v>
      </c>
      <c r="C150" s="1" t="s">
        <v>23</v>
      </c>
      <c r="D150" s="1">
        <v>0.0</v>
      </c>
      <c r="E150" s="1">
        <v>40.0</v>
      </c>
      <c r="F150" s="1">
        <v>8.0</v>
      </c>
      <c r="G150" s="1">
        <v>8.0</v>
      </c>
      <c r="H150" s="1" t="s">
        <v>30</v>
      </c>
      <c r="I150" s="2">
        <v>45964.0</v>
      </c>
      <c r="J150" s="1">
        <v>550000.0</v>
      </c>
      <c r="K150" s="2">
        <v>45962.0</v>
      </c>
    </row>
    <row r="151" hidden="1">
      <c r="A151" s="1" t="s">
        <v>21</v>
      </c>
      <c r="B151" s="1" t="s">
        <v>22</v>
      </c>
      <c r="C151" s="1" t="s">
        <v>23</v>
      </c>
      <c r="D151" s="1">
        <v>28.0</v>
      </c>
      <c r="E151" s="1">
        <v>50.0</v>
      </c>
      <c r="F151" s="1">
        <v>7.0</v>
      </c>
      <c r="G151" s="1">
        <v>7.0</v>
      </c>
      <c r="H151" s="1" t="s">
        <v>24</v>
      </c>
      <c r="I151" s="2">
        <v>45939.0</v>
      </c>
      <c r="J151" s="1">
        <v>350000.0</v>
      </c>
      <c r="K151" s="2">
        <v>45931.0</v>
      </c>
    </row>
    <row r="152" hidden="1">
      <c r="A152" s="1" t="s">
        <v>11</v>
      </c>
      <c r="B152" s="1" t="s">
        <v>12</v>
      </c>
      <c r="C152" s="1" t="s">
        <v>13</v>
      </c>
      <c r="D152" s="1">
        <v>230.0</v>
      </c>
      <c r="E152" s="1">
        <v>50.0</v>
      </c>
      <c r="F152" s="1">
        <v>1.0</v>
      </c>
      <c r="G152" s="1">
        <v>4.0</v>
      </c>
      <c r="H152" s="1" t="s">
        <v>14</v>
      </c>
      <c r="I152" s="2">
        <v>45939.0</v>
      </c>
      <c r="J152" s="1">
        <v>125000.0</v>
      </c>
      <c r="K152" s="2">
        <v>45931.0</v>
      </c>
    </row>
    <row r="153" hidden="1">
      <c r="A153" s="1" t="s">
        <v>64</v>
      </c>
      <c r="B153" s="1" t="s">
        <v>65</v>
      </c>
      <c r="C153" s="1" t="s">
        <v>42</v>
      </c>
      <c r="D153" s="1">
        <v>27.0</v>
      </c>
      <c r="E153" s="1">
        <v>20.0</v>
      </c>
      <c r="F153" s="1">
        <v>3.0</v>
      </c>
      <c r="G153" s="1">
        <v>9.0</v>
      </c>
      <c r="H153" s="1" t="s">
        <v>59</v>
      </c>
      <c r="I153" s="2">
        <v>45673.0</v>
      </c>
      <c r="J153" s="1">
        <v>750000.0</v>
      </c>
      <c r="K153" s="2">
        <v>45658.0</v>
      </c>
    </row>
    <row r="154" hidden="1">
      <c r="A154" s="1" t="s">
        <v>53</v>
      </c>
      <c r="B154" s="1" t="s">
        <v>54</v>
      </c>
      <c r="C154" s="1" t="s">
        <v>13</v>
      </c>
      <c r="D154" s="1">
        <v>305.0</v>
      </c>
      <c r="E154" s="1">
        <v>60.0</v>
      </c>
      <c r="F154" s="1">
        <v>4.0</v>
      </c>
      <c r="G154" s="1">
        <v>4.0</v>
      </c>
      <c r="H154" s="1" t="s">
        <v>14</v>
      </c>
      <c r="I154" s="2">
        <v>46068.0</v>
      </c>
      <c r="J154" s="1">
        <v>165000.0</v>
      </c>
      <c r="K154" s="2">
        <v>46054.0</v>
      </c>
    </row>
    <row r="155" hidden="1">
      <c r="A155" s="1" t="s">
        <v>34</v>
      </c>
      <c r="B155" s="1" t="s">
        <v>35</v>
      </c>
      <c r="C155" s="1" t="s">
        <v>36</v>
      </c>
      <c r="D155" s="1">
        <v>56.0</v>
      </c>
      <c r="E155" s="1">
        <v>80.0</v>
      </c>
      <c r="F155" s="1">
        <v>18.0</v>
      </c>
      <c r="G155" s="1">
        <v>5.0</v>
      </c>
      <c r="H155" s="1" t="s">
        <v>37</v>
      </c>
      <c r="I155" s="2">
        <v>46110.0</v>
      </c>
      <c r="J155" s="1">
        <v>65000.0</v>
      </c>
      <c r="K155" s="2">
        <v>46082.0</v>
      </c>
    </row>
    <row r="156" hidden="1">
      <c r="A156" s="1" t="s">
        <v>64</v>
      </c>
      <c r="B156" s="1" t="s">
        <v>65</v>
      </c>
      <c r="C156" s="1" t="s">
        <v>42</v>
      </c>
      <c r="D156" s="1">
        <v>42.0</v>
      </c>
      <c r="E156" s="1">
        <v>20.0</v>
      </c>
      <c r="F156" s="1">
        <v>1.0</v>
      </c>
      <c r="G156" s="1">
        <v>10.0</v>
      </c>
      <c r="H156" s="1" t="s">
        <v>59</v>
      </c>
      <c r="I156" s="2">
        <v>45884.0</v>
      </c>
      <c r="J156" s="1">
        <v>750000.0</v>
      </c>
      <c r="K156" s="2">
        <v>45870.0</v>
      </c>
    </row>
    <row r="157" hidden="1">
      <c r="A157" s="1" t="s">
        <v>21</v>
      </c>
      <c r="B157" s="1" t="s">
        <v>22</v>
      </c>
      <c r="C157" s="1" t="s">
        <v>23</v>
      </c>
      <c r="D157" s="1">
        <v>0.0</v>
      </c>
      <c r="E157" s="1">
        <v>50.0</v>
      </c>
      <c r="F157" s="1">
        <v>14.0</v>
      </c>
      <c r="G157" s="1">
        <v>5.0</v>
      </c>
      <c r="H157" s="1" t="s">
        <v>24</v>
      </c>
      <c r="I157" s="2">
        <v>46101.0</v>
      </c>
      <c r="J157" s="1">
        <v>350000.0</v>
      </c>
      <c r="K157" s="2">
        <v>46082.0</v>
      </c>
    </row>
    <row r="158" hidden="1">
      <c r="A158" s="1" t="s">
        <v>25</v>
      </c>
      <c r="B158" s="1" t="s">
        <v>26</v>
      </c>
      <c r="C158" s="1" t="s">
        <v>17</v>
      </c>
      <c r="D158" s="1">
        <v>23.0</v>
      </c>
      <c r="E158" s="1">
        <v>25.0</v>
      </c>
      <c r="F158" s="1">
        <v>6.0</v>
      </c>
      <c r="G158" s="1">
        <v>10.0</v>
      </c>
      <c r="H158" s="1" t="s">
        <v>27</v>
      </c>
      <c r="I158" s="2">
        <v>46109.0</v>
      </c>
      <c r="J158" s="1">
        <v>4500000.0</v>
      </c>
      <c r="K158" s="2">
        <v>46082.0</v>
      </c>
    </row>
    <row r="159" hidden="1">
      <c r="A159" s="1" t="s">
        <v>38</v>
      </c>
      <c r="B159" s="1" t="s">
        <v>39</v>
      </c>
      <c r="C159" s="1" t="s">
        <v>23</v>
      </c>
      <c r="D159" s="1">
        <v>17.0</v>
      </c>
      <c r="E159" s="1">
        <v>45.0</v>
      </c>
      <c r="F159" s="1">
        <v>7.0</v>
      </c>
      <c r="G159" s="1">
        <v>3.0</v>
      </c>
      <c r="H159" s="1" t="s">
        <v>24</v>
      </c>
      <c r="I159" s="2">
        <v>45910.0</v>
      </c>
      <c r="J159" s="1">
        <v>450000.0</v>
      </c>
      <c r="K159" s="2">
        <v>45901.0</v>
      </c>
    </row>
    <row r="160" hidden="1">
      <c r="A160" s="1" t="s">
        <v>48</v>
      </c>
      <c r="B160" s="1" t="s">
        <v>49</v>
      </c>
      <c r="C160" s="1" t="s">
        <v>36</v>
      </c>
      <c r="D160" s="1">
        <v>30.0</v>
      </c>
      <c r="E160" s="1">
        <v>120.0</v>
      </c>
      <c r="F160" s="1">
        <v>18.0</v>
      </c>
      <c r="G160" s="1">
        <v>4.0</v>
      </c>
      <c r="H160" s="1" t="s">
        <v>50</v>
      </c>
      <c r="I160" s="2">
        <v>46053.0</v>
      </c>
      <c r="J160" s="1">
        <v>55000.0</v>
      </c>
      <c r="K160" s="2">
        <v>46023.0</v>
      </c>
    </row>
    <row r="161" hidden="1">
      <c r="A161" s="1" t="s">
        <v>46</v>
      </c>
      <c r="B161" s="1" t="s">
        <v>47</v>
      </c>
      <c r="C161" s="1" t="s">
        <v>23</v>
      </c>
      <c r="D161" s="1">
        <v>0.0</v>
      </c>
      <c r="E161" s="1">
        <v>40.0</v>
      </c>
      <c r="F161" s="1">
        <v>9.0</v>
      </c>
      <c r="G161" s="1">
        <v>8.0</v>
      </c>
      <c r="H161" s="1" t="s">
        <v>30</v>
      </c>
      <c r="I161" s="2">
        <v>45730.0</v>
      </c>
      <c r="J161" s="1">
        <v>550000.0</v>
      </c>
      <c r="K161" s="2">
        <v>45717.0</v>
      </c>
    </row>
    <row r="162" hidden="1">
      <c r="A162" s="1" t="s">
        <v>55</v>
      </c>
      <c r="B162" s="1" t="s">
        <v>56</v>
      </c>
      <c r="C162" s="1" t="s">
        <v>36</v>
      </c>
      <c r="D162" s="1">
        <v>92.0</v>
      </c>
      <c r="E162" s="1">
        <v>100.0</v>
      </c>
      <c r="F162" s="1">
        <v>15.0</v>
      </c>
      <c r="G162" s="1">
        <v>5.0</v>
      </c>
      <c r="H162" s="1" t="s">
        <v>37</v>
      </c>
      <c r="I162" s="2">
        <v>45897.0</v>
      </c>
      <c r="J162" s="1">
        <v>85000.0</v>
      </c>
      <c r="K162" s="2">
        <v>45870.0</v>
      </c>
    </row>
    <row r="163" hidden="1">
      <c r="A163" s="1" t="s">
        <v>48</v>
      </c>
      <c r="B163" s="1" t="s">
        <v>49</v>
      </c>
      <c r="C163" s="1" t="s">
        <v>36</v>
      </c>
      <c r="D163" s="1">
        <v>39.0</v>
      </c>
      <c r="E163" s="1">
        <v>120.0</v>
      </c>
      <c r="F163" s="1">
        <v>19.0</v>
      </c>
      <c r="G163" s="1">
        <v>3.0</v>
      </c>
      <c r="H163" s="1" t="s">
        <v>50</v>
      </c>
      <c r="I163" s="2">
        <v>45936.0</v>
      </c>
      <c r="J163" s="1">
        <v>55000.0</v>
      </c>
      <c r="K163" s="2">
        <v>45931.0</v>
      </c>
    </row>
    <row r="164" hidden="1">
      <c r="A164" s="1" t="s">
        <v>64</v>
      </c>
      <c r="B164" s="1" t="s">
        <v>65</v>
      </c>
      <c r="C164" s="1" t="s">
        <v>42</v>
      </c>
      <c r="D164" s="1">
        <v>29.0</v>
      </c>
      <c r="E164" s="1">
        <v>20.0</v>
      </c>
      <c r="F164" s="1">
        <v>3.0</v>
      </c>
      <c r="G164" s="1">
        <v>9.0</v>
      </c>
      <c r="H164" s="1" t="s">
        <v>59</v>
      </c>
      <c r="I164" s="2">
        <v>46076.0</v>
      </c>
      <c r="J164" s="1">
        <v>750000.0</v>
      </c>
      <c r="K164" s="2">
        <v>46054.0</v>
      </c>
    </row>
    <row r="165" hidden="1">
      <c r="A165" s="1" t="s">
        <v>34</v>
      </c>
      <c r="B165" s="1" t="s">
        <v>35</v>
      </c>
      <c r="C165" s="1" t="s">
        <v>36</v>
      </c>
      <c r="D165" s="1">
        <v>40.0</v>
      </c>
      <c r="E165" s="1">
        <v>80.0</v>
      </c>
      <c r="F165" s="1">
        <v>12.0</v>
      </c>
      <c r="G165" s="1">
        <v>3.0</v>
      </c>
      <c r="H165" s="1" t="s">
        <v>37</v>
      </c>
      <c r="I165" s="2">
        <v>45673.0</v>
      </c>
      <c r="J165" s="1">
        <v>65000.0</v>
      </c>
      <c r="K165" s="2">
        <v>45658.0</v>
      </c>
    </row>
    <row r="166" hidden="1">
      <c r="A166" s="1" t="s">
        <v>11</v>
      </c>
      <c r="B166" s="1" t="s">
        <v>12</v>
      </c>
      <c r="C166" s="1" t="s">
        <v>13</v>
      </c>
      <c r="D166" s="1">
        <v>261.0</v>
      </c>
      <c r="E166" s="1">
        <v>50.0</v>
      </c>
      <c r="F166" s="1">
        <v>2.0</v>
      </c>
      <c r="G166" s="1">
        <v>5.0</v>
      </c>
      <c r="H166" s="1" t="s">
        <v>14</v>
      </c>
      <c r="I166" s="2">
        <v>45787.0</v>
      </c>
      <c r="J166" s="1">
        <v>125000.0</v>
      </c>
      <c r="K166" s="2">
        <v>45778.0</v>
      </c>
    </row>
    <row r="167" hidden="1">
      <c r="A167" s="1" t="s">
        <v>21</v>
      </c>
      <c r="B167" s="1" t="s">
        <v>22</v>
      </c>
      <c r="C167" s="1" t="s">
        <v>23</v>
      </c>
      <c r="D167" s="1">
        <v>42.0</v>
      </c>
      <c r="E167" s="1">
        <v>50.0</v>
      </c>
      <c r="F167" s="1">
        <v>6.0</v>
      </c>
      <c r="G167" s="1">
        <v>4.0</v>
      </c>
      <c r="H167" s="1" t="s">
        <v>24</v>
      </c>
      <c r="I167" s="2">
        <v>45817.0</v>
      </c>
      <c r="J167" s="1">
        <v>350000.0</v>
      </c>
      <c r="K167" s="2">
        <v>45809.0</v>
      </c>
    </row>
    <row r="168" hidden="1">
      <c r="A168" s="1" t="s">
        <v>53</v>
      </c>
      <c r="B168" s="1" t="s">
        <v>54</v>
      </c>
      <c r="C168" s="1" t="s">
        <v>13</v>
      </c>
      <c r="D168" s="1">
        <v>188.0</v>
      </c>
      <c r="E168" s="1">
        <v>60.0</v>
      </c>
      <c r="F168" s="1">
        <v>3.0</v>
      </c>
      <c r="G168" s="1">
        <v>4.0</v>
      </c>
      <c r="H168" s="1" t="s">
        <v>14</v>
      </c>
      <c r="I168" s="2">
        <v>45659.0</v>
      </c>
      <c r="J168" s="1">
        <v>165000.0</v>
      </c>
      <c r="K168" s="2">
        <v>45658.0</v>
      </c>
    </row>
    <row r="169" hidden="1">
      <c r="A169" s="1" t="s">
        <v>38</v>
      </c>
      <c r="B169" s="1" t="s">
        <v>39</v>
      </c>
      <c r="C169" s="1" t="s">
        <v>23</v>
      </c>
      <c r="D169" s="1">
        <v>0.0</v>
      </c>
      <c r="E169" s="1">
        <v>45.0</v>
      </c>
      <c r="F169" s="1">
        <v>12.0</v>
      </c>
      <c r="G169" s="1">
        <v>4.0</v>
      </c>
      <c r="H169" s="1" t="s">
        <v>24</v>
      </c>
      <c r="I169" s="2">
        <v>45983.0</v>
      </c>
      <c r="J169" s="1">
        <v>450000.0</v>
      </c>
      <c r="K169" s="2">
        <v>45962.0</v>
      </c>
    </row>
    <row r="170" hidden="1">
      <c r="A170" s="1" t="s">
        <v>11</v>
      </c>
      <c r="B170" s="1" t="s">
        <v>12</v>
      </c>
      <c r="C170" s="1" t="s">
        <v>13</v>
      </c>
      <c r="D170" s="1">
        <v>252.0</v>
      </c>
      <c r="E170" s="1">
        <v>50.0</v>
      </c>
      <c r="F170" s="1">
        <v>3.0</v>
      </c>
      <c r="G170" s="1">
        <v>7.0</v>
      </c>
      <c r="H170" s="1" t="s">
        <v>14</v>
      </c>
      <c r="I170" s="2">
        <v>45713.0</v>
      </c>
      <c r="J170" s="1">
        <v>125000.0</v>
      </c>
      <c r="K170" s="2">
        <v>45689.0</v>
      </c>
    </row>
    <row r="171" hidden="1">
      <c r="A171" s="1" t="s">
        <v>40</v>
      </c>
      <c r="B171" s="1" t="s">
        <v>41</v>
      </c>
      <c r="C171" s="1" t="s">
        <v>42</v>
      </c>
      <c r="D171" s="1">
        <v>13.0</v>
      </c>
      <c r="E171" s="1">
        <v>15.0</v>
      </c>
      <c r="F171" s="1">
        <v>3.0</v>
      </c>
      <c r="G171" s="1">
        <v>6.0</v>
      </c>
      <c r="H171" s="1" t="s">
        <v>43</v>
      </c>
      <c r="I171" s="2">
        <v>45949.0</v>
      </c>
      <c r="J171" s="1">
        <v>1200000.0</v>
      </c>
      <c r="K171" s="2">
        <v>45931.0</v>
      </c>
    </row>
    <row r="172" hidden="1">
      <c r="A172" s="1" t="s">
        <v>15</v>
      </c>
      <c r="B172" s="1" t="s">
        <v>16</v>
      </c>
      <c r="C172" s="1" t="s">
        <v>17</v>
      </c>
      <c r="D172" s="1">
        <v>28.0</v>
      </c>
      <c r="E172" s="1">
        <v>15.0</v>
      </c>
      <c r="F172" s="1">
        <v>1.0</v>
      </c>
      <c r="G172" s="1">
        <v>7.0</v>
      </c>
      <c r="H172" s="1" t="s">
        <v>18</v>
      </c>
      <c r="I172" s="2">
        <v>46041.0</v>
      </c>
      <c r="J172" s="1">
        <v>8500000.0</v>
      </c>
      <c r="K172" s="2">
        <v>46023.0</v>
      </c>
    </row>
    <row r="173" hidden="1">
      <c r="A173" s="1" t="s">
        <v>60</v>
      </c>
      <c r="B173" s="1" t="s">
        <v>61</v>
      </c>
      <c r="C173" s="1" t="s">
        <v>17</v>
      </c>
      <c r="D173" s="1">
        <v>33.0</v>
      </c>
      <c r="E173" s="1">
        <v>20.0</v>
      </c>
      <c r="F173" s="1">
        <v>1.0</v>
      </c>
      <c r="G173" s="1">
        <v>12.0</v>
      </c>
      <c r="H173" s="1" t="s">
        <v>27</v>
      </c>
      <c r="I173" s="2">
        <v>45817.0</v>
      </c>
      <c r="J173" s="1">
        <v>3200000.0</v>
      </c>
      <c r="K173" s="2">
        <v>45809.0</v>
      </c>
    </row>
    <row r="174" hidden="1">
      <c r="A174" s="1" t="s">
        <v>25</v>
      </c>
      <c r="B174" s="1" t="s">
        <v>26</v>
      </c>
      <c r="C174" s="1" t="s">
        <v>17</v>
      </c>
      <c r="D174" s="1">
        <v>15.0</v>
      </c>
      <c r="E174" s="1">
        <v>25.0</v>
      </c>
      <c r="F174" s="1">
        <v>4.0</v>
      </c>
      <c r="G174" s="1">
        <v>15.0</v>
      </c>
      <c r="H174" s="1" t="s">
        <v>27</v>
      </c>
      <c r="I174" s="2">
        <v>46070.0</v>
      </c>
      <c r="J174" s="1">
        <v>4500000.0</v>
      </c>
      <c r="K174" s="2">
        <v>46054.0</v>
      </c>
    </row>
    <row r="175" hidden="1">
      <c r="A175" s="1" t="s">
        <v>44</v>
      </c>
      <c r="B175" s="1" t="s">
        <v>45</v>
      </c>
      <c r="C175" s="1" t="s">
        <v>42</v>
      </c>
      <c r="D175" s="1">
        <v>39.0</v>
      </c>
      <c r="E175" s="1">
        <v>30.0</v>
      </c>
      <c r="F175" s="1">
        <v>6.0</v>
      </c>
      <c r="G175" s="1">
        <v>10.0</v>
      </c>
      <c r="H175" s="1" t="s">
        <v>43</v>
      </c>
      <c r="I175" s="2">
        <v>45838.0</v>
      </c>
      <c r="J175" s="1">
        <v>350000.0</v>
      </c>
      <c r="K175" s="2">
        <v>45809.0</v>
      </c>
    </row>
    <row r="176" hidden="1">
      <c r="A176" s="1" t="s">
        <v>57</v>
      </c>
      <c r="B176" s="1" t="s">
        <v>58</v>
      </c>
      <c r="C176" s="1" t="s">
        <v>42</v>
      </c>
      <c r="D176" s="1">
        <v>43.0</v>
      </c>
      <c r="E176" s="1">
        <v>25.0</v>
      </c>
      <c r="F176" s="1">
        <v>4.0</v>
      </c>
      <c r="G176" s="1">
        <v>7.0</v>
      </c>
      <c r="H176" s="1" t="s">
        <v>59</v>
      </c>
      <c r="I176" s="2">
        <v>45896.0</v>
      </c>
      <c r="J176" s="1">
        <v>450000.0</v>
      </c>
      <c r="K176" s="2">
        <v>45870.0</v>
      </c>
    </row>
    <row r="177" hidden="1">
      <c r="A177" s="1" t="s">
        <v>62</v>
      </c>
      <c r="B177" s="1" t="s">
        <v>63</v>
      </c>
      <c r="C177" s="1" t="s">
        <v>13</v>
      </c>
      <c r="D177" s="1">
        <v>472.0</v>
      </c>
      <c r="E177" s="1">
        <v>80.0</v>
      </c>
      <c r="F177" s="1">
        <v>3.0</v>
      </c>
      <c r="G177" s="1">
        <v>4.0</v>
      </c>
      <c r="H177" s="1" t="s">
        <v>33</v>
      </c>
      <c r="I177" s="2">
        <v>45900.0</v>
      </c>
      <c r="J177" s="1">
        <v>85000.0</v>
      </c>
      <c r="K177" s="2">
        <v>45870.0</v>
      </c>
    </row>
    <row r="178" hidden="1">
      <c r="A178" s="1" t="s">
        <v>64</v>
      </c>
      <c r="B178" s="1" t="s">
        <v>65</v>
      </c>
      <c r="C178" s="1" t="s">
        <v>42</v>
      </c>
      <c r="D178" s="1">
        <v>14.0</v>
      </c>
      <c r="E178" s="1">
        <v>20.0</v>
      </c>
      <c r="F178" s="1">
        <v>2.0</v>
      </c>
      <c r="G178" s="1">
        <v>8.0</v>
      </c>
      <c r="H178" s="1" t="s">
        <v>59</v>
      </c>
      <c r="I178" s="2">
        <v>45999.0</v>
      </c>
      <c r="J178" s="1">
        <v>750000.0</v>
      </c>
      <c r="K178" s="2">
        <v>45992.0</v>
      </c>
    </row>
    <row r="179" hidden="1">
      <c r="A179" s="1" t="s">
        <v>44</v>
      </c>
      <c r="B179" s="1" t="s">
        <v>45</v>
      </c>
      <c r="C179" s="1" t="s">
        <v>42</v>
      </c>
      <c r="D179" s="1">
        <v>57.0</v>
      </c>
      <c r="E179" s="1">
        <v>30.0</v>
      </c>
      <c r="F179" s="1">
        <v>5.0</v>
      </c>
      <c r="G179" s="1">
        <v>4.0</v>
      </c>
      <c r="H179" s="1" t="s">
        <v>43</v>
      </c>
      <c r="I179" s="2">
        <v>46098.0</v>
      </c>
      <c r="J179" s="1">
        <v>350000.0</v>
      </c>
      <c r="K179" s="2">
        <v>46082.0</v>
      </c>
    </row>
    <row r="180" hidden="1">
      <c r="A180" s="1" t="s">
        <v>19</v>
      </c>
      <c r="B180" s="1" t="s">
        <v>20</v>
      </c>
      <c r="C180" s="1" t="s">
        <v>17</v>
      </c>
      <c r="D180" s="1">
        <v>1.0</v>
      </c>
      <c r="E180" s="1">
        <v>30.0</v>
      </c>
      <c r="F180" s="1">
        <v>4.0</v>
      </c>
      <c r="G180" s="1">
        <v>5.0</v>
      </c>
      <c r="H180" s="1" t="s">
        <v>18</v>
      </c>
      <c r="I180" s="2">
        <v>45868.0</v>
      </c>
      <c r="J180" s="1">
        <v>1200000.0</v>
      </c>
      <c r="K180" s="2">
        <v>45839.0</v>
      </c>
    </row>
    <row r="181" hidden="1">
      <c r="A181" s="1" t="s">
        <v>28</v>
      </c>
      <c r="B181" s="1" t="s">
        <v>29</v>
      </c>
      <c r="C181" s="1" t="s">
        <v>23</v>
      </c>
      <c r="D181" s="1">
        <v>27.0</v>
      </c>
      <c r="E181" s="1">
        <v>35.0</v>
      </c>
      <c r="F181" s="1">
        <v>4.0</v>
      </c>
      <c r="G181" s="1">
        <v>5.0</v>
      </c>
      <c r="H181" s="1" t="s">
        <v>30</v>
      </c>
      <c r="I181" s="2">
        <v>45817.0</v>
      </c>
      <c r="J181" s="1">
        <v>1250000.0</v>
      </c>
      <c r="K181" s="2">
        <v>45809.0</v>
      </c>
    </row>
    <row r="182">
      <c r="A182" s="1" t="s">
        <v>53</v>
      </c>
      <c r="B182" s="1" t="s">
        <v>54</v>
      </c>
      <c r="C182" s="1" t="s">
        <v>13</v>
      </c>
      <c r="D182" s="1">
        <v>240.0</v>
      </c>
      <c r="E182" s="1">
        <v>60.0</v>
      </c>
      <c r="F182" s="1">
        <v>2.0</v>
      </c>
      <c r="G182" s="1">
        <v>6.0</v>
      </c>
      <c r="H182" s="1" t="s">
        <v>14</v>
      </c>
      <c r="I182" s="2">
        <v>46187.0</v>
      </c>
      <c r="J182" s="1">
        <v>165000.0</v>
      </c>
      <c r="K182" s="2">
        <v>45962.0</v>
      </c>
    </row>
    <row r="183" hidden="1">
      <c r="A183" s="1" t="s">
        <v>44</v>
      </c>
      <c r="B183" s="1" t="s">
        <v>45</v>
      </c>
      <c r="C183" s="1" t="s">
        <v>42</v>
      </c>
      <c r="D183" s="1">
        <v>60.0</v>
      </c>
      <c r="E183" s="1">
        <v>30.0</v>
      </c>
      <c r="F183" s="1">
        <v>4.0</v>
      </c>
      <c r="G183" s="1">
        <v>9.0</v>
      </c>
      <c r="H183" s="1" t="s">
        <v>43</v>
      </c>
      <c r="I183" s="2">
        <v>46062.0</v>
      </c>
      <c r="J183" s="1">
        <v>350000.0</v>
      </c>
      <c r="K183" s="2">
        <v>46054.0</v>
      </c>
    </row>
    <row r="184" hidden="1">
      <c r="A184" s="1" t="s">
        <v>11</v>
      </c>
      <c r="B184" s="1" t="s">
        <v>12</v>
      </c>
      <c r="C184" s="1" t="s">
        <v>13</v>
      </c>
      <c r="D184" s="1">
        <v>216.0</v>
      </c>
      <c r="E184" s="1">
        <v>50.0</v>
      </c>
      <c r="F184" s="1">
        <v>1.0</v>
      </c>
      <c r="G184" s="1">
        <v>8.0</v>
      </c>
      <c r="H184" s="1" t="s">
        <v>14</v>
      </c>
      <c r="I184" s="2">
        <v>45905.0</v>
      </c>
      <c r="J184" s="1">
        <v>125000.0</v>
      </c>
      <c r="K184" s="2">
        <v>45901.0</v>
      </c>
    </row>
    <row r="185" hidden="1">
      <c r="A185" s="1" t="s">
        <v>60</v>
      </c>
      <c r="B185" s="1" t="s">
        <v>61</v>
      </c>
      <c r="C185" s="1" t="s">
        <v>17</v>
      </c>
      <c r="D185" s="1">
        <v>-17.0</v>
      </c>
      <c r="E185" s="1">
        <v>20.0</v>
      </c>
      <c r="F185" s="1">
        <v>5.0</v>
      </c>
      <c r="G185" s="1">
        <v>22.0</v>
      </c>
      <c r="H185" s="1" t="s">
        <v>27</v>
      </c>
      <c r="I185" s="2">
        <v>45998.0</v>
      </c>
      <c r="J185" s="1">
        <v>3200000.0</v>
      </c>
      <c r="K185" s="2">
        <v>45992.0</v>
      </c>
    </row>
    <row r="186" hidden="1">
      <c r="A186" s="1" t="s">
        <v>38</v>
      </c>
      <c r="B186" s="1" t="s">
        <v>39</v>
      </c>
      <c r="C186" s="1" t="s">
        <v>23</v>
      </c>
      <c r="D186" s="1">
        <v>0.0</v>
      </c>
      <c r="E186" s="1">
        <v>45.0</v>
      </c>
      <c r="F186" s="1">
        <v>14.0</v>
      </c>
      <c r="G186" s="1">
        <v>6.0</v>
      </c>
      <c r="H186" s="1" t="s">
        <v>24</v>
      </c>
      <c r="I186" s="2">
        <v>46107.0</v>
      </c>
      <c r="J186" s="1">
        <v>450000.0</v>
      </c>
      <c r="K186" s="2">
        <v>46082.0</v>
      </c>
    </row>
    <row r="187" hidden="1">
      <c r="A187" s="1" t="s">
        <v>11</v>
      </c>
      <c r="B187" s="1" t="s">
        <v>12</v>
      </c>
      <c r="C187" s="1" t="s">
        <v>13</v>
      </c>
      <c r="D187" s="1">
        <v>157.0</v>
      </c>
      <c r="E187" s="1">
        <v>50.0</v>
      </c>
      <c r="F187" s="1">
        <v>1.0</v>
      </c>
      <c r="G187" s="1">
        <v>4.0</v>
      </c>
      <c r="H187" s="1" t="s">
        <v>14</v>
      </c>
      <c r="I187" s="2">
        <v>45823.0</v>
      </c>
      <c r="J187" s="1">
        <v>125000.0</v>
      </c>
      <c r="K187" s="2">
        <v>45809.0</v>
      </c>
    </row>
    <row r="188" hidden="1">
      <c r="A188" s="1" t="s">
        <v>57</v>
      </c>
      <c r="B188" s="1" t="s">
        <v>58</v>
      </c>
      <c r="C188" s="1" t="s">
        <v>42</v>
      </c>
      <c r="D188" s="1">
        <v>42.0</v>
      </c>
      <c r="E188" s="1">
        <v>25.0</v>
      </c>
      <c r="F188" s="1">
        <v>5.0</v>
      </c>
      <c r="G188" s="1">
        <v>10.0</v>
      </c>
      <c r="H188" s="1" t="s">
        <v>59</v>
      </c>
      <c r="I188" s="2">
        <v>45711.0</v>
      </c>
      <c r="J188" s="1">
        <v>450000.0</v>
      </c>
      <c r="K188" s="2">
        <v>45689.0</v>
      </c>
    </row>
    <row r="189" hidden="1">
      <c r="A189" s="1" t="s">
        <v>25</v>
      </c>
      <c r="B189" s="1" t="s">
        <v>26</v>
      </c>
      <c r="C189" s="1" t="s">
        <v>17</v>
      </c>
      <c r="D189" s="1">
        <v>0.0</v>
      </c>
      <c r="E189" s="1">
        <v>25.0</v>
      </c>
      <c r="F189" s="1">
        <v>8.0</v>
      </c>
      <c r="G189" s="1">
        <v>10.0</v>
      </c>
      <c r="H189" s="1" t="s">
        <v>27</v>
      </c>
      <c r="I189" s="2">
        <v>46013.0</v>
      </c>
      <c r="J189" s="1">
        <v>4500000.0</v>
      </c>
      <c r="K189" s="2">
        <v>45992.0</v>
      </c>
    </row>
    <row r="190" hidden="1">
      <c r="A190" s="1" t="s">
        <v>40</v>
      </c>
      <c r="B190" s="1" t="s">
        <v>41</v>
      </c>
      <c r="C190" s="1" t="s">
        <v>42</v>
      </c>
      <c r="D190" s="1">
        <v>22.0</v>
      </c>
      <c r="E190" s="1">
        <v>15.0</v>
      </c>
      <c r="F190" s="1">
        <v>3.0</v>
      </c>
      <c r="G190" s="1">
        <v>4.0</v>
      </c>
      <c r="H190" s="1" t="s">
        <v>43</v>
      </c>
      <c r="I190" s="2">
        <v>45919.0</v>
      </c>
      <c r="J190" s="1">
        <v>1200000.0</v>
      </c>
      <c r="K190" s="2">
        <v>45901.0</v>
      </c>
    </row>
    <row r="191" hidden="1">
      <c r="A191" s="1" t="s">
        <v>57</v>
      </c>
      <c r="B191" s="1" t="s">
        <v>58</v>
      </c>
      <c r="C191" s="1" t="s">
        <v>42</v>
      </c>
      <c r="D191" s="1">
        <v>21.0</v>
      </c>
      <c r="E191" s="1">
        <v>25.0</v>
      </c>
      <c r="F191" s="1">
        <v>3.0</v>
      </c>
      <c r="G191" s="1">
        <v>9.0</v>
      </c>
      <c r="H191" s="1" t="s">
        <v>59</v>
      </c>
      <c r="I191" s="2">
        <v>45854.0</v>
      </c>
      <c r="J191" s="1">
        <v>450000.0</v>
      </c>
      <c r="K191" s="2">
        <v>45839.0</v>
      </c>
    </row>
    <row r="192" hidden="1">
      <c r="A192" s="1" t="s">
        <v>51</v>
      </c>
      <c r="B192" s="1" t="s">
        <v>52</v>
      </c>
      <c r="C192" s="1" t="s">
        <v>36</v>
      </c>
      <c r="D192" s="1">
        <v>12.0</v>
      </c>
      <c r="E192" s="1">
        <v>60.0</v>
      </c>
      <c r="F192" s="1">
        <v>10.0</v>
      </c>
      <c r="H192" s="1" t="s">
        <v>50</v>
      </c>
      <c r="I192" s="2">
        <v>45965.0</v>
      </c>
      <c r="J192" s="1">
        <v>175000.0</v>
      </c>
      <c r="K192" s="2">
        <v>45962.0</v>
      </c>
    </row>
    <row r="193" hidden="1">
      <c r="A193" s="1" t="s">
        <v>15</v>
      </c>
      <c r="B193" s="1" t="s">
        <v>16</v>
      </c>
      <c r="C193" s="1" t="s">
        <v>17</v>
      </c>
      <c r="D193" s="1">
        <v>17.0</v>
      </c>
      <c r="E193" s="1">
        <v>15.0</v>
      </c>
      <c r="F193" s="1">
        <v>1.0</v>
      </c>
      <c r="G193" s="1">
        <v>6.0</v>
      </c>
      <c r="H193" s="1" t="s">
        <v>18</v>
      </c>
      <c r="I193" s="2">
        <v>45665.0</v>
      </c>
      <c r="J193" s="1">
        <v>8500000.0</v>
      </c>
      <c r="K193" s="2">
        <v>45658.0</v>
      </c>
    </row>
    <row r="194" hidden="1">
      <c r="A194" s="1" t="s">
        <v>51</v>
      </c>
      <c r="B194" s="1" t="s">
        <v>52</v>
      </c>
      <c r="C194" s="1" t="s">
        <v>36</v>
      </c>
      <c r="D194" s="1">
        <v>34.0</v>
      </c>
      <c r="E194" s="1">
        <v>60.0</v>
      </c>
      <c r="F194" s="1">
        <v>7.0</v>
      </c>
      <c r="G194" s="1">
        <v>6.0</v>
      </c>
      <c r="H194" s="1" t="s">
        <v>50</v>
      </c>
      <c r="I194" s="2">
        <v>45934.0</v>
      </c>
      <c r="J194" s="1">
        <v>175000.0</v>
      </c>
      <c r="K194" s="2">
        <v>45931.0</v>
      </c>
    </row>
    <row r="195" hidden="1">
      <c r="A195" s="1" t="s">
        <v>51</v>
      </c>
      <c r="B195" s="1" t="s">
        <v>52</v>
      </c>
      <c r="C195" s="1" t="s">
        <v>36</v>
      </c>
      <c r="D195" s="1">
        <v>21.0</v>
      </c>
      <c r="E195" s="1">
        <v>60.0</v>
      </c>
      <c r="F195" s="1">
        <v>9.0</v>
      </c>
      <c r="G195" s="1">
        <v>4.0</v>
      </c>
      <c r="H195" s="1" t="s">
        <v>50</v>
      </c>
      <c r="I195" s="2">
        <v>46067.0</v>
      </c>
      <c r="J195" s="1">
        <v>175000.0</v>
      </c>
      <c r="K195" s="2">
        <v>46054.0</v>
      </c>
    </row>
    <row r="196" hidden="1">
      <c r="A196" s="1" t="s">
        <v>28</v>
      </c>
      <c r="B196" s="1" t="s">
        <v>29</v>
      </c>
      <c r="C196" s="1" t="s">
        <v>23</v>
      </c>
      <c r="D196" s="1">
        <v>0.0</v>
      </c>
      <c r="E196" s="1">
        <v>35.0</v>
      </c>
      <c r="F196" s="1">
        <v>9.0</v>
      </c>
      <c r="G196" s="1">
        <v>6.0</v>
      </c>
      <c r="H196" s="1" t="s">
        <v>30</v>
      </c>
      <c r="I196" s="2">
        <v>45973.0</v>
      </c>
      <c r="J196" s="1">
        <v>1250000.0</v>
      </c>
      <c r="K196" s="2">
        <v>45962.0</v>
      </c>
    </row>
    <row r="197" hidden="1">
      <c r="A197" s="1" t="s">
        <v>31</v>
      </c>
      <c r="B197" s="1" t="s">
        <v>32</v>
      </c>
      <c r="C197" s="1" t="s">
        <v>13</v>
      </c>
      <c r="D197" s="1">
        <v>150.0</v>
      </c>
      <c r="E197" s="1">
        <v>40.0</v>
      </c>
      <c r="F197" s="1">
        <v>4.0</v>
      </c>
      <c r="G197" s="1">
        <v>4.0</v>
      </c>
      <c r="H197" s="1" t="s">
        <v>33</v>
      </c>
      <c r="I197" s="2">
        <v>46040.0</v>
      </c>
      <c r="J197" s="1">
        <v>550000.0</v>
      </c>
      <c r="K197" s="2">
        <v>46023.0</v>
      </c>
    </row>
    <row r="198" hidden="1">
      <c r="A198" s="1" t="s">
        <v>34</v>
      </c>
      <c r="B198" s="1" t="s">
        <v>35</v>
      </c>
      <c r="C198" s="1" t="s">
        <v>36</v>
      </c>
      <c r="D198" s="1">
        <v>18.0</v>
      </c>
      <c r="E198" s="1">
        <v>80.0</v>
      </c>
      <c r="F198" s="1">
        <v>10.0</v>
      </c>
      <c r="G198" s="1">
        <v>4.0</v>
      </c>
      <c r="H198" s="1" t="s">
        <v>37</v>
      </c>
      <c r="I198" s="2">
        <v>46024.0</v>
      </c>
      <c r="J198" s="1">
        <v>65000.0</v>
      </c>
      <c r="K198" s="2">
        <v>46023.0</v>
      </c>
    </row>
    <row r="199" hidden="1">
      <c r="A199" s="1" t="s">
        <v>28</v>
      </c>
      <c r="B199" s="1" t="s">
        <v>29</v>
      </c>
      <c r="C199" s="1" t="s">
        <v>23</v>
      </c>
      <c r="D199" s="1">
        <v>27.0</v>
      </c>
      <c r="E199" s="1">
        <v>35.0</v>
      </c>
      <c r="F199" s="1">
        <v>8.0</v>
      </c>
      <c r="G199" s="1">
        <v>6.0</v>
      </c>
      <c r="H199" s="1" t="s">
        <v>30</v>
      </c>
      <c r="I199" s="2">
        <v>46054.0</v>
      </c>
      <c r="J199" s="1">
        <v>1250000.0</v>
      </c>
      <c r="K199" s="2">
        <v>46054.0</v>
      </c>
    </row>
    <row r="200" hidden="1">
      <c r="A200" s="1" t="s">
        <v>44</v>
      </c>
      <c r="B200" s="1" t="s">
        <v>45</v>
      </c>
      <c r="C200" s="1" t="s">
        <v>42</v>
      </c>
      <c r="D200" s="1">
        <v>39.0</v>
      </c>
      <c r="E200" s="1">
        <v>30.0</v>
      </c>
      <c r="F200" s="1">
        <v>6.0</v>
      </c>
      <c r="G200" s="1">
        <v>10.0</v>
      </c>
      <c r="H200" s="1" t="s">
        <v>43</v>
      </c>
      <c r="I200" s="2">
        <v>45854.0</v>
      </c>
      <c r="J200" s="1">
        <v>350000.0</v>
      </c>
      <c r="K200" s="2">
        <v>45839.0</v>
      </c>
    </row>
    <row r="201" hidden="1">
      <c r="A201" s="1" t="s">
        <v>28</v>
      </c>
      <c r="B201" s="1" t="s">
        <v>29</v>
      </c>
      <c r="C201" s="1" t="s">
        <v>23</v>
      </c>
      <c r="D201" s="1">
        <v>10.0</v>
      </c>
      <c r="E201" s="1">
        <v>35.0</v>
      </c>
      <c r="F201" s="1">
        <v>7.0</v>
      </c>
      <c r="G201" s="1">
        <v>3.0</v>
      </c>
      <c r="H201" s="1" t="s">
        <v>30</v>
      </c>
      <c r="I201" s="2">
        <v>45929.0</v>
      </c>
      <c r="J201" s="1">
        <v>1250000.0</v>
      </c>
      <c r="K201" s="2">
        <v>45901.0</v>
      </c>
    </row>
    <row r="202" hidden="1">
      <c r="A202" s="1" t="s">
        <v>60</v>
      </c>
      <c r="B202" s="1" t="s">
        <v>61</v>
      </c>
      <c r="C202" s="1" t="s">
        <v>17</v>
      </c>
      <c r="D202" s="1">
        <v>7.0</v>
      </c>
      <c r="E202" s="1">
        <v>20.0</v>
      </c>
      <c r="F202" s="1">
        <v>2.0</v>
      </c>
      <c r="G202" s="1">
        <v>13.0</v>
      </c>
      <c r="H202" s="1" t="s">
        <v>27</v>
      </c>
      <c r="I202" s="2">
        <v>45861.0</v>
      </c>
      <c r="J202" s="1">
        <v>3200000.0</v>
      </c>
      <c r="K202" s="2">
        <v>45839.0</v>
      </c>
    </row>
    <row r="203" hidden="1">
      <c r="A203" s="1" t="s">
        <v>21</v>
      </c>
      <c r="B203" s="1" t="s">
        <v>22</v>
      </c>
      <c r="C203" s="1" t="s">
        <v>23</v>
      </c>
      <c r="D203" s="1">
        <v>13.0</v>
      </c>
      <c r="E203" s="1">
        <v>50.0</v>
      </c>
      <c r="F203" s="1">
        <v>8.0</v>
      </c>
      <c r="G203" s="1">
        <v>4.0</v>
      </c>
      <c r="H203" s="1" t="s">
        <v>24</v>
      </c>
      <c r="I203" s="2">
        <v>45691.0</v>
      </c>
      <c r="J203" s="1">
        <v>350000.0</v>
      </c>
      <c r="K203" s="2">
        <v>45689.0</v>
      </c>
    </row>
    <row r="204" hidden="1">
      <c r="A204" s="1" t="s">
        <v>40</v>
      </c>
      <c r="B204" s="1" t="s">
        <v>41</v>
      </c>
      <c r="C204" s="1" t="s">
        <v>42</v>
      </c>
      <c r="E204" s="1">
        <v>15.0</v>
      </c>
      <c r="F204" s="1">
        <v>2.0</v>
      </c>
      <c r="G204" s="1">
        <v>4.0</v>
      </c>
      <c r="H204" s="1" t="s">
        <v>43</v>
      </c>
      <c r="I204" s="2">
        <v>45688.0</v>
      </c>
      <c r="J204" s="1">
        <v>1200000.0</v>
      </c>
      <c r="K204" s="2">
        <v>45658.0</v>
      </c>
    </row>
    <row r="205" hidden="1">
      <c r="A205" s="1" t="s">
        <v>55</v>
      </c>
      <c r="B205" s="1" t="s">
        <v>56</v>
      </c>
      <c r="C205" s="1" t="s">
        <v>36</v>
      </c>
      <c r="D205" s="1">
        <v>19.0</v>
      </c>
      <c r="E205" s="1">
        <v>100.0</v>
      </c>
      <c r="F205" s="1">
        <v>16.0</v>
      </c>
      <c r="G205" s="1">
        <v>4.0</v>
      </c>
      <c r="H205" s="1" t="s">
        <v>37</v>
      </c>
      <c r="I205" s="2">
        <v>45965.0</v>
      </c>
      <c r="J205" s="1">
        <v>85000.0</v>
      </c>
      <c r="K205" s="2">
        <v>45962.0</v>
      </c>
    </row>
    <row r="206" hidden="1">
      <c r="A206" s="1" t="s">
        <v>55</v>
      </c>
      <c r="B206" s="1" t="s">
        <v>56</v>
      </c>
      <c r="C206" s="1" t="s">
        <v>36</v>
      </c>
      <c r="D206" s="1">
        <v>36.0</v>
      </c>
      <c r="E206" s="1">
        <v>100.0</v>
      </c>
      <c r="F206" s="1">
        <v>16.0</v>
      </c>
      <c r="G206" s="1">
        <v>5.0</v>
      </c>
      <c r="H206" s="1" t="s">
        <v>37</v>
      </c>
      <c r="I206" s="2">
        <v>45851.0</v>
      </c>
      <c r="J206" s="1">
        <v>85000.0</v>
      </c>
      <c r="K206" s="2">
        <v>45839.0</v>
      </c>
    </row>
    <row r="207" hidden="1">
      <c r="A207" s="1" t="s">
        <v>34</v>
      </c>
      <c r="B207" s="1" t="s">
        <v>35</v>
      </c>
      <c r="C207" s="1" t="s">
        <v>36</v>
      </c>
      <c r="D207" s="1">
        <v>33.0</v>
      </c>
      <c r="E207" s="1">
        <v>80.0</v>
      </c>
      <c r="F207" s="1">
        <v>13.0</v>
      </c>
      <c r="G207" s="1">
        <v>4.0</v>
      </c>
      <c r="H207" s="1" t="s">
        <v>37</v>
      </c>
      <c r="I207" s="2">
        <v>45697.0</v>
      </c>
      <c r="J207" s="1">
        <v>65000.0</v>
      </c>
      <c r="K207" s="2">
        <v>45689.0</v>
      </c>
    </row>
    <row r="208" hidden="1">
      <c r="A208" s="1" t="s">
        <v>15</v>
      </c>
      <c r="B208" s="1" t="s">
        <v>16</v>
      </c>
      <c r="C208" s="1" t="s">
        <v>17</v>
      </c>
      <c r="D208" s="1">
        <v>0.0</v>
      </c>
      <c r="E208" s="1">
        <v>15.0</v>
      </c>
      <c r="F208" s="1">
        <v>2.0</v>
      </c>
      <c r="G208" s="1">
        <v>8.0</v>
      </c>
      <c r="H208" s="1" t="s">
        <v>18</v>
      </c>
      <c r="I208" s="2">
        <v>45994.0</v>
      </c>
      <c r="J208" s="1">
        <v>8500000.0</v>
      </c>
      <c r="K208" s="2">
        <v>45992.0</v>
      </c>
    </row>
    <row r="209" hidden="1">
      <c r="A209" s="1" t="s">
        <v>19</v>
      </c>
      <c r="B209" s="1" t="s">
        <v>20</v>
      </c>
      <c r="C209" s="1" t="s">
        <v>17</v>
      </c>
      <c r="D209" s="1">
        <v>34.0</v>
      </c>
      <c r="E209" s="1">
        <v>30.0</v>
      </c>
      <c r="F209" s="1">
        <v>4.0</v>
      </c>
      <c r="G209" s="1">
        <v>5.0</v>
      </c>
      <c r="H209" s="1" t="s">
        <v>18</v>
      </c>
      <c r="I209" s="2">
        <v>46083.0</v>
      </c>
      <c r="J209" s="1">
        <v>1200000.0</v>
      </c>
      <c r="K209" s="2">
        <v>46082.0</v>
      </c>
    </row>
    <row r="210" hidden="1">
      <c r="A210" s="1" t="s">
        <v>62</v>
      </c>
      <c r="B210" s="1" t="s">
        <v>63</v>
      </c>
      <c r="C210" s="1" t="s">
        <v>13</v>
      </c>
      <c r="D210" s="1">
        <v>427.0</v>
      </c>
      <c r="E210" s="1">
        <v>80.0</v>
      </c>
      <c r="F210" s="1">
        <v>2.0</v>
      </c>
      <c r="G210" s="1">
        <v>5.0</v>
      </c>
      <c r="H210" s="1" t="s">
        <v>33</v>
      </c>
      <c r="I210" s="2">
        <v>45838.0</v>
      </c>
      <c r="J210" s="1">
        <v>85000.0</v>
      </c>
      <c r="K210" s="2">
        <v>45809.0</v>
      </c>
    </row>
    <row r="211" hidden="1">
      <c r="A211" s="1" t="s">
        <v>51</v>
      </c>
      <c r="B211" s="1" t="s">
        <v>52</v>
      </c>
      <c r="C211" s="1" t="s">
        <v>36</v>
      </c>
      <c r="D211" s="1">
        <v>14.0</v>
      </c>
      <c r="E211" s="1">
        <v>60.0</v>
      </c>
      <c r="F211" s="1">
        <v>8.0</v>
      </c>
      <c r="G211" s="1">
        <v>6.0</v>
      </c>
      <c r="H211" s="1" t="s">
        <v>50</v>
      </c>
      <c r="I211" s="2">
        <v>45930.0</v>
      </c>
      <c r="J211" s="1">
        <v>175000.0</v>
      </c>
      <c r="K211" s="2">
        <v>45901.0</v>
      </c>
    </row>
    <row r="212" hidden="1">
      <c r="A212" s="1" t="s">
        <v>25</v>
      </c>
      <c r="B212" s="1" t="s">
        <v>26</v>
      </c>
      <c r="C212" s="1" t="s">
        <v>17</v>
      </c>
      <c r="D212" s="1">
        <v>32.0</v>
      </c>
      <c r="E212" s="1">
        <v>25.0</v>
      </c>
      <c r="F212" s="1">
        <v>6.0</v>
      </c>
      <c r="G212" s="1">
        <v>17.0</v>
      </c>
      <c r="H212" s="1" t="s">
        <v>27</v>
      </c>
      <c r="I212" s="2">
        <v>46026.0</v>
      </c>
      <c r="J212" s="1">
        <v>4500000.0</v>
      </c>
      <c r="K212" s="2">
        <v>46023.0</v>
      </c>
    </row>
    <row r="213" hidden="1">
      <c r="A213" s="1" t="s">
        <v>11</v>
      </c>
      <c r="B213" s="1" t="s">
        <v>12</v>
      </c>
      <c r="C213" s="1" t="s">
        <v>13</v>
      </c>
      <c r="E213" s="1">
        <v>50.0</v>
      </c>
      <c r="F213" s="1">
        <v>1.0</v>
      </c>
      <c r="G213" s="1">
        <v>7.0</v>
      </c>
      <c r="H213" s="1" t="s">
        <v>14</v>
      </c>
      <c r="I213" s="2">
        <v>45885.0</v>
      </c>
      <c r="J213" s="1">
        <v>125000.0</v>
      </c>
      <c r="K213" s="2">
        <v>45870.0</v>
      </c>
    </row>
    <row r="214" hidden="1">
      <c r="A214" s="1" t="s">
        <v>15</v>
      </c>
      <c r="B214" s="1" t="s">
        <v>16</v>
      </c>
      <c r="C214" s="1" t="s">
        <v>17</v>
      </c>
      <c r="D214" s="1">
        <v>28.0</v>
      </c>
      <c r="E214" s="1">
        <v>15.0</v>
      </c>
      <c r="F214" s="1">
        <v>1.0</v>
      </c>
      <c r="G214" s="1">
        <v>6.0</v>
      </c>
      <c r="H214" s="1" t="s">
        <v>18</v>
      </c>
      <c r="I214" s="2">
        <v>45800.0</v>
      </c>
      <c r="J214" s="1">
        <v>8500000.0</v>
      </c>
      <c r="K214" s="2">
        <v>45778.0</v>
      </c>
    </row>
    <row r="215" hidden="1">
      <c r="A215" s="1" t="s">
        <v>64</v>
      </c>
      <c r="B215" s="1" t="s">
        <v>65</v>
      </c>
      <c r="C215" s="1" t="s">
        <v>42</v>
      </c>
      <c r="D215" s="1">
        <v>21.0</v>
      </c>
      <c r="E215" s="1">
        <v>20.0</v>
      </c>
      <c r="F215" s="1">
        <v>2.0</v>
      </c>
      <c r="G215" s="1">
        <v>9.0</v>
      </c>
      <c r="H215" s="1" t="s">
        <v>59</v>
      </c>
      <c r="I215" s="2">
        <v>45724.0</v>
      </c>
      <c r="J215" s="1">
        <v>750000.0</v>
      </c>
      <c r="K215" s="2">
        <v>45717.0</v>
      </c>
    </row>
    <row r="216" hidden="1">
      <c r="A216" s="1" t="s">
        <v>60</v>
      </c>
      <c r="B216" s="1" t="s">
        <v>61</v>
      </c>
      <c r="C216" s="1" t="s">
        <v>17</v>
      </c>
      <c r="D216" s="1">
        <v>12.0</v>
      </c>
      <c r="E216" s="1">
        <v>20.0</v>
      </c>
      <c r="F216" s="1">
        <v>2.0</v>
      </c>
      <c r="G216" s="1">
        <v>16.0</v>
      </c>
      <c r="H216" s="1" t="s">
        <v>27</v>
      </c>
      <c r="I216" s="2">
        <v>45724.0</v>
      </c>
      <c r="J216" s="1">
        <v>3200000.0</v>
      </c>
      <c r="K216" s="2">
        <v>45717.0</v>
      </c>
    </row>
    <row r="217" hidden="1">
      <c r="A217" s="1" t="s">
        <v>48</v>
      </c>
      <c r="B217" s="1" t="s">
        <v>49</v>
      </c>
      <c r="C217" s="1" t="s">
        <v>36</v>
      </c>
      <c r="D217" s="1">
        <v>72.0</v>
      </c>
      <c r="E217" s="1">
        <v>120.0</v>
      </c>
      <c r="F217" s="1">
        <v>18.0</v>
      </c>
      <c r="G217" s="1">
        <v>7.0</v>
      </c>
      <c r="H217" s="1" t="s">
        <v>50</v>
      </c>
      <c r="I217" s="2">
        <v>45815.0</v>
      </c>
      <c r="J217" s="1">
        <v>55000.0</v>
      </c>
      <c r="K217" s="2">
        <v>45809.0</v>
      </c>
    </row>
    <row r="218" hidden="1">
      <c r="A218" s="1" t="s">
        <v>40</v>
      </c>
      <c r="B218" s="1" t="s">
        <v>41</v>
      </c>
      <c r="C218" s="1" t="s">
        <v>42</v>
      </c>
      <c r="D218" s="1">
        <v>33.0</v>
      </c>
      <c r="E218" s="1">
        <v>15.0</v>
      </c>
      <c r="F218" s="1">
        <v>2.0</v>
      </c>
      <c r="G218" s="1">
        <v>10.0</v>
      </c>
      <c r="H218" s="1" t="s">
        <v>43</v>
      </c>
      <c r="I218" s="2">
        <v>46032.0</v>
      </c>
      <c r="J218" s="1">
        <v>1200000.0</v>
      </c>
      <c r="K218" s="2">
        <v>46023.0</v>
      </c>
    </row>
    <row r="219" hidden="1">
      <c r="A219" s="1" t="s">
        <v>53</v>
      </c>
      <c r="B219" s="1" t="s">
        <v>54</v>
      </c>
      <c r="C219" s="1" t="s">
        <v>13</v>
      </c>
      <c r="D219" s="1">
        <v>246.0</v>
      </c>
      <c r="E219" s="1">
        <v>60.0</v>
      </c>
      <c r="F219" s="1">
        <v>3.0</v>
      </c>
      <c r="G219" s="1">
        <v>7.0</v>
      </c>
      <c r="H219" s="1" t="s">
        <v>14</v>
      </c>
      <c r="I219" s="2">
        <v>46049.0</v>
      </c>
      <c r="J219" s="1">
        <v>165000.0</v>
      </c>
      <c r="K219" s="2">
        <v>46023.0</v>
      </c>
    </row>
    <row r="220" hidden="1">
      <c r="A220" s="1" t="s">
        <v>34</v>
      </c>
      <c r="B220" s="1" t="s">
        <v>35</v>
      </c>
      <c r="C220" s="1" t="s">
        <v>36</v>
      </c>
      <c r="D220" s="1">
        <v>64.0</v>
      </c>
      <c r="E220" s="1">
        <v>80.0</v>
      </c>
      <c r="F220" s="1">
        <v>13.0</v>
      </c>
      <c r="G220" s="1">
        <v>5.0</v>
      </c>
      <c r="H220" s="1" t="s">
        <v>37</v>
      </c>
      <c r="I220" s="2">
        <v>45970.0</v>
      </c>
      <c r="J220" s="1">
        <v>65000.0</v>
      </c>
      <c r="K220" s="2">
        <v>45962.0</v>
      </c>
    </row>
    <row r="221" hidden="1">
      <c r="A221" s="1" t="s">
        <v>57</v>
      </c>
      <c r="B221" s="1" t="s">
        <v>58</v>
      </c>
      <c r="C221" s="1" t="s">
        <v>42</v>
      </c>
      <c r="D221" s="1">
        <v>37.0</v>
      </c>
      <c r="E221" s="1">
        <v>25.0</v>
      </c>
      <c r="F221" s="1">
        <v>1.0</v>
      </c>
      <c r="G221" s="1">
        <v>9.0</v>
      </c>
      <c r="H221" s="1" t="s">
        <v>59</v>
      </c>
      <c r="I221" s="2">
        <v>45775.0</v>
      </c>
      <c r="J221" s="1">
        <v>450000.0</v>
      </c>
      <c r="K221" s="2">
        <v>45748.0</v>
      </c>
    </row>
    <row r="222" hidden="1">
      <c r="A222" s="1" t="s">
        <v>21</v>
      </c>
      <c r="B222" s="1" t="s">
        <v>22</v>
      </c>
      <c r="C222" s="1" t="s">
        <v>23</v>
      </c>
      <c r="D222" s="1">
        <v>0.0</v>
      </c>
      <c r="E222" s="1">
        <v>50.0</v>
      </c>
      <c r="F222" s="1">
        <v>13.0</v>
      </c>
      <c r="G222" s="1">
        <v>3.0</v>
      </c>
      <c r="H222" s="1" t="s">
        <v>24</v>
      </c>
      <c r="I222" s="2">
        <v>45747.0</v>
      </c>
      <c r="J222" s="1">
        <v>350000.0</v>
      </c>
      <c r="K222" s="2">
        <v>45717.0</v>
      </c>
    </row>
    <row r="223" hidden="1">
      <c r="A223" s="1" t="s">
        <v>53</v>
      </c>
      <c r="B223" s="1" t="s">
        <v>54</v>
      </c>
      <c r="C223" s="1" t="s">
        <v>13</v>
      </c>
      <c r="D223" s="1">
        <v>230.0</v>
      </c>
      <c r="E223" s="1">
        <v>60.0</v>
      </c>
      <c r="F223" s="1">
        <v>2.0</v>
      </c>
      <c r="G223" s="1">
        <v>8.0</v>
      </c>
      <c r="H223" s="1" t="s">
        <v>14</v>
      </c>
      <c r="I223" s="2">
        <v>45817.0</v>
      </c>
      <c r="J223" s="1">
        <v>165000.0</v>
      </c>
      <c r="K223" s="2">
        <v>45809.0</v>
      </c>
    </row>
    <row r="224" hidden="1">
      <c r="A224" s="1" t="s">
        <v>57</v>
      </c>
      <c r="B224" s="1" t="s">
        <v>58</v>
      </c>
      <c r="C224" s="1" t="s">
        <v>42</v>
      </c>
      <c r="D224" s="1">
        <v>52.0</v>
      </c>
      <c r="E224" s="1">
        <v>25.0</v>
      </c>
      <c r="F224" s="1">
        <v>4.0</v>
      </c>
      <c r="G224" s="1">
        <v>9.0</v>
      </c>
      <c r="H224" s="1" t="s">
        <v>59</v>
      </c>
      <c r="I224" s="2">
        <v>45671.0</v>
      </c>
      <c r="J224" s="1">
        <v>450000.0</v>
      </c>
      <c r="K224" s="2">
        <v>45658.0</v>
      </c>
    </row>
    <row r="225" hidden="1">
      <c r="A225" s="1" t="s">
        <v>64</v>
      </c>
      <c r="B225" s="1" t="s">
        <v>65</v>
      </c>
      <c r="C225" s="1" t="s">
        <v>42</v>
      </c>
      <c r="D225" s="1">
        <v>47.0</v>
      </c>
      <c r="E225" s="1">
        <v>20.0</v>
      </c>
      <c r="F225" s="1">
        <v>4.0</v>
      </c>
      <c r="G225" s="1">
        <v>9.0</v>
      </c>
      <c r="H225" s="1" t="s">
        <v>59</v>
      </c>
      <c r="I225" s="2">
        <v>45909.0</v>
      </c>
      <c r="J225" s="1">
        <v>750000.0</v>
      </c>
      <c r="K225" s="2">
        <v>45901.0</v>
      </c>
    </row>
    <row r="226" hidden="1">
      <c r="A226" s="1" t="s">
        <v>31</v>
      </c>
      <c r="B226" s="1" t="s">
        <v>32</v>
      </c>
      <c r="C226" s="1" t="s">
        <v>13</v>
      </c>
      <c r="D226" s="1">
        <v>153.0</v>
      </c>
      <c r="E226" s="1">
        <v>40.0</v>
      </c>
      <c r="F226" s="1">
        <v>4.0</v>
      </c>
      <c r="G226" s="1">
        <v>5.0</v>
      </c>
      <c r="H226" s="1" t="s">
        <v>33</v>
      </c>
      <c r="I226" s="2">
        <v>46097.0</v>
      </c>
      <c r="J226" s="1">
        <v>550000.0</v>
      </c>
      <c r="K226" s="2">
        <v>46082.0</v>
      </c>
    </row>
    <row r="227" hidden="1">
      <c r="A227" s="1" t="s">
        <v>15</v>
      </c>
      <c r="B227" s="1" t="s">
        <v>16</v>
      </c>
      <c r="C227" s="1" t="s">
        <v>17</v>
      </c>
      <c r="D227" s="1">
        <v>19.0</v>
      </c>
      <c r="E227" s="1">
        <v>15.0</v>
      </c>
      <c r="F227" s="1">
        <v>3.0</v>
      </c>
      <c r="G227" s="1">
        <v>5.0</v>
      </c>
      <c r="H227" s="1" t="s">
        <v>18</v>
      </c>
      <c r="I227" s="2">
        <v>45903.0</v>
      </c>
      <c r="J227" s="1">
        <v>8500000.0</v>
      </c>
      <c r="K227" s="2">
        <v>45901.0</v>
      </c>
    </row>
    <row r="228" hidden="1">
      <c r="A228" s="1" t="s">
        <v>21</v>
      </c>
      <c r="B228" s="1" t="s">
        <v>22</v>
      </c>
      <c r="C228" s="1" t="s">
        <v>23</v>
      </c>
      <c r="D228" s="1">
        <v>0.0</v>
      </c>
      <c r="E228" s="1">
        <v>50.0</v>
      </c>
      <c r="F228" s="1">
        <v>12.0</v>
      </c>
      <c r="G228" s="1">
        <v>5.0</v>
      </c>
      <c r="H228" s="1" t="s">
        <v>24</v>
      </c>
      <c r="I228" s="2">
        <v>45971.0</v>
      </c>
      <c r="J228" s="1">
        <v>350000.0</v>
      </c>
      <c r="K228" s="2">
        <v>45962.0</v>
      </c>
    </row>
    <row r="229" hidden="1">
      <c r="A229" s="1" t="s">
        <v>51</v>
      </c>
      <c r="B229" s="1" t="s">
        <v>52</v>
      </c>
      <c r="C229" s="1" t="s">
        <v>36</v>
      </c>
      <c r="D229" s="1">
        <v>37.0</v>
      </c>
      <c r="E229" s="1">
        <v>60.0</v>
      </c>
      <c r="F229" s="1">
        <v>8.0</v>
      </c>
      <c r="G229" s="1">
        <v>5.0</v>
      </c>
      <c r="H229" s="1" t="s">
        <v>50</v>
      </c>
      <c r="I229" s="2">
        <v>45795.0</v>
      </c>
      <c r="J229" s="1">
        <v>175000.0</v>
      </c>
      <c r="K229" s="2">
        <v>45778.0</v>
      </c>
    </row>
    <row r="230" hidden="1">
      <c r="A230" s="1" t="s">
        <v>21</v>
      </c>
      <c r="B230" s="1" t="s">
        <v>22</v>
      </c>
      <c r="C230" s="1" t="s">
        <v>23</v>
      </c>
      <c r="D230" s="1">
        <v>49.0</v>
      </c>
      <c r="E230" s="1">
        <v>50.0</v>
      </c>
      <c r="F230" s="1">
        <v>5.0</v>
      </c>
      <c r="H230" s="1" t="s">
        <v>24</v>
      </c>
      <c r="I230" s="2">
        <v>45784.0</v>
      </c>
      <c r="J230" s="1">
        <v>350000.0</v>
      </c>
      <c r="K230" s="2">
        <v>45778.0</v>
      </c>
    </row>
    <row r="231" hidden="1">
      <c r="A231" s="1" t="s">
        <v>60</v>
      </c>
      <c r="B231" s="1" t="s">
        <v>61</v>
      </c>
      <c r="C231" s="1" t="s">
        <v>17</v>
      </c>
      <c r="D231" s="1">
        <v>22.0</v>
      </c>
      <c r="E231" s="1">
        <v>20.0</v>
      </c>
      <c r="F231" s="1">
        <v>4.0</v>
      </c>
      <c r="G231" s="1">
        <v>8.0</v>
      </c>
      <c r="H231" s="1" t="s">
        <v>27</v>
      </c>
      <c r="I231" s="2">
        <v>46103.0</v>
      </c>
      <c r="J231" s="1">
        <v>3200000.0</v>
      </c>
      <c r="K231" s="2">
        <v>46082.0</v>
      </c>
    </row>
    <row r="232" hidden="1">
      <c r="A232" s="1" t="s">
        <v>55</v>
      </c>
      <c r="B232" s="1" t="s">
        <v>56</v>
      </c>
      <c r="C232" s="1" t="s">
        <v>36</v>
      </c>
      <c r="D232" s="1">
        <v>58.0</v>
      </c>
      <c r="E232" s="1">
        <v>100.0</v>
      </c>
      <c r="F232" s="1">
        <v>14.0</v>
      </c>
      <c r="G232" s="1">
        <v>3.0</v>
      </c>
      <c r="H232" s="1" t="s">
        <v>37</v>
      </c>
      <c r="I232" s="2">
        <v>45951.0</v>
      </c>
      <c r="J232" s="1">
        <v>85000.0</v>
      </c>
      <c r="K232" s="2">
        <v>45931.0</v>
      </c>
    </row>
    <row r="233" hidden="1">
      <c r="A233" s="1" t="s">
        <v>40</v>
      </c>
      <c r="B233" s="1" t="s">
        <v>41</v>
      </c>
      <c r="C233" s="1" t="s">
        <v>42</v>
      </c>
      <c r="D233" s="1">
        <v>14.0</v>
      </c>
      <c r="E233" s="1">
        <v>15.0</v>
      </c>
      <c r="F233" s="1">
        <v>2.0</v>
      </c>
      <c r="G233" s="1">
        <v>5.0</v>
      </c>
      <c r="H233" s="1" t="s">
        <v>43</v>
      </c>
      <c r="I233" s="2">
        <v>45858.0</v>
      </c>
      <c r="J233" s="1">
        <v>1200000.0</v>
      </c>
      <c r="K233" s="2">
        <v>45839.0</v>
      </c>
    </row>
    <row r="234" hidden="1">
      <c r="A234" s="1" t="s">
        <v>60</v>
      </c>
      <c r="B234" s="1" t="s">
        <v>61</v>
      </c>
      <c r="C234" s="1" t="s">
        <v>17</v>
      </c>
      <c r="D234" s="1">
        <v>0.0</v>
      </c>
      <c r="E234" s="1">
        <v>20.0</v>
      </c>
      <c r="F234" s="1">
        <v>4.0</v>
      </c>
      <c r="G234" s="1">
        <v>17.0</v>
      </c>
      <c r="H234" s="1" t="s">
        <v>27</v>
      </c>
      <c r="I234" s="2">
        <v>45964.0</v>
      </c>
      <c r="J234" s="1">
        <v>3200000.0</v>
      </c>
      <c r="K234" s="2">
        <v>45962.0</v>
      </c>
    </row>
    <row r="235" hidden="1">
      <c r="A235" s="1" t="s">
        <v>64</v>
      </c>
      <c r="B235" s="1" t="s">
        <v>65</v>
      </c>
      <c r="C235" s="1" t="s">
        <v>42</v>
      </c>
      <c r="D235" s="1">
        <v>26.0</v>
      </c>
      <c r="E235" s="1">
        <v>20.0</v>
      </c>
      <c r="F235" s="1">
        <v>2.0</v>
      </c>
      <c r="G235" s="1">
        <v>10.0</v>
      </c>
      <c r="H235" s="1" t="s">
        <v>59</v>
      </c>
      <c r="I235" s="2">
        <v>45762.0</v>
      </c>
      <c r="J235" s="1">
        <v>750000.0</v>
      </c>
      <c r="K235" s="2">
        <v>45748.0</v>
      </c>
    </row>
    <row r="236" hidden="1">
      <c r="A236" s="1" t="s">
        <v>48</v>
      </c>
      <c r="B236" s="1" t="s">
        <v>49</v>
      </c>
      <c r="C236" s="1" t="s">
        <v>36</v>
      </c>
      <c r="D236" s="1">
        <v>12.0</v>
      </c>
      <c r="E236" s="1">
        <v>120.0</v>
      </c>
      <c r="F236" s="1">
        <v>21.0</v>
      </c>
      <c r="G236" s="1">
        <v>5.0</v>
      </c>
      <c r="H236" s="1" t="s">
        <v>50</v>
      </c>
      <c r="I236" s="2">
        <v>45706.0</v>
      </c>
      <c r="J236" s="1">
        <v>55000.0</v>
      </c>
      <c r="K236" s="2">
        <v>45689.0</v>
      </c>
    </row>
    <row r="237" hidden="1">
      <c r="A237" s="1" t="s">
        <v>53</v>
      </c>
      <c r="B237" s="1" t="s">
        <v>54</v>
      </c>
      <c r="C237" s="1" t="s">
        <v>13</v>
      </c>
      <c r="D237" s="1">
        <v>292.0</v>
      </c>
      <c r="E237" s="1">
        <v>60.0</v>
      </c>
      <c r="F237" s="1">
        <v>3.0</v>
      </c>
      <c r="G237" s="1">
        <v>8.0</v>
      </c>
      <c r="H237" s="1" t="s">
        <v>14</v>
      </c>
      <c r="I237" s="2">
        <v>45869.0</v>
      </c>
      <c r="J237" s="1">
        <v>165000.0</v>
      </c>
      <c r="K237" s="2">
        <v>45839.0</v>
      </c>
    </row>
    <row r="238" hidden="1">
      <c r="A238" s="1" t="s">
        <v>40</v>
      </c>
      <c r="B238" s="1" t="s">
        <v>41</v>
      </c>
      <c r="C238" s="1" t="s">
        <v>42</v>
      </c>
      <c r="D238" s="1">
        <v>18.0</v>
      </c>
      <c r="E238" s="1">
        <v>15.0</v>
      </c>
      <c r="F238" s="1">
        <v>3.0</v>
      </c>
      <c r="G238" s="1">
        <v>5.0</v>
      </c>
      <c r="H238" s="1" t="s">
        <v>43</v>
      </c>
      <c r="I238" s="2">
        <v>45774.0</v>
      </c>
      <c r="J238" s="1">
        <v>1200000.0</v>
      </c>
      <c r="K238" s="2">
        <v>45748.0</v>
      </c>
    </row>
    <row r="239" hidden="1">
      <c r="A239" s="1" t="s">
        <v>25</v>
      </c>
      <c r="B239" s="1" t="s">
        <v>26</v>
      </c>
      <c r="C239" s="1" t="s">
        <v>17</v>
      </c>
      <c r="D239" s="1">
        <v>29.0</v>
      </c>
      <c r="E239" s="1">
        <v>25.0</v>
      </c>
      <c r="F239" s="1">
        <v>4.0</v>
      </c>
      <c r="G239" s="1">
        <v>11.0</v>
      </c>
      <c r="H239" s="1" t="s">
        <v>27</v>
      </c>
      <c r="I239" s="2">
        <v>45917.0</v>
      </c>
      <c r="J239" s="1">
        <v>4500000.0</v>
      </c>
      <c r="K239" s="2">
        <v>45901.0</v>
      </c>
    </row>
    <row r="240" hidden="1">
      <c r="A240" s="1" t="s">
        <v>48</v>
      </c>
      <c r="B240" s="1" t="s">
        <v>49</v>
      </c>
      <c r="C240" s="1" t="s">
        <v>36</v>
      </c>
      <c r="D240" s="1">
        <v>68.0</v>
      </c>
      <c r="E240" s="1">
        <v>120.0</v>
      </c>
      <c r="F240" s="1">
        <v>16.0</v>
      </c>
      <c r="G240" s="1">
        <v>6.0</v>
      </c>
      <c r="H240" s="1" t="s">
        <v>50</v>
      </c>
      <c r="I240" s="2">
        <v>45672.0</v>
      </c>
      <c r="J240" s="1">
        <v>55000.0</v>
      </c>
      <c r="K240" s="2">
        <v>45658.0</v>
      </c>
    </row>
    <row r="241">
      <c r="A241" s="1" t="s">
        <v>46</v>
      </c>
      <c r="B241" s="1" t="s">
        <v>47</v>
      </c>
      <c r="C241" s="1" t="s">
        <v>23</v>
      </c>
      <c r="D241" s="1">
        <v>35.0</v>
      </c>
      <c r="E241" s="1">
        <v>40.0</v>
      </c>
      <c r="F241" s="1">
        <v>4.0</v>
      </c>
      <c r="G241" s="1">
        <v>5.0</v>
      </c>
      <c r="H241" s="1" t="s">
        <v>30</v>
      </c>
      <c r="I241" s="2">
        <v>46161.0</v>
      </c>
      <c r="J241" s="1">
        <v>550000.0</v>
      </c>
      <c r="K241" s="2">
        <v>45809.0</v>
      </c>
    </row>
    <row r="242" hidden="1">
      <c r="A242" s="1" t="s">
        <v>38</v>
      </c>
      <c r="B242" s="1" t="s">
        <v>39</v>
      </c>
      <c r="C242" s="1" t="s">
        <v>23</v>
      </c>
      <c r="D242" s="1">
        <v>15.0</v>
      </c>
      <c r="E242" s="1">
        <v>45.0</v>
      </c>
      <c r="F242" s="1">
        <v>7.0</v>
      </c>
      <c r="G242" s="1">
        <v>4.0</v>
      </c>
      <c r="H242" s="1" t="s">
        <v>24</v>
      </c>
      <c r="I242" s="2">
        <v>45856.0</v>
      </c>
      <c r="J242" s="1">
        <v>450000.0</v>
      </c>
      <c r="K242" s="2">
        <v>45839.0</v>
      </c>
    </row>
    <row r="243" hidden="1">
      <c r="A243" s="1" t="s">
        <v>11</v>
      </c>
      <c r="B243" s="1" t="s">
        <v>12</v>
      </c>
      <c r="C243" s="1" t="s">
        <v>13</v>
      </c>
      <c r="D243" s="1">
        <v>172.0</v>
      </c>
      <c r="E243" s="1">
        <v>50.0</v>
      </c>
      <c r="F243" s="1">
        <v>2.0</v>
      </c>
      <c r="G243" s="1">
        <v>6.0</v>
      </c>
      <c r="H243" s="1" t="s">
        <v>14</v>
      </c>
      <c r="I243" s="2">
        <v>46018.0</v>
      </c>
      <c r="J243" s="1">
        <v>125000.0</v>
      </c>
      <c r="K243" s="2">
        <v>45992.0</v>
      </c>
    </row>
    <row r="244" hidden="1">
      <c r="A244" s="1" t="s">
        <v>62</v>
      </c>
      <c r="B244" s="1" t="s">
        <v>63</v>
      </c>
      <c r="C244" s="1" t="s">
        <v>13</v>
      </c>
      <c r="D244" s="1">
        <v>392.0</v>
      </c>
      <c r="E244" s="1">
        <v>80.0</v>
      </c>
      <c r="F244" s="1">
        <v>3.0</v>
      </c>
      <c r="G244" s="1">
        <v>6.0</v>
      </c>
      <c r="H244" s="1" t="s">
        <v>33</v>
      </c>
      <c r="I244" s="2">
        <v>46030.0</v>
      </c>
      <c r="J244" s="1">
        <v>85000.0</v>
      </c>
      <c r="K244" s="2">
        <v>46023.0</v>
      </c>
    </row>
    <row r="245" hidden="1">
      <c r="A245" s="1" t="s">
        <v>53</v>
      </c>
      <c r="B245" s="1" t="s">
        <v>54</v>
      </c>
      <c r="C245" s="1" t="s">
        <v>13</v>
      </c>
      <c r="D245" s="1">
        <v>205.0</v>
      </c>
      <c r="E245" s="1">
        <v>60.0</v>
      </c>
      <c r="F245" s="1">
        <v>4.0</v>
      </c>
      <c r="G245" s="1">
        <v>7.0</v>
      </c>
      <c r="H245" s="1" t="s">
        <v>14</v>
      </c>
      <c r="I245" s="2">
        <v>45739.0</v>
      </c>
      <c r="J245" s="1">
        <v>165000.0</v>
      </c>
      <c r="K245" s="2">
        <v>45717.0</v>
      </c>
    </row>
    <row r="246" hidden="1">
      <c r="A246" s="1" t="s">
        <v>60</v>
      </c>
      <c r="B246" s="1" t="s">
        <v>61</v>
      </c>
      <c r="C246" s="1" t="s">
        <v>17</v>
      </c>
      <c r="D246" s="1">
        <v>7.0</v>
      </c>
      <c r="E246" s="1">
        <v>20.0</v>
      </c>
      <c r="F246" s="1">
        <v>2.0</v>
      </c>
      <c r="G246" s="1">
        <v>7.0</v>
      </c>
      <c r="H246" s="1" t="s">
        <v>27</v>
      </c>
      <c r="I246" s="2">
        <v>45933.0</v>
      </c>
      <c r="J246" s="1">
        <v>3200000.0</v>
      </c>
      <c r="K246" s="2">
        <v>45931.0</v>
      </c>
    </row>
    <row r="247" hidden="1">
      <c r="A247" s="1" t="s">
        <v>55</v>
      </c>
      <c r="B247" s="1" t="s">
        <v>56</v>
      </c>
      <c r="C247" s="1" t="s">
        <v>36</v>
      </c>
      <c r="D247" s="1">
        <v>60.0</v>
      </c>
      <c r="E247" s="1">
        <v>100.0</v>
      </c>
      <c r="F247" s="1">
        <v>22.0</v>
      </c>
      <c r="G247" s="1">
        <v>5.0</v>
      </c>
      <c r="H247" s="1" t="s">
        <v>37</v>
      </c>
      <c r="I247" s="2">
        <v>46109.0</v>
      </c>
      <c r="J247" s="1">
        <v>85000.0</v>
      </c>
      <c r="K247" s="2">
        <v>46082.0</v>
      </c>
    </row>
    <row r="248" hidden="1">
      <c r="A248" s="1" t="s">
        <v>11</v>
      </c>
      <c r="B248" s="1" t="s">
        <v>12</v>
      </c>
      <c r="C248" s="1" t="s">
        <v>13</v>
      </c>
      <c r="D248" s="1">
        <v>230.0</v>
      </c>
      <c r="E248" s="1">
        <v>50.0</v>
      </c>
      <c r="F248" s="1">
        <v>1.0</v>
      </c>
      <c r="G248" s="1">
        <v>4.0</v>
      </c>
      <c r="H248" s="1" t="s">
        <v>14</v>
      </c>
      <c r="I248" s="2">
        <v>45939.0</v>
      </c>
      <c r="J248" s="1">
        <v>125000.0</v>
      </c>
      <c r="K248" s="2">
        <v>45931.0</v>
      </c>
    </row>
    <row r="249" hidden="1">
      <c r="A249" s="1" t="s">
        <v>34</v>
      </c>
      <c r="B249" s="1" t="s">
        <v>35</v>
      </c>
      <c r="C249" s="1" t="s">
        <v>36</v>
      </c>
      <c r="D249" s="1">
        <v>0.0</v>
      </c>
      <c r="E249" s="1">
        <v>80.0</v>
      </c>
      <c r="F249" s="1">
        <v>17.0</v>
      </c>
      <c r="G249" s="1">
        <v>5.0</v>
      </c>
      <c r="H249" s="1" t="s">
        <v>37</v>
      </c>
      <c r="I249" s="2">
        <v>46012.0</v>
      </c>
      <c r="J249" s="1">
        <v>65000.0</v>
      </c>
      <c r="K249" s="2">
        <v>45992.0</v>
      </c>
    </row>
    <row r="250" hidden="1">
      <c r="A250" s="1" t="s">
        <v>62</v>
      </c>
      <c r="B250" s="1" t="s">
        <v>63</v>
      </c>
      <c r="C250" s="1" t="s">
        <v>13</v>
      </c>
      <c r="D250" s="1">
        <v>302.0</v>
      </c>
      <c r="E250" s="1">
        <v>80.0</v>
      </c>
      <c r="F250" s="1">
        <v>3.0</v>
      </c>
      <c r="G250" s="1">
        <v>5.0</v>
      </c>
      <c r="H250" s="1" t="s">
        <v>33</v>
      </c>
      <c r="I250" s="2">
        <v>45797.0</v>
      </c>
      <c r="J250" s="1">
        <v>85000.0</v>
      </c>
      <c r="K250" s="2">
        <v>45778.0</v>
      </c>
    </row>
    <row r="251" hidden="1">
      <c r="A251" s="1" t="s">
        <v>15</v>
      </c>
      <c r="B251" s="1" t="s">
        <v>16</v>
      </c>
      <c r="C251" s="1" t="s">
        <v>17</v>
      </c>
      <c r="D251" s="1">
        <v>9.0</v>
      </c>
      <c r="E251" s="1">
        <v>15.0</v>
      </c>
      <c r="F251" s="1">
        <v>1.0</v>
      </c>
      <c r="G251" s="1">
        <v>6.0</v>
      </c>
      <c r="H251" s="1" t="s">
        <v>18</v>
      </c>
      <c r="I251" s="2">
        <v>46109.0</v>
      </c>
      <c r="J251" s="1">
        <v>8500000.0</v>
      </c>
      <c r="K251" s="2">
        <v>46082.0</v>
      </c>
    </row>
    <row r="252" hidden="1">
      <c r="A252" s="1" t="s">
        <v>19</v>
      </c>
      <c r="B252" s="1" t="s">
        <v>20</v>
      </c>
      <c r="C252" s="1" t="s">
        <v>17</v>
      </c>
      <c r="D252" s="1">
        <v>26.0</v>
      </c>
      <c r="E252" s="1">
        <v>30.0</v>
      </c>
      <c r="F252" s="1">
        <v>2.0</v>
      </c>
      <c r="G252" s="1">
        <v>9.0</v>
      </c>
      <c r="H252" s="1" t="s">
        <v>18</v>
      </c>
      <c r="I252" s="2">
        <v>45731.0</v>
      </c>
      <c r="J252" s="1">
        <v>1200000.0</v>
      </c>
      <c r="K252" s="2">
        <v>45717.0</v>
      </c>
    </row>
    <row r="253" hidden="1">
      <c r="A253" s="1" t="s">
        <v>28</v>
      </c>
      <c r="B253" s="1" t="s">
        <v>29</v>
      </c>
      <c r="C253" s="1" t="s">
        <v>23</v>
      </c>
      <c r="D253" s="1">
        <v>20.0</v>
      </c>
      <c r="E253" s="1">
        <v>35.0</v>
      </c>
      <c r="F253" s="1">
        <v>5.0</v>
      </c>
      <c r="G253" s="1">
        <v>8.0</v>
      </c>
      <c r="H253" s="1" t="s">
        <v>30</v>
      </c>
      <c r="I253" s="2">
        <v>45784.0</v>
      </c>
      <c r="J253" s="1">
        <v>1250000.0</v>
      </c>
      <c r="K253" s="2">
        <v>45778.0</v>
      </c>
    </row>
    <row r="254" hidden="1">
      <c r="A254" s="1" t="s">
        <v>51</v>
      </c>
      <c r="B254" s="1" t="s">
        <v>52</v>
      </c>
      <c r="C254" s="1" t="s">
        <v>36</v>
      </c>
      <c r="D254" s="1">
        <v>15.0</v>
      </c>
      <c r="E254" s="1">
        <v>60.0</v>
      </c>
      <c r="F254" s="1">
        <v>7.0</v>
      </c>
      <c r="G254" s="1">
        <v>5.0</v>
      </c>
      <c r="H254" s="1" t="s">
        <v>50</v>
      </c>
      <c r="I254" s="2">
        <v>45827.0</v>
      </c>
      <c r="J254" s="1">
        <v>175000.0</v>
      </c>
      <c r="K254" s="2">
        <v>45809.0</v>
      </c>
    </row>
    <row r="255" hidden="1">
      <c r="A255" s="1" t="s">
        <v>11</v>
      </c>
      <c r="B255" s="1" t="s">
        <v>12</v>
      </c>
      <c r="C255" s="1" t="s">
        <v>13</v>
      </c>
      <c r="D255" s="1">
        <v>-15.0</v>
      </c>
      <c r="E255" s="1">
        <v>50.0</v>
      </c>
      <c r="F255" s="1">
        <v>3.0</v>
      </c>
      <c r="G255" s="1">
        <v>6.0</v>
      </c>
      <c r="H255" s="1" t="s">
        <v>14</v>
      </c>
      <c r="I255" s="2">
        <v>45734.0</v>
      </c>
      <c r="J255" s="1">
        <v>125000.0</v>
      </c>
      <c r="K255" s="2">
        <v>45717.0</v>
      </c>
    </row>
    <row r="256" hidden="1">
      <c r="A256" s="1" t="s">
        <v>51</v>
      </c>
      <c r="B256" s="1" t="s">
        <v>52</v>
      </c>
      <c r="C256" s="1" t="s">
        <v>36</v>
      </c>
      <c r="D256" s="1">
        <v>0.0</v>
      </c>
      <c r="E256" s="1">
        <v>60.0</v>
      </c>
      <c r="F256" s="1">
        <v>11.0</v>
      </c>
      <c r="G256" s="1">
        <v>5.0</v>
      </c>
      <c r="H256" s="1" t="s">
        <v>50</v>
      </c>
      <c r="I256" s="2">
        <v>46083.0</v>
      </c>
      <c r="J256" s="1">
        <v>175000.0</v>
      </c>
      <c r="K256" s="2">
        <v>46082.0</v>
      </c>
    </row>
    <row r="257" hidden="1">
      <c r="A257" s="1" t="s">
        <v>62</v>
      </c>
      <c r="B257" s="1" t="s">
        <v>63</v>
      </c>
      <c r="C257" s="1" t="s">
        <v>13</v>
      </c>
      <c r="D257" s="1">
        <v>386.0</v>
      </c>
      <c r="E257" s="1">
        <v>80.0</v>
      </c>
      <c r="F257" s="1">
        <v>3.0</v>
      </c>
      <c r="G257" s="1">
        <v>6.0</v>
      </c>
      <c r="H257" s="1" t="s">
        <v>33</v>
      </c>
      <c r="I257" s="2">
        <v>45852.0</v>
      </c>
      <c r="J257" s="1">
        <v>85000.0</v>
      </c>
      <c r="K257" s="2">
        <v>45839.0</v>
      </c>
    </row>
    <row r="258" hidden="1">
      <c r="A258" s="1" t="s">
        <v>40</v>
      </c>
      <c r="B258" s="1" t="s">
        <v>41</v>
      </c>
      <c r="C258" s="1" t="s">
        <v>42</v>
      </c>
      <c r="D258" s="1">
        <v>9.0</v>
      </c>
      <c r="E258" s="1">
        <v>15.0</v>
      </c>
      <c r="F258" s="1">
        <v>1.0</v>
      </c>
      <c r="G258" s="1">
        <v>8.0</v>
      </c>
      <c r="H258" s="1" t="s">
        <v>43</v>
      </c>
      <c r="I258" s="2">
        <v>46014.0</v>
      </c>
      <c r="J258" s="1">
        <v>1200000.0</v>
      </c>
      <c r="K258" s="2">
        <v>45992.0</v>
      </c>
    </row>
    <row r="259" hidden="1">
      <c r="A259" s="1" t="s">
        <v>60</v>
      </c>
      <c r="B259" s="1" t="s">
        <v>61</v>
      </c>
      <c r="C259" s="1" t="s">
        <v>17</v>
      </c>
      <c r="D259" s="1">
        <v>27.0</v>
      </c>
      <c r="E259" s="1">
        <v>20.0</v>
      </c>
      <c r="F259" s="1">
        <v>2.0</v>
      </c>
      <c r="G259" s="1">
        <v>13.0</v>
      </c>
      <c r="H259" s="1" t="s">
        <v>27</v>
      </c>
      <c r="I259" s="2">
        <v>46057.0</v>
      </c>
      <c r="J259" s="1">
        <v>3200000.0</v>
      </c>
      <c r="K259" s="2">
        <v>46054.0</v>
      </c>
    </row>
    <row r="260" hidden="1">
      <c r="A260" s="1" t="s">
        <v>53</v>
      </c>
      <c r="B260" s="1" t="s">
        <v>54</v>
      </c>
      <c r="C260" s="1" t="s">
        <v>13</v>
      </c>
      <c r="D260" s="1">
        <v>292.0</v>
      </c>
      <c r="E260" s="1">
        <v>60.0</v>
      </c>
      <c r="F260" s="1">
        <v>3.0</v>
      </c>
      <c r="G260" s="1">
        <v>6.0</v>
      </c>
      <c r="H260" s="1" t="s">
        <v>14</v>
      </c>
      <c r="I260" s="2">
        <v>45888.0</v>
      </c>
      <c r="J260" s="1">
        <v>165000.0</v>
      </c>
      <c r="K260" s="2">
        <v>45870.0</v>
      </c>
    </row>
    <row r="261" hidden="1">
      <c r="A261" s="1" t="s">
        <v>31</v>
      </c>
      <c r="B261" s="1" t="s">
        <v>32</v>
      </c>
      <c r="C261" s="1" t="s">
        <v>13</v>
      </c>
      <c r="D261" s="1">
        <v>186.0</v>
      </c>
      <c r="E261" s="1">
        <v>40.0</v>
      </c>
      <c r="F261" s="1">
        <v>2.0</v>
      </c>
      <c r="G261" s="1">
        <v>4.0</v>
      </c>
      <c r="H261" s="1" t="s">
        <v>33</v>
      </c>
      <c r="I261" s="2">
        <v>45971.0</v>
      </c>
      <c r="J261" s="1">
        <v>550000.0</v>
      </c>
      <c r="K261" s="2">
        <v>45962.0</v>
      </c>
    </row>
    <row r="262" hidden="1">
      <c r="A262" s="1" t="s">
        <v>34</v>
      </c>
      <c r="B262" s="1" t="s">
        <v>35</v>
      </c>
      <c r="C262" s="1" t="s">
        <v>36</v>
      </c>
      <c r="D262" s="1">
        <v>35.0</v>
      </c>
      <c r="E262" s="1">
        <v>80.0</v>
      </c>
      <c r="F262" s="1">
        <v>13.0</v>
      </c>
      <c r="G262" s="1">
        <v>4.0</v>
      </c>
      <c r="H262" s="1" t="s">
        <v>37</v>
      </c>
      <c r="I262" s="2">
        <v>45800.0</v>
      </c>
      <c r="J262" s="1">
        <v>65000.0</v>
      </c>
      <c r="K262" s="2">
        <v>45778.0</v>
      </c>
    </row>
    <row r="263" hidden="1">
      <c r="A263" s="1" t="s">
        <v>46</v>
      </c>
      <c r="B263" s="1" t="s">
        <v>47</v>
      </c>
      <c r="C263" s="1" t="s">
        <v>23</v>
      </c>
      <c r="D263" s="1">
        <v>14.0</v>
      </c>
      <c r="E263" s="1">
        <v>40.0</v>
      </c>
      <c r="F263" s="1">
        <v>4.0</v>
      </c>
      <c r="G263" s="1">
        <v>8.0</v>
      </c>
      <c r="H263" s="1" t="s">
        <v>30</v>
      </c>
      <c r="I263" s="2">
        <v>45687.0</v>
      </c>
      <c r="J263" s="1">
        <v>550000.0</v>
      </c>
      <c r="K263" s="2">
        <v>45658.0</v>
      </c>
    </row>
    <row r="264" hidden="1">
      <c r="A264" s="1" t="s">
        <v>19</v>
      </c>
      <c r="B264" s="1" t="s">
        <v>20</v>
      </c>
      <c r="C264" s="1" t="s">
        <v>17</v>
      </c>
      <c r="D264" s="1">
        <v>31.0</v>
      </c>
      <c r="E264" s="1">
        <v>30.0</v>
      </c>
      <c r="F264" s="1">
        <v>3.0</v>
      </c>
      <c r="G264" s="1">
        <v>8.0</v>
      </c>
      <c r="H264" s="1" t="s">
        <v>18</v>
      </c>
      <c r="I264" s="2">
        <v>45929.0</v>
      </c>
      <c r="J264" s="1">
        <v>1200000.0</v>
      </c>
      <c r="K264" s="2">
        <v>45901.0</v>
      </c>
    </row>
    <row r="265" hidden="1">
      <c r="A265" s="1" t="s">
        <v>15</v>
      </c>
      <c r="B265" s="1" t="s">
        <v>16</v>
      </c>
      <c r="C265" s="1" t="s">
        <v>17</v>
      </c>
      <c r="D265" s="1">
        <v>13.0</v>
      </c>
      <c r="E265" s="1">
        <v>15.0</v>
      </c>
      <c r="F265" s="1">
        <v>1.0</v>
      </c>
      <c r="G265" s="1">
        <v>5.0</v>
      </c>
      <c r="H265" s="1" t="s">
        <v>18</v>
      </c>
      <c r="I265" s="2">
        <v>45710.0</v>
      </c>
      <c r="J265" s="1">
        <v>8500000.0</v>
      </c>
      <c r="K265" s="2">
        <v>45689.0</v>
      </c>
    </row>
    <row r="266" hidden="1">
      <c r="A266" s="1" t="s">
        <v>19</v>
      </c>
      <c r="B266" s="1" t="s">
        <v>20</v>
      </c>
      <c r="C266" s="1" t="s">
        <v>17</v>
      </c>
      <c r="D266" s="1">
        <v>26.0</v>
      </c>
      <c r="E266" s="1">
        <v>30.0</v>
      </c>
      <c r="F266" s="1">
        <v>4.0</v>
      </c>
      <c r="G266" s="1">
        <v>8.0</v>
      </c>
      <c r="H266" s="1" t="s">
        <v>18</v>
      </c>
      <c r="I266" s="2">
        <v>45803.0</v>
      </c>
      <c r="J266" s="1">
        <v>1200000.0</v>
      </c>
      <c r="K266" s="2">
        <v>45778.0</v>
      </c>
    </row>
    <row r="267" hidden="1">
      <c r="A267" s="1" t="s">
        <v>38</v>
      </c>
      <c r="B267" s="1" t="s">
        <v>39</v>
      </c>
      <c r="C267" s="1" t="s">
        <v>23</v>
      </c>
      <c r="D267" s="1">
        <v>36.0</v>
      </c>
      <c r="E267" s="1">
        <v>45.0</v>
      </c>
      <c r="F267" s="1">
        <v>4.0</v>
      </c>
      <c r="G267" s="1">
        <v>3.0</v>
      </c>
      <c r="H267" s="1" t="s">
        <v>24</v>
      </c>
      <c r="I267" s="2">
        <v>45812.0</v>
      </c>
      <c r="J267" s="1">
        <v>450000.0</v>
      </c>
      <c r="K267" s="2">
        <v>45809.0</v>
      </c>
    </row>
    <row r="268" hidden="1">
      <c r="A268" s="1" t="s">
        <v>62</v>
      </c>
      <c r="B268" s="1" t="s">
        <v>63</v>
      </c>
      <c r="C268" s="1" t="s">
        <v>13</v>
      </c>
      <c r="D268" s="1">
        <v>264.0</v>
      </c>
      <c r="E268" s="1">
        <v>80.0</v>
      </c>
      <c r="F268" s="1">
        <v>3.0</v>
      </c>
      <c r="G268" s="1">
        <v>5.0</v>
      </c>
      <c r="H268" s="1" t="s">
        <v>33</v>
      </c>
      <c r="I268" s="2">
        <v>45984.0</v>
      </c>
      <c r="J268" s="1">
        <v>85000.0</v>
      </c>
      <c r="K268" s="2">
        <v>45962.0</v>
      </c>
    </row>
    <row r="269" hidden="1">
      <c r="A269" s="1" t="s">
        <v>60</v>
      </c>
      <c r="B269" s="1" t="s">
        <v>61</v>
      </c>
      <c r="C269" s="1" t="s">
        <v>17</v>
      </c>
      <c r="D269" s="1">
        <v>38.0</v>
      </c>
      <c r="E269" s="1">
        <v>20.0</v>
      </c>
      <c r="F269" s="1">
        <v>2.0</v>
      </c>
      <c r="G269" s="1">
        <v>11.0</v>
      </c>
      <c r="H269" s="1" t="s">
        <v>27</v>
      </c>
      <c r="I269" s="2">
        <v>45782.0</v>
      </c>
      <c r="J269" s="1">
        <v>3200000.0</v>
      </c>
      <c r="K269" s="2">
        <v>45778.0</v>
      </c>
    </row>
    <row r="270" hidden="1">
      <c r="A270" s="1" t="s">
        <v>34</v>
      </c>
      <c r="B270" s="1" t="s">
        <v>35</v>
      </c>
      <c r="C270" s="1" t="s">
        <v>36</v>
      </c>
      <c r="D270" s="1">
        <v>46.0</v>
      </c>
      <c r="E270" s="1">
        <v>80.0</v>
      </c>
      <c r="F270" s="1">
        <v>13.0</v>
      </c>
      <c r="G270" s="1">
        <v>5.0</v>
      </c>
      <c r="H270" s="1" t="s">
        <v>37</v>
      </c>
      <c r="I270" s="2">
        <v>45924.0</v>
      </c>
      <c r="J270" s="1">
        <v>65000.0</v>
      </c>
      <c r="K270" s="2">
        <v>45901.0</v>
      </c>
    </row>
    <row r="271" hidden="1">
      <c r="A271" s="1" t="s">
        <v>28</v>
      </c>
      <c r="B271" s="1" t="s">
        <v>29</v>
      </c>
      <c r="C271" s="1" t="s">
        <v>23</v>
      </c>
      <c r="D271" s="1">
        <v>27.0</v>
      </c>
      <c r="E271" s="1">
        <v>35.0</v>
      </c>
      <c r="F271" s="1">
        <v>5.0</v>
      </c>
      <c r="G271" s="1">
        <v>3.0</v>
      </c>
      <c r="H271" s="1" t="s">
        <v>30</v>
      </c>
      <c r="I271" s="2">
        <v>45701.0</v>
      </c>
      <c r="J271" s="1">
        <v>1250000.0</v>
      </c>
      <c r="K271" s="2">
        <v>45689.0</v>
      </c>
    </row>
    <row r="272" hidden="1">
      <c r="A272" s="1" t="s">
        <v>19</v>
      </c>
      <c r="B272" s="1" t="s">
        <v>20</v>
      </c>
      <c r="C272" s="1" t="s">
        <v>17</v>
      </c>
      <c r="D272" s="1">
        <v>44.0</v>
      </c>
      <c r="E272" s="1">
        <v>30.0</v>
      </c>
      <c r="F272" s="1">
        <v>4.0</v>
      </c>
      <c r="G272" s="1">
        <v>8.0</v>
      </c>
      <c r="H272" s="1" t="s">
        <v>18</v>
      </c>
      <c r="I272" s="2">
        <v>45885.0</v>
      </c>
      <c r="J272" s="1">
        <v>1200000.0</v>
      </c>
      <c r="K272" s="2">
        <v>45870.0</v>
      </c>
    </row>
    <row r="273" hidden="1">
      <c r="A273" s="1" t="s">
        <v>34</v>
      </c>
      <c r="B273" s="1" t="s">
        <v>35</v>
      </c>
      <c r="C273" s="1" t="s">
        <v>36</v>
      </c>
      <c r="D273" s="1">
        <v>34.0</v>
      </c>
      <c r="E273" s="1">
        <v>80.0</v>
      </c>
      <c r="F273" s="1">
        <v>9.0</v>
      </c>
      <c r="G273" s="1">
        <v>3.0</v>
      </c>
      <c r="H273" s="1" t="s">
        <v>37</v>
      </c>
      <c r="I273" s="2">
        <v>45950.0</v>
      </c>
      <c r="J273" s="1">
        <v>65000.0</v>
      </c>
      <c r="K273" s="2">
        <v>45931.0</v>
      </c>
    </row>
    <row r="274" hidden="1">
      <c r="A274" s="1" t="s">
        <v>55</v>
      </c>
      <c r="B274" s="1" t="s">
        <v>56</v>
      </c>
      <c r="C274" s="1" t="s">
        <v>36</v>
      </c>
      <c r="D274" s="1">
        <v>145.0</v>
      </c>
      <c r="E274" s="1">
        <v>100.0</v>
      </c>
      <c r="F274" s="1">
        <v>17.0</v>
      </c>
      <c r="G274" s="1">
        <v>4.0</v>
      </c>
      <c r="H274" s="1" t="s">
        <v>37</v>
      </c>
      <c r="I274" s="2">
        <v>45711.0</v>
      </c>
      <c r="J274" s="1">
        <v>85000.0</v>
      </c>
      <c r="K274" s="2">
        <v>45689.0</v>
      </c>
    </row>
    <row r="275" hidden="1">
      <c r="A275" s="1" t="s">
        <v>15</v>
      </c>
      <c r="B275" s="1" t="s">
        <v>16</v>
      </c>
      <c r="C275" s="1" t="s">
        <v>17</v>
      </c>
      <c r="D275" s="1">
        <v>15.0</v>
      </c>
      <c r="E275" s="1">
        <v>15.0</v>
      </c>
      <c r="F275" s="1">
        <v>1.0</v>
      </c>
      <c r="G275" s="1">
        <v>5.0</v>
      </c>
      <c r="H275" s="1" t="s">
        <v>18</v>
      </c>
      <c r="I275" s="2">
        <v>46055.0</v>
      </c>
      <c r="J275" s="1">
        <v>8500000.0</v>
      </c>
      <c r="K275" s="2">
        <v>46054.0</v>
      </c>
    </row>
    <row r="276" hidden="1">
      <c r="A276" s="1" t="s">
        <v>38</v>
      </c>
      <c r="B276" s="1" t="s">
        <v>39</v>
      </c>
      <c r="C276" s="1" t="s">
        <v>23</v>
      </c>
      <c r="D276" s="1">
        <v>12.0</v>
      </c>
      <c r="E276" s="1">
        <v>45.0</v>
      </c>
      <c r="F276" s="1">
        <v>8.0</v>
      </c>
      <c r="G276" s="1">
        <v>6.0</v>
      </c>
      <c r="H276" s="1" t="s">
        <v>24</v>
      </c>
      <c r="I276" s="2">
        <v>46054.0</v>
      </c>
      <c r="J276" s="1">
        <v>450000.0</v>
      </c>
      <c r="K276" s="2">
        <v>46054.0</v>
      </c>
    </row>
    <row r="277" hidden="1">
      <c r="A277" s="1" t="s">
        <v>51</v>
      </c>
      <c r="B277" s="1" t="s">
        <v>52</v>
      </c>
      <c r="C277" s="1" t="s">
        <v>36</v>
      </c>
      <c r="D277" s="1">
        <v>19.0</v>
      </c>
      <c r="E277" s="1">
        <v>60.0</v>
      </c>
      <c r="F277" s="1">
        <v>6.0</v>
      </c>
      <c r="G277" s="1">
        <v>6.0</v>
      </c>
      <c r="H277" s="1" t="s">
        <v>50</v>
      </c>
      <c r="I277" s="2">
        <v>45775.0</v>
      </c>
      <c r="J277" s="1">
        <v>175000.0</v>
      </c>
      <c r="K277" s="2">
        <v>45748.0</v>
      </c>
    </row>
    <row r="278" hidden="1">
      <c r="A278" s="1" t="s">
        <v>44</v>
      </c>
      <c r="B278" s="1" t="s">
        <v>45</v>
      </c>
      <c r="C278" s="1" t="s">
        <v>42</v>
      </c>
      <c r="D278" s="1">
        <v>22.0</v>
      </c>
      <c r="E278" s="1">
        <v>30.0</v>
      </c>
      <c r="F278" s="1">
        <v>6.0</v>
      </c>
      <c r="H278" s="1" t="s">
        <v>43</v>
      </c>
      <c r="I278" s="2">
        <v>45702.0</v>
      </c>
      <c r="J278" s="1">
        <v>350000.0</v>
      </c>
      <c r="K278" s="2">
        <v>45689.0</v>
      </c>
    </row>
    <row r="279" hidden="1">
      <c r="A279" s="1" t="s">
        <v>44</v>
      </c>
      <c r="B279" s="1" t="s">
        <v>45</v>
      </c>
      <c r="C279" s="1" t="s">
        <v>42</v>
      </c>
      <c r="D279" s="1">
        <v>59.0</v>
      </c>
      <c r="E279" s="1">
        <v>30.0</v>
      </c>
      <c r="F279" s="1">
        <v>3.0</v>
      </c>
      <c r="G279" s="1">
        <v>6.0</v>
      </c>
      <c r="H279" s="1" t="s">
        <v>43</v>
      </c>
      <c r="I279" s="2">
        <v>45880.0</v>
      </c>
      <c r="J279" s="1">
        <v>350000.0</v>
      </c>
      <c r="K279" s="2">
        <v>45870.0</v>
      </c>
    </row>
    <row r="280" hidden="1">
      <c r="A280" s="1" t="s">
        <v>64</v>
      </c>
      <c r="B280" s="1" t="s">
        <v>65</v>
      </c>
      <c r="C280" s="1" t="s">
        <v>42</v>
      </c>
      <c r="D280" s="1">
        <v>41.0</v>
      </c>
      <c r="E280" s="1">
        <v>20.0</v>
      </c>
      <c r="F280" s="1">
        <v>3.0</v>
      </c>
      <c r="G280" s="1">
        <v>9.0</v>
      </c>
      <c r="H280" s="1" t="s">
        <v>59</v>
      </c>
      <c r="I280" s="2">
        <v>46092.0</v>
      </c>
      <c r="J280" s="1">
        <v>750000.0</v>
      </c>
      <c r="K280" s="2">
        <v>46082.0</v>
      </c>
    </row>
    <row r="281" hidden="1">
      <c r="A281" s="1" t="s">
        <v>48</v>
      </c>
      <c r="B281" s="1" t="s">
        <v>49</v>
      </c>
      <c r="C281" s="1" t="s">
        <v>36</v>
      </c>
      <c r="D281" s="1">
        <v>121.0</v>
      </c>
      <c r="E281" s="1">
        <v>120.0</v>
      </c>
      <c r="F281" s="1">
        <v>27.0</v>
      </c>
      <c r="H281" s="1" t="s">
        <v>50</v>
      </c>
      <c r="I281" s="2">
        <v>46095.0</v>
      </c>
      <c r="J281" s="1">
        <v>55000.0</v>
      </c>
      <c r="K281" s="2">
        <v>46082.0</v>
      </c>
    </row>
    <row r="282" hidden="1">
      <c r="A282" s="1" t="s">
        <v>55</v>
      </c>
      <c r="B282" s="1" t="s">
        <v>56</v>
      </c>
      <c r="C282" s="1" t="s">
        <v>36</v>
      </c>
      <c r="D282" s="1">
        <v>125.0</v>
      </c>
      <c r="E282" s="1">
        <v>100.0</v>
      </c>
      <c r="F282" s="1">
        <v>14.0</v>
      </c>
      <c r="G282" s="1">
        <v>4.0</v>
      </c>
      <c r="H282" s="1" t="s">
        <v>37</v>
      </c>
      <c r="I282" s="2">
        <v>45775.0</v>
      </c>
      <c r="J282" s="1">
        <v>85000.0</v>
      </c>
      <c r="K282" s="2">
        <v>45748.0</v>
      </c>
    </row>
    <row r="283" hidden="1">
      <c r="A283" s="1" t="s">
        <v>19</v>
      </c>
      <c r="B283" s="1" t="s">
        <v>20</v>
      </c>
      <c r="C283" s="1" t="s">
        <v>17</v>
      </c>
      <c r="D283" s="1">
        <v>42.0</v>
      </c>
      <c r="E283" s="1">
        <v>30.0</v>
      </c>
      <c r="F283" s="1">
        <v>4.0</v>
      </c>
      <c r="G283" s="1">
        <v>7.0</v>
      </c>
      <c r="H283" s="1" t="s">
        <v>18</v>
      </c>
      <c r="I283" s="2">
        <v>45960.0</v>
      </c>
      <c r="J283" s="1">
        <v>1200000.0</v>
      </c>
      <c r="K283" s="2">
        <v>45931.0</v>
      </c>
    </row>
    <row r="284">
      <c r="A284" s="1" t="s">
        <v>19</v>
      </c>
      <c r="B284" s="1" t="s">
        <v>20</v>
      </c>
      <c r="C284" s="1" t="s">
        <v>17</v>
      </c>
      <c r="D284" s="1">
        <v>21.0</v>
      </c>
      <c r="E284" s="1">
        <v>30.0</v>
      </c>
      <c r="F284" s="1">
        <v>4.0</v>
      </c>
      <c r="G284" s="1">
        <v>9.0</v>
      </c>
      <c r="H284" s="1" t="s">
        <v>18</v>
      </c>
      <c r="I284" s="2">
        <v>46197.0</v>
      </c>
      <c r="J284" s="1">
        <v>1200000.0</v>
      </c>
      <c r="K284" s="2">
        <v>45809.0</v>
      </c>
    </row>
    <row r="285" hidden="1">
      <c r="A285" s="1" t="s">
        <v>44</v>
      </c>
      <c r="B285" s="1" t="s">
        <v>45</v>
      </c>
      <c r="C285" s="1" t="s">
        <v>42</v>
      </c>
      <c r="D285" s="1">
        <v>41.0</v>
      </c>
      <c r="E285" s="1">
        <v>30.0</v>
      </c>
      <c r="F285" s="1">
        <v>6.0</v>
      </c>
      <c r="G285" s="1">
        <v>10.0</v>
      </c>
      <c r="H285" s="1" t="s">
        <v>43</v>
      </c>
      <c r="I285" s="2">
        <v>45945.0</v>
      </c>
      <c r="J285" s="1">
        <v>350000.0</v>
      </c>
      <c r="K285" s="2">
        <v>45931.0</v>
      </c>
    </row>
    <row r="286" hidden="1">
      <c r="A286" s="1" t="s">
        <v>31</v>
      </c>
      <c r="B286" s="1" t="s">
        <v>32</v>
      </c>
      <c r="C286" s="1" t="s">
        <v>13</v>
      </c>
      <c r="D286" s="1">
        <v>172.0</v>
      </c>
      <c r="E286" s="1">
        <v>40.0</v>
      </c>
      <c r="F286" s="1">
        <v>2.0</v>
      </c>
      <c r="G286" s="1">
        <v>6.0</v>
      </c>
      <c r="H286" s="1" t="s">
        <v>33</v>
      </c>
      <c r="I286" s="2">
        <v>45955.0</v>
      </c>
      <c r="J286" s="1">
        <v>550000.0</v>
      </c>
      <c r="K286" s="2">
        <v>45931.0</v>
      </c>
    </row>
    <row r="287" hidden="1">
      <c r="A287" s="1" t="s">
        <v>46</v>
      </c>
      <c r="B287" s="1" t="s">
        <v>47</v>
      </c>
      <c r="C287" s="1" t="s">
        <v>23</v>
      </c>
      <c r="D287" s="1">
        <v>36.0</v>
      </c>
      <c r="E287" s="1">
        <v>40.0</v>
      </c>
      <c r="F287" s="1">
        <v>6.0</v>
      </c>
      <c r="G287" s="1">
        <v>4.0</v>
      </c>
      <c r="H287" s="1" t="s">
        <v>30</v>
      </c>
      <c r="I287" s="2">
        <v>46044.0</v>
      </c>
      <c r="J287" s="1">
        <v>550000.0</v>
      </c>
      <c r="K287" s="2">
        <v>46023.0</v>
      </c>
    </row>
    <row r="288" hidden="1">
      <c r="A288" s="1" t="s">
        <v>31</v>
      </c>
      <c r="B288" s="1" t="s">
        <v>32</v>
      </c>
      <c r="C288" s="1" t="s">
        <v>13</v>
      </c>
      <c r="D288" s="1">
        <v>160.0</v>
      </c>
      <c r="E288" s="1">
        <v>40.0</v>
      </c>
      <c r="F288" s="1">
        <v>3.0</v>
      </c>
      <c r="G288" s="1">
        <v>6.0</v>
      </c>
      <c r="H288" s="1" t="s">
        <v>33</v>
      </c>
      <c r="I288" s="2">
        <v>45887.0</v>
      </c>
      <c r="J288" s="1">
        <v>550000.0</v>
      </c>
      <c r="K288" s="2">
        <v>45870.0</v>
      </c>
    </row>
    <row r="289" hidden="1">
      <c r="A289" s="1" t="s">
        <v>44</v>
      </c>
      <c r="B289" s="1" t="s">
        <v>45</v>
      </c>
      <c r="C289" s="1" t="s">
        <v>42</v>
      </c>
      <c r="D289" s="1">
        <v>45.0</v>
      </c>
      <c r="E289" s="1">
        <v>30.0</v>
      </c>
      <c r="F289" s="1">
        <v>5.0</v>
      </c>
      <c r="G289" s="1">
        <v>5.0</v>
      </c>
      <c r="H289" s="1" t="s">
        <v>43</v>
      </c>
      <c r="I289" s="2">
        <v>45801.0</v>
      </c>
      <c r="J289" s="1">
        <v>350000.0</v>
      </c>
      <c r="K289" s="2">
        <v>45778.0</v>
      </c>
    </row>
    <row r="290">
      <c r="A290" s="1" t="s">
        <v>19</v>
      </c>
      <c r="B290" s="1" t="s">
        <v>20</v>
      </c>
      <c r="C290" s="1" t="s">
        <v>17</v>
      </c>
      <c r="D290" s="1">
        <v>52.0</v>
      </c>
      <c r="E290" s="1">
        <v>30.0</v>
      </c>
      <c r="F290" s="1">
        <v>5.0</v>
      </c>
      <c r="G290" s="1">
        <v>5.0</v>
      </c>
      <c r="H290" s="1" t="s">
        <v>18</v>
      </c>
      <c r="I290" s="2">
        <v>46321.0</v>
      </c>
      <c r="J290" s="1">
        <v>1200000.0</v>
      </c>
      <c r="K290" s="2">
        <v>46054.0</v>
      </c>
    </row>
    <row r="291" hidden="1">
      <c r="A291" s="1" t="s">
        <v>19</v>
      </c>
      <c r="B291" s="1" t="s">
        <v>20</v>
      </c>
      <c r="C291" s="1" t="s">
        <v>17</v>
      </c>
      <c r="D291" s="1">
        <v>51.0</v>
      </c>
      <c r="E291" s="1">
        <v>30.0</v>
      </c>
      <c r="F291" s="1">
        <v>4.0</v>
      </c>
      <c r="G291" s="1">
        <v>6.0</v>
      </c>
      <c r="H291" s="1" t="s">
        <v>18</v>
      </c>
      <c r="I291" s="2">
        <v>45775.0</v>
      </c>
      <c r="J291" s="1">
        <v>1200000.0</v>
      </c>
      <c r="K291" s="2">
        <v>45748.0</v>
      </c>
    </row>
    <row r="292" hidden="1">
      <c r="A292" s="1" t="s">
        <v>11</v>
      </c>
      <c r="B292" s="1" t="s">
        <v>12</v>
      </c>
      <c r="C292" s="1" t="s">
        <v>13</v>
      </c>
      <c r="D292" s="1">
        <v>290.0</v>
      </c>
      <c r="E292" s="1">
        <v>50.0</v>
      </c>
      <c r="F292" s="1">
        <v>3.0</v>
      </c>
      <c r="G292" s="1">
        <v>6.0</v>
      </c>
      <c r="H292" s="1" t="s">
        <v>14</v>
      </c>
      <c r="I292" s="2">
        <v>45991.0</v>
      </c>
      <c r="J292" s="1">
        <v>125000.0</v>
      </c>
      <c r="K292" s="2">
        <v>45962.0</v>
      </c>
    </row>
    <row r="293" hidden="1">
      <c r="A293" s="1" t="s">
        <v>55</v>
      </c>
      <c r="B293" s="1" t="s">
        <v>56</v>
      </c>
      <c r="C293" s="1" t="s">
        <v>36</v>
      </c>
      <c r="D293" s="1">
        <v>57.0</v>
      </c>
      <c r="E293" s="1">
        <v>100.0</v>
      </c>
      <c r="F293" s="1">
        <v>15.0</v>
      </c>
      <c r="G293" s="1">
        <v>4.0</v>
      </c>
      <c r="H293" s="1" t="s">
        <v>37</v>
      </c>
      <c r="I293" s="2">
        <v>46034.0</v>
      </c>
      <c r="J293" s="1">
        <v>85000.0</v>
      </c>
      <c r="K293" s="2">
        <v>46023.0</v>
      </c>
    </row>
    <row r="294" hidden="1">
      <c r="A294" s="1" t="s">
        <v>25</v>
      </c>
      <c r="B294" s="1" t="s">
        <v>26</v>
      </c>
      <c r="C294" s="1" t="s">
        <v>17</v>
      </c>
      <c r="D294" s="1">
        <v>11.0</v>
      </c>
      <c r="E294" s="1">
        <v>25.0</v>
      </c>
      <c r="F294" s="1">
        <v>7.0</v>
      </c>
      <c r="G294" s="1">
        <v>14.0</v>
      </c>
      <c r="H294" s="1" t="s">
        <v>27</v>
      </c>
      <c r="I294" s="2">
        <v>45862.0</v>
      </c>
      <c r="J294" s="1">
        <v>4500000.0</v>
      </c>
      <c r="K294" s="2">
        <v>45839.0</v>
      </c>
    </row>
    <row r="295" hidden="1">
      <c r="A295" s="1" t="s">
        <v>40</v>
      </c>
      <c r="B295" s="1" t="s">
        <v>41</v>
      </c>
      <c r="C295" s="1" t="s">
        <v>42</v>
      </c>
      <c r="D295" s="1">
        <v>21.0</v>
      </c>
      <c r="E295" s="1">
        <v>15.0</v>
      </c>
      <c r="F295" s="1">
        <v>1.0</v>
      </c>
      <c r="G295" s="1">
        <v>9.0</v>
      </c>
      <c r="H295" s="1" t="s">
        <v>43</v>
      </c>
      <c r="I295" s="2">
        <v>45968.0</v>
      </c>
      <c r="J295" s="1">
        <v>1200000.0</v>
      </c>
      <c r="K295" s="2">
        <v>45962.0</v>
      </c>
    </row>
    <row r="296" hidden="1">
      <c r="A296" s="1" t="s">
        <v>51</v>
      </c>
      <c r="B296" s="1" t="s">
        <v>52</v>
      </c>
      <c r="C296" s="1" t="s">
        <v>36</v>
      </c>
      <c r="D296" s="1">
        <v>44.0</v>
      </c>
      <c r="E296" s="1">
        <v>60.0</v>
      </c>
      <c r="F296" s="1">
        <v>6.0</v>
      </c>
      <c r="G296" s="1">
        <v>6.0</v>
      </c>
      <c r="H296" s="1" t="s">
        <v>50</v>
      </c>
      <c r="I296" s="2">
        <v>45839.0</v>
      </c>
      <c r="J296" s="1">
        <v>175000.0</v>
      </c>
      <c r="K296" s="2">
        <v>45839.0</v>
      </c>
    </row>
    <row r="297" hidden="1">
      <c r="A297" s="1" t="s">
        <v>31</v>
      </c>
      <c r="B297" s="1" t="s">
        <v>32</v>
      </c>
      <c r="C297" s="1" t="s">
        <v>13</v>
      </c>
      <c r="D297" s="1">
        <v>127.0</v>
      </c>
      <c r="E297" s="1">
        <v>40.0</v>
      </c>
      <c r="F297" s="1">
        <v>3.0</v>
      </c>
      <c r="G297" s="1">
        <v>4.0</v>
      </c>
      <c r="H297" s="1" t="s">
        <v>33</v>
      </c>
      <c r="I297" s="2">
        <v>46001.0</v>
      </c>
      <c r="J297" s="1">
        <v>550000.0</v>
      </c>
      <c r="K297" s="2">
        <v>45992.0</v>
      </c>
    </row>
    <row r="298" hidden="1">
      <c r="A298" s="1" t="s">
        <v>48</v>
      </c>
      <c r="B298" s="1" t="s">
        <v>49</v>
      </c>
      <c r="C298" s="1" t="s">
        <v>36</v>
      </c>
      <c r="D298" s="1">
        <v>170.0</v>
      </c>
      <c r="E298" s="1">
        <v>120.0</v>
      </c>
      <c r="F298" s="1">
        <v>17.0</v>
      </c>
      <c r="G298" s="1">
        <v>3.0</v>
      </c>
      <c r="H298" s="1" t="s">
        <v>50</v>
      </c>
      <c r="I298" s="2">
        <v>45905.0</v>
      </c>
      <c r="J298" s="1">
        <v>55000.0</v>
      </c>
      <c r="K298" s="2">
        <v>45901.0</v>
      </c>
    </row>
    <row r="299" hidden="1">
      <c r="A299" s="1" t="s">
        <v>34</v>
      </c>
      <c r="B299" s="1" t="s">
        <v>35</v>
      </c>
      <c r="C299" s="1" t="s">
        <v>36</v>
      </c>
      <c r="D299" s="1">
        <v>0.0</v>
      </c>
      <c r="E299" s="1">
        <v>80.0</v>
      </c>
      <c r="F299" s="1">
        <v>18.0</v>
      </c>
      <c r="G299" s="1">
        <v>4.0</v>
      </c>
      <c r="H299" s="1" t="s">
        <v>37</v>
      </c>
      <c r="I299" s="2">
        <v>45745.0</v>
      </c>
      <c r="J299" s="1">
        <v>65000.0</v>
      </c>
      <c r="K299" s="2">
        <v>45717.0</v>
      </c>
    </row>
    <row r="300" hidden="1">
      <c r="A300" s="1" t="s">
        <v>57</v>
      </c>
      <c r="B300" s="1" t="s">
        <v>58</v>
      </c>
      <c r="C300" s="1" t="s">
        <v>42</v>
      </c>
      <c r="D300" s="1">
        <v>44.0</v>
      </c>
      <c r="E300" s="1">
        <v>25.0</v>
      </c>
      <c r="F300" s="1">
        <v>4.0</v>
      </c>
      <c r="G300" s="1">
        <v>8.0</v>
      </c>
      <c r="H300" s="1" t="s">
        <v>59</v>
      </c>
      <c r="I300" s="2">
        <v>46108.0</v>
      </c>
      <c r="J300" s="1">
        <v>450000.0</v>
      </c>
      <c r="K300" s="2">
        <v>46082.0</v>
      </c>
    </row>
    <row r="301" hidden="1">
      <c r="A301" s="1" t="s">
        <v>64</v>
      </c>
      <c r="B301" s="1" t="s">
        <v>65</v>
      </c>
      <c r="C301" s="1" t="s">
        <v>42</v>
      </c>
      <c r="D301" s="1">
        <v>27.0</v>
      </c>
      <c r="E301" s="1">
        <v>20.0</v>
      </c>
      <c r="F301" s="1">
        <v>3.0</v>
      </c>
      <c r="G301" s="1">
        <v>8.0</v>
      </c>
      <c r="H301" s="1" t="s">
        <v>59</v>
      </c>
      <c r="I301" s="2">
        <v>45976.0</v>
      </c>
      <c r="J301" s="1">
        <v>750000.0</v>
      </c>
      <c r="K301" s="2">
        <v>45962.0</v>
      </c>
    </row>
    <row r="302" hidden="1">
      <c r="A302" s="1" t="s">
        <v>40</v>
      </c>
      <c r="B302" s="1" t="s">
        <v>41</v>
      </c>
      <c r="C302" s="1" t="s">
        <v>42</v>
      </c>
      <c r="D302" s="1">
        <v>22.0</v>
      </c>
      <c r="E302" s="1">
        <v>15.0</v>
      </c>
      <c r="F302" s="1">
        <v>2.0</v>
      </c>
      <c r="G302" s="1">
        <v>5.0</v>
      </c>
      <c r="H302" s="1" t="s">
        <v>43</v>
      </c>
      <c r="I302" s="2">
        <v>45709.0</v>
      </c>
      <c r="J302" s="1">
        <v>1200000.0</v>
      </c>
      <c r="K302" s="2">
        <v>45689.0</v>
      </c>
    </row>
    <row r="303" hidden="1">
      <c r="A303" s="1" t="s">
        <v>28</v>
      </c>
      <c r="B303" s="1" t="s">
        <v>29</v>
      </c>
      <c r="C303" s="1" t="s">
        <v>23</v>
      </c>
      <c r="D303" s="1">
        <v>18.0</v>
      </c>
      <c r="E303" s="1">
        <v>35.0</v>
      </c>
      <c r="F303" s="1">
        <v>5.0</v>
      </c>
      <c r="G303" s="1">
        <v>4.0</v>
      </c>
      <c r="H303" s="1" t="s">
        <v>30</v>
      </c>
      <c r="I303" s="2">
        <v>45949.0</v>
      </c>
      <c r="J303" s="1">
        <v>1250000.0</v>
      </c>
      <c r="K303" s="2">
        <v>45931.0</v>
      </c>
    </row>
    <row r="304" hidden="1">
      <c r="A304" s="1" t="s">
        <v>38</v>
      </c>
      <c r="B304" s="1" t="s">
        <v>39</v>
      </c>
      <c r="C304" s="1" t="s">
        <v>23</v>
      </c>
      <c r="D304" s="1">
        <v>17.0</v>
      </c>
      <c r="E304" s="1">
        <v>45.0</v>
      </c>
      <c r="F304" s="1">
        <v>8.0</v>
      </c>
      <c r="G304" s="1">
        <v>4.0</v>
      </c>
      <c r="H304" s="1" t="s">
        <v>24</v>
      </c>
      <c r="I304" s="2">
        <v>46050.0</v>
      </c>
      <c r="J304" s="1">
        <v>450000.0</v>
      </c>
      <c r="K304" s="2">
        <v>46023.0</v>
      </c>
    </row>
    <row r="305" hidden="1">
      <c r="A305" s="1" t="s">
        <v>53</v>
      </c>
      <c r="B305" s="1" t="s">
        <v>54</v>
      </c>
      <c r="C305" s="1" t="s">
        <v>13</v>
      </c>
      <c r="D305" s="1">
        <v>273.0</v>
      </c>
      <c r="E305" s="1">
        <v>60.0</v>
      </c>
      <c r="F305" s="1">
        <v>1.0</v>
      </c>
      <c r="G305" s="1">
        <v>4.0</v>
      </c>
      <c r="H305" s="1" t="s">
        <v>14</v>
      </c>
      <c r="I305" s="2">
        <v>45806.0</v>
      </c>
      <c r="J305" s="1">
        <v>165000.0</v>
      </c>
      <c r="K305" s="2">
        <v>45778.0</v>
      </c>
    </row>
    <row r="306" hidden="1">
      <c r="A306" s="1" t="s">
        <v>64</v>
      </c>
      <c r="B306" s="1" t="s">
        <v>65</v>
      </c>
      <c r="C306" s="1" t="s">
        <v>42</v>
      </c>
      <c r="D306" s="1">
        <v>40.0</v>
      </c>
      <c r="E306" s="1">
        <v>20.0</v>
      </c>
      <c r="F306" s="1">
        <v>1.0</v>
      </c>
      <c r="G306" s="1">
        <v>7.0</v>
      </c>
      <c r="H306" s="1" t="s">
        <v>59</v>
      </c>
      <c r="I306" s="2">
        <v>45693.0</v>
      </c>
      <c r="J306" s="1">
        <v>750000.0</v>
      </c>
      <c r="K306" s="2">
        <v>45689.0</v>
      </c>
    </row>
    <row r="307" hidden="1">
      <c r="A307" s="1" t="s">
        <v>38</v>
      </c>
      <c r="B307" s="1" t="s">
        <v>39</v>
      </c>
      <c r="C307" s="1" t="s">
        <v>23</v>
      </c>
      <c r="D307" s="1">
        <v>17.0</v>
      </c>
      <c r="E307" s="1">
        <v>45.0</v>
      </c>
      <c r="F307" s="1">
        <v>8.0</v>
      </c>
      <c r="G307" s="1">
        <v>4.0</v>
      </c>
      <c r="H307" s="1" t="s">
        <v>24</v>
      </c>
      <c r="I307" s="2">
        <v>46050.0</v>
      </c>
      <c r="J307" s="1">
        <v>450000.0</v>
      </c>
      <c r="K307" s="2">
        <v>46023.0</v>
      </c>
    </row>
    <row r="308" hidden="1">
      <c r="A308" s="1" t="s">
        <v>25</v>
      </c>
      <c r="B308" s="1" t="s">
        <v>26</v>
      </c>
      <c r="C308" s="1" t="s">
        <v>17</v>
      </c>
      <c r="D308" s="1">
        <v>5.0</v>
      </c>
      <c r="E308" s="1">
        <v>25.0</v>
      </c>
      <c r="F308" s="1">
        <v>7.0</v>
      </c>
      <c r="G308" s="1">
        <v>19.0</v>
      </c>
      <c r="H308" s="1" t="s">
        <v>27</v>
      </c>
      <c r="I308" s="2">
        <v>45837.0</v>
      </c>
      <c r="J308" s="1">
        <v>4500000.0</v>
      </c>
      <c r="K308" s="2">
        <v>45809.0</v>
      </c>
    </row>
    <row r="309" hidden="1">
      <c r="A309" s="1" t="s">
        <v>31</v>
      </c>
      <c r="B309" s="1" t="s">
        <v>32</v>
      </c>
      <c r="C309" s="1" t="s">
        <v>13</v>
      </c>
      <c r="D309" s="1">
        <v>129.0</v>
      </c>
      <c r="E309" s="1">
        <v>40.0</v>
      </c>
      <c r="F309" s="1">
        <v>4.0</v>
      </c>
      <c r="G309" s="1">
        <v>6.0</v>
      </c>
      <c r="H309" s="1" t="s">
        <v>33</v>
      </c>
      <c r="I309" s="2">
        <v>45916.0</v>
      </c>
      <c r="J309" s="1">
        <v>550000.0</v>
      </c>
      <c r="K309" s="2">
        <v>45901.0</v>
      </c>
    </row>
    <row r="310" hidden="1">
      <c r="A310" s="1" t="s">
        <v>21</v>
      </c>
      <c r="B310" s="1" t="s">
        <v>22</v>
      </c>
      <c r="C310" s="1" t="s">
        <v>23</v>
      </c>
      <c r="D310" s="1">
        <v>0.0</v>
      </c>
      <c r="E310" s="1">
        <v>50.0</v>
      </c>
      <c r="F310" s="1">
        <v>14.0</v>
      </c>
      <c r="G310" s="1">
        <v>7.0</v>
      </c>
      <c r="H310" s="1" t="s">
        <v>24</v>
      </c>
      <c r="I310" s="2">
        <v>46014.0</v>
      </c>
      <c r="J310" s="1">
        <v>350000.0</v>
      </c>
      <c r="K310" s="2">
        <v>45992.0</v>
      </c>
    </row>
    <row r="311" hidden="1">
      <c r="A311" s="1" t="s">
        <v>46</v>
      </c>
      <c r="B311" s="1" t="s">
        <v>47</v>
      </c>
      <c r="C311" s="1" t="s">
        <v>23</v>
      </c>
      <c r="D311" s="1">
        <v>9.0</v>
      </c>
      <c r="E311" s="1">
        <v>40.0</v>
      </c>
      <c r="F311" s="1">
        <v>5.0</v>
      </c>
      <c r="G311" s="1">
        <v>8.0</v>
      </c>
      <c r="H311" s="1" t="s">
        <v>30</v>
      </c>
      <c r="I311" s="2">
        <v>45698.0</v>
      </c>
      <c r="J311" s="1">
        <v>550000.0</v>
      </c>
      <c r="K311" s="2">
        <v>45689.0</v>
      </c>
    </row>
    <row r="312" hidden="1">
      <c r="A312" s="1" t="s">
        <v>51</v>
      </c>
      <c r="B312" s="1" t="s">
        <v>52</v>
      </c>
      <c r="C312" s="1" t="s">
        <v>36</v>
      </c>
      <c r="D312" s="1">
        <v>20.0</v>
      </c>
      <c r="E312" s="1">
        <v>60.0</v>
      </c>
      <c r="F312" s="1">
        <v>9.0</v>
      </c>
      <c r="G312" s="1">
        <v>5.0</v>
      </c>
      <c r="H312" s="1" t="s">
        <v>50</v>
      </c>
      <c r="I312" s="2">
        <v>45687.0</v>
      </c>
      <c r="J312" s="1">
        <v>175000.0</v>
      </c>
      <c r="K312" s="2">
        <v>45658.0</v>
      </c>
    </row>
    <row r="313" hidden="1">
      <c r="A313" s="1" t="s">
        <v>28</v>
      </c>
      <c r="B313" s="1" t="s">
        <v>29</v>
      </c>
      <c r="C313" s="1" t="s">
        <v>23</v>
      </c>
      <c r="D313" s="1">
        <v>16.0</v>
      </c>
      <c r="E313" s="1">
        <v>35.0</v>
      </c>
      <c r="F313" s="1">
        <v>7.0</v>
      </c>
      <c r="G313" s="1">
        <v>5.0</v>
      </c>
      <c r="H313" s="1" t="s">
        <v>30</v>
      </c>
      <c r="I313" s="2">
        <v>46024.0</v>
      </c>
      <c r="J313" s="1">
        <v>1250000.0</v>
      </c>
      <c r="K313" s="2">
        <v>46023.0</v>
      </c>
    </row>
  </sheetData>
  <autoFilter ref="$A$1:$K$313">
    <filterColumn colId="8">
      <customFilters>
        <customFilter operator="greaterThan" val="2026-03-31"/>
      </customFilters>
    </filterColumn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67</v>
      </c>
    </row>
    <row r="2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  <c r="L2" s="3" t="str">
        <f t="shared" ref="L2:L313" si="1">TEXTJOIN("|",TRUE,A2:K2)</f>
        <v>SKU-016|Parfum EDT Brasov 100ml|Beauty|271|50|2|4|SUP_BT02|2025-04-01|125000|2025-04-01</v>
      </c>
      <c r="M2" s="3">
        <f>counta(A2:A313)</f>
        <v>312</v>
      </c>
    </row>
    <row r="3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  <c r="L3" s="3" t="str">
        <f t="shared" si="1"/>
        <v>SKU-001|Laptop ASUS Vivobook|Electronics|21|15|4|5|SUP_EL01|2025-10-12|8500000|2025-10-01</v>
      </c>
      <c r="M3" s="3">
        <f>IFERROR(__xludf.DUMMYFUNCTION("COUNTUNIQUE(L2:L313)"),300.0)</f>
        <v>300</v>
      </c>
    </row>
    <row r="4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  <c r="L4" s="3" t="str">
        <f t="shared" si="1"/>
        <v>SKU-004|Smartwatch Xiaomi Band|Electronics|30|30|2|7|SUP_EL01|2026-01-07|1200000|2026-01-01</v>
      </c>
      <c r="M4" s="3">
        <f>M2-M3</f>
        <v>12</v>
      </c>
    </row>
    <row r="5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  <c r="L5" s="3" t="str">
        <f t="shared" si="1"/>
        <v>SKU-005|Kemeja Formal Pria|Fashion|25|50|6|3|SUP_FA01|2025-01-31|350000|2025-01-01</v>
      </c>
    </row>
    <row r="6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  <c r="L6" s="3" t="str">
        <f t="shared" si="1"/>
        <v>SKU-002|Smartphone Samsung A54|Electronics|0|25|7|21|SUP_EL02|2025-11-17|4500000|2025-11-01</v>
      </c>
    </row>
    <row r="7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  <c r="L7" s="3" t="str">
        <f t="shared" si="1"/>
        <v>SKU-005|Kemeja Formal Pria|Fashion|0|50|11|7|SUP_FA01|2025-04-02|350000|2025-04-01</v>
      </c>
    </row>
    <row r="8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  <c r="L8" s="3" t="str">
        <f t="shared" si="1"/>
        <v>SKU-007|Sepatu Sneakers Nike|Fashion|0|35|8|5|SUP_FA02|2025-04-27|1250000|2025-04-01</v>
      </c>
    </row>
    <row r="9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  <c r="L9" s="3" t="str">
        <f t="shared" si="1"/>
        <v>SKU-013|Skincare Set Whitelab|Beauty|220|40|2|5|SUP_BT01|2025-06-23|550000|2025-06-01</v>
      </c>
    </row>
    <row r="10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  <c r="L10" s="3" t="str">
        <f t="shared" si="1"/>
        <v>SKU-018|Teh Organik Premium Box|Food &amp; Beverage|28|80|11|4|SUP_FB01|2025-06-04|65000|2025-06-01</v>
      </c>
    </row>
    <row r="1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  <c r="L11" s="3" t="str">
        <f t="shared" si="1"/>
        <v>SKU-004|Smartwatch Xiaomi Band|Electronics|24|30|3|6|SUP_EL01|2025-02-07|1200000|2025-02-01</v>
      </c>
    </row>
    <row r="12">
      <c r="A12" s="1" t="s">
        <v>38</v>
      </c>
      <c r="B12" s="1" t="s">
        <v>39</v>
      </c>
      <c r="C12" s="1" t="s">
        <v>23</v>
      </c>
      <c r="D12" s="1">
        <v>-28.0</v>
      </c>
      <c r="E12" s="1">
        <v>45.0</v>
      </c>
      <c r="F12" s="1">
        <v>7.0</v>
      </c>
      <c r="G12" s="1">
        <v>5.0</v>
      </c>
      <c r="H12" s="1" t="s">
        <v>24</v>
      </c>
      <c r="I12" s="2">
        <v>45664.0</v>
      </c>
      <c r="J12" s="1">
        <v>450000.0</v>
      </c>
      <c r="K12" s="2">
        <v>45658.0</v>
      </c>
      <c r="L12" s="3" t="str">
        <f t="shared" si="1"/>
        <v>SKU-006|Dress Casual Wanita|Fashion|-28|45|7|5|SUP_FA01|2025-01-07|450000|2025-01-01</v>
      </c>
    </row>
    <row r="13">
      <c r="A13" s="1" t="s">
        <v>40</v>
      </c>
      <c r="B13" s="1" t="s">
        <v>41</v>
      </c>
      <c r="C13" s="1" t="s">
        <v>42</v>
      </c>
      <c r="D13" s="1">
        <v>-18.0</v>
      </c>
      <c r="E13" s="1">
        <v>15.0</v>
      </c>
      <c r="F13" s="1">
        <v>4.0</v>
      </c>
      <c r="G13" s="1">
        <v>6.0</v>
      </c>
      <c r="H13" s="1" t="s">
        <v>43</v>
      </c>
      <c r="I13" s="2">
        <v>46099.0</v>
      </c>
      <c r="J13" s="1">
        <v>1200000.0</v>
      </c>
      <c r="K13" s="2">
        <v>46082.0</v>
      </c>
      <c r="L13" s="3" t="str">
        <f t="shared" si="1"/>
        <v>SKU-011|Vacuum Cleaner Deerma|Home &amp; Living|-18|15|4|6|SUP_HM02|2026-03-18|1200000|2026-03-01</v>
      </c>
    </row>
    <row r="14">
      <c r="A14" s="1" t="s">
        <v>44</v>
      </c>
      <c r="B14" s="1" t="s">
        <v>45</v>
      </c>
      <c r="C14" s="1" t="s">
        <v>42</v>
      </c>
      <c r="D14" s="1">
        <v>54.0</v>
      </c>
      <c r="E14" s="1">
        <v>30.0</v>
      </c>
      <c r="F14" s="1">
        <v>6.0</v>
      </c>
      <c r="G14" s="1">
        <v>8.0</v>
      </c>
      <c r="H14" s="1" t="s">
        <v>43</v>
      </c>
      <c r="I14" s="2">
        <v>45983.0</v>
      </c>
      <c r="J14" s="1">
        <v>350000.0</v>
      </c>
      <c r="K14" s="2">
        <v>45962.0</v>
      </c>
      <c r="L14" s="3" t="str">
        <f t="shared" si="1"/>
        <v>SKU-012|Kipas Angin Cosmos 16in|Home &amp; Living|54|30|6|8|SUP_HM02|2025-11-22|350000|2025-11-01</v>
      </c>
    </row>
    <row r="15">
      <c r="A15" s="1" t="s">
        <v>46</v>
      </c>
      <c r="B15" s="1" t="s">
        <v>47</v>
      </c>
      <c r="C15" s="1" t="s">
        <v>23</v>
      </c>
      <c r="D15" s="1">
        <v>0.0</v>
      </c>
      <c r="E15" s="1">
        <v>40.0</v>
      </c>
      <c r="F15" s="1">
        <v>7.0</v>
      </c>
      <c r="G15" s="1">
        <v>4.0</v>
      </c>
      <c r="H15" s="1" t="s">
        <v>30</v>
      </c>
      <c r="I15" s="2">
        <v>45761.0</v>
      </c>
      <c r="J15" s="1">
        <v>550000.0</v>
      </c>
      <c r="K15" s="2">
        <v>45748.0</v>
      </c>
      <c r="L15" s="3" t="str">
        <f t="shared" si="1"/>
        <v>SKU-008|Tas Ransel Eiger|Fashion|0|40|7|4|SUP_FA02|2025-04-14|550000|2025-04-01</v>
      </c>
    </row>
    <row r="16">
      <c r="A16" s="1" t="s">
        <v>44</v>
      </c>
      <c r="B16" s="1" t="s">
        <v>45</v>
      </c>
      <c r="C16" s="1" t="s">
        <v>42</v>
      </c>
      <c r="D16" s="1">
        <v>41.0</v>
      </c>
      <c r="E16" s="1">
        <v>30.0</v>
      </c>
      <c r="F16" s="1">
        <v>4.0</v>
      </c>
      <c r="G16" s="1">
        <v>10.0</v>
      </c>
      <c r="H16" s="1" t="s">
        <v>43</v>
      </c>
      <c r="I16" s="2">
        <v>45930.0</v>
      </c>
      <c r="J16" s="1">
        <v>350000.0</v>
      </c>
      <c r="K16" s="2">
        <v>45901.0</v>
      </c>
      <c r="L16" s="3" t="str">
        <f t="shared" si="1"/>
        <v>SKU-012|Kipas Angin Cosmos 16in|Home &amp; Living|41|30|4|10|SUP_HM02|2025-09-30|350000|2025-09-01</v>
      </c>
    </row>
    <row r="17">
      <c r="A17" s="1" t="s">
        <v>48</v>
      </c>
      <c r="B17" s="1" t="s">
        <v>49</v>
      </c>
      <c r="C17" s="1" t="s">
        <v>36</v>
      </c>
      <c r="D17" s="1">
        <v>33.0</v>
      </c>
      <c r="E17" s="1">
        <v>120.0</v>
      </c>
      <c r="F17" s="1">
        <v>18.0</v>
      </c>
      <c r="G17" s="1">
        <v>7.0</v>
      </c>
      <c r="H17" s="1" t="s">
        <v>50</v>
      </c>
      <c r="I17" s="2">
        <v>45878.0</v>
      </c>
      <c r="J17" s="1">
        <v>55000.0</v>
      </c>
      <c r="K17" s="2">
        <v>45870.0</v>
      </c>
      <c r="L17" s="3" t="str">
        <f t="shared" si="1"/>
        <v>SKU-020|Snack Granola Mix 500g|Food &amp; Beverage|33|120|18|7|SUP_FB02|2025-08-09|55000|2025-08-01</v>
      </c>
    </row>
    <row r="18">
      <c r="A18" s="1" t="s">
        <v>15</v>
      </c>
      <c r="B18" s="1" t="s">
        <v>16</v>
      </c>
      <c r="C18" s="1" t="s">
        <v>17</v>
      </c>
      <c r="D18" s="1">
        <v>26.0</v>
      </c>
      <c r="E18" s="1">
        <v>15.0</v>
      </c>
      <c r="F18" s="1">
        <v>3.0</v>
      </c>
      <c r="G18" s="1">
        <v>8.0</v>
      </c>
      <c r="H18" s="1" t="s">
        <v>18</v>
      </c>
      <c r="I18" s="2">
        <v>45816.0</v>
      </c>
      <c r="J18" s="1">
        <v>8500000.0</v>
      </c>
      <c r="K18" s="2">
        <v>45809.0</v>
      </c>
      <c r="L18" s="3" t="str">
        <f t="shared" si="1"/>
        <v>SKU-001|Laptop ASUS Vivobook|Electronics|26|15|3|8|SUP_EL01|2025-06-08|8500000|2025-06-01</v>
      </c>
    </row>
    <row r="19">
      <c r="A19" s="1" t="s">
        <v>11</v>
      </c>
      <c r="B19" s="1" t="s">
        <v>12</v>
      </c>
      <c r="C19" s="1" t="s">
        <v>13</v>
      </c>
      <c r="D19" s="1">
        <v>139.0</v>
      </c>
      <c r="E19" s="1">
        <v>50.0</v>
      </c>
      <c r="F19" s="1">
        <v>1.0</v>
      </c>
      <c r="G19" s="1">
        <v>7.0</v>
      </c>
      <c r="H19" s="1" t="s">
        <v>14</v>
      </c>
      <c r="I19" s="2">
        <v>46317.0</v>
      </c>
      <c r="J19" s="1">
        <v>125000.0</v>
      </c>
      <c r="K19" s="2">
        <v>45839.0</v>
      </c>
      <c r="L19" s="3" t="str">
        <f t="shared" si="1"/>
        <v>SKU-016|Parfum EDT Brasov 100ml|Beauty|139|50|1|7|SUP_BT02|2026-10-22|125000|2025-07-01</v>
      </c>
    </row>
    <row r="20">
      <c r="A20" s="1" t="s">
        <v>44</v>
      </c>
      <c r="B20" s="1" t="s">
        <v>45</v>
      </c>
      <c r="C20" s="1" t="s">
        <v>42</v>
      </c>
      <c r="D20" s="1">
        <v>49.0</v>
      </c>
      <c r="E20" s="1">
        <v>30.0</v>
      </c>
      <c r="F20" s="1">
        <v>6.0</v>
      </c>
      <c r="G20" s="1">
        <v>9.0</v>
      </c>
      <c r="H20" s="1" t="s">
        <v>43</v>
      </c>
      <c r="I20" s="2">
        <v>45669.0</v>
      </c>
      <c r="J20" s="1">
        <v>350000.0</v>
      </c>
      <c r="K20" s="2">
        <v>45658.0</v>
      </c>
      <c r="L20" s="3" t="str">
        <f t="shared" si="1"/>
        <v>SKU-012|Kipas Angin Cosmos 16in|Home &amp; Living|49|30|6|9|SUP_HM02|2025-01-12|350000|2025-01-01</v>
      </c>
    </row>
    <row r="21">
      <c r="A21" s="1" t="s">
        <v>48</v>
      </c>
      <c r="B21" s="1" t="s">
        <v>49</v>
      </c>
      <c r="C21" s="1" t="s">
        <v>36</v>
      </c>
      <c r="D21" s="1">
        <v>0.0</v>
      </c>
      <c r="E21" s="1">
        <v>120.0</v>
      </c>
      <c r="F21" s="1">
        <v>27.0</v>
      </c>
      <c r="G21" s="1">
        <v>7.0</v>
      </c>
      <c r="H21" s="1" t="s">
        <v>50</v>
      </c>
      <c r="I21" s="2">
        <v>46010.0</v>
      </c>
      <c r="J21" s="1">
        <v>55000.0</v>
      </c>
      <c r="K21" s="2">
        <v>45992.0</v>
      </c>
      <c r="L21" s="3" t="str">
        <f t="shared" si="1"/>
        <v>SKU-020|Snack Granola Mix 500g|Food &amp; Beverage|0|120|27|7|SUP_FB02|2025-12-19|55000|2025-12-01</v>
      </c>
    </row>
    <row r="22">
      <c r="A22" s="1" t="s">
        <v>21</v>
      </c>
      <c r="B22" s="1" t="s">
        <v>22</v>
      </c>
      <c r="C22" s="1" t="s">
        <v>23</v>
      </c>
      <c r="D22" s="1">
        <v>14.0</v>
      </c>
      <c r="E22" s="1">
        <v>50.0</v>
      </c>
      <c r="F22" s="1">
        <v>11.0</v>
      </c>
      <c r="G22" s="1">
        <v>4.0</v>
      </c>
      <c r="H22" s="1" t="s">
        <v>24</v>
      </c>
      <c r="I22" s="2">
        <v>46062.0</v>
      </c>
      <c r="J22" s="1">
        <v>350000.0</v>
      </c>
      <c r="K22" s="2">
        <v>46054.0</v>
      </c>
      <c r="L22" s="3" t="str">
        <f t="shared" si="1"/>
        <v>SKU-005|Kemeja Formal Pria|Fashion|14|50|11|4|SUP_FA01|2026-02-09|350000|2026-02-01</v>
      </c>
    </row>
    <row r="23">
      <c r="A23" s="1" t="s">
        <v>51</v>
      </c>
      <c r="B23" s="1" t="s">
        <v>52</v>
      </c>
      <c r="C23" s="1" t="s">
        <v>36</v>
      </c>
      <c r="D23" s="1">
        <v>0.0</v>
      </c>
      <c r="E23" s="1">
        <v>60.0</v>
      </c>
      <c r="F23" s="1">
        <v>13.0</v>
      </c>
      <c r="G23" s="1">
        <v>4.0</v>
      </c>
      <c r="H23" s="1" t="s">
        <v>50</v>
      </c>
      <c r="I23" s="2">
        <v>46004.0</v>
      </c>
      <c r="J23" s="1">
        <v>175000.0</v>
      </c>
      <c r="K23" s="2">
        <v>45992.0</v>
      </c>
      <c r="L23" s="3" t="str">
        <f t="shared" si="1"/>
        <v>SKU-019|Madu Hutan Asli 500ml|Food &amp; Beverage|0|60|13|4|SUP_FB02|2025-12-13|175000|2025-12-01</v>
      </c>
    </row>
    <row r="24">
      <c r="A24" s="1" t="s">
        <v>53</v>
      </c>
      <c r="B24" s="1" t="s">
        <v>54</v>
      </c>
      <c r="C24" s="1" t="s">
        <v>13</v>
      </c>
      <c r="D24" s="1">
        <v>191.0</v>
      </c>
      <c r="E24" s="1">
        <v>60.0</v>
      </c>
      <c r="F24" s="1">
        <v>3.0</v>
      </c>
      <c r="G24" s="1">
        <v>8.0</v>
      </c>
      <c r="H24" s="1" t="s">
        <v>14</v>
      </c>
      <c r="I24" s="2">
        <v>45944.0</v>
      </c>
      <c r="J24" s="1">
        <v>165000.0</v>
      </c>
      <c r="K24" s="2">
        <v>45931.0</v>
      </c>
      <c r="L24" s="3" t="str">
        <f t="shared" si="1"/>
        <v>SKU-015|Foundation Maybelline Fit|Beauty|191|60|3|8|SUP_BT02|2025-10-14|165000|2025-10-01</v>
      </c>
    </row>
    <row r="25">
      <c r="A25" s="1" t="s">
        <v>55</v>
      </c>
      <c r="B25" s="1" t="s">
        <v>56</v>
      </c>
      <c r="C25" s="1" t="s">
        <v>36</v>
      </c>
      <c r="D25" s="1">
        <v>0.0</v>
      </c>
      <c r="E25" s="1">
        <v>100.0</v>
      </c>
      <c r="F25" s="1">
        <v>24.0</v>
      </c>
      <c r="G25" s="1">
        <v>4.0</v>
      </c>
      <c r="H25" s="1" t="s">
        <v>37</v>
      </c>
      <c r="I25" s="2">
        <v>45747.0</v>
      </c>
      <c r="J25" s="1">
        <v>85000.0</v>
      </c>
      <c r="K25" s="2">
        <v>45717.0</v>
      </c>
      <c r="L25" s="3" t="str">
        <f t="shared" si="1"/>
        <v>SKU-017|Kopi Arabika 250g Pack|Food &amp; Beverage|0|100|24|4|SUP_FB01|2025-03-31|85000|2025-03-01</v>
      </c>
    </row>
    <row r="26">
      <c r="A26" s="1" t="s">
        <v>38</v>
      </c>
      <c r="B26" s="1" t="s">
        <v>39</v>
      </c>
      <c r="C26" s="1" t="s">
        <v>23</v>
      </c>
      <c r="D26" s="1">
        <v>23.0</v>
      </c>
      <c r="E26" s="1">
        <v>45.0</v>
      </c>
      <c r="F26" s="1">
        <v>6.0</v>
      </c>
      <c r="G26" s="1">
        <v>6.0</v>
      </c>
      <c r="H26" s="1" t="s">
        <v>24</v>
      </c>
      <c r="I26" s="2">
        <v>45697.0</v>
      </c>
      <c r="J26" s="1">
        <v>450000.0</v>
      </c>
      <c r="K26" s="2">
        <v>45689.0</v>
      </c>
      <c r="L26" s="3" t="str">
        <f t="shared" si="1"/>
        <v>SKU-006|Dress Casual Wanita|Fashion|23|45|6|6|SUP_FA01|2025-02-09|450000|2025-02-01</v>
      </c>
    </row>
    <row r="27">
      <c r="A27" s="1" t="s">
        <v>57</v>
      </c>
      <c r="B27" s="1" t="s">
        <v>58</v>
      </c>
      <c r="C27" s="1" t="s">
        <v>42</v>
      </c>
      <c r="D27" s="1">
        <v>50.0</v>
      </c>
      <c r="E27" s="1">
        <v>25.0</v>
      </c>
      <c r="F27" s="1">
        <v>3.0</v>
      </c>
      <c r="G27" s="1">
        <v>7.0</v>
      </c>
      <c r="H27" s="1" t="s">
        <v>59</v>
      </c>
      <c r="I27" s="2">
        <v>45920.0</v>
      </c>
      <c r="J27" s="1">
        <v>450000.0</v>
      </c>
      <c r="K27" s="2">
        <v>45901.0</v>
      </c>
      <c r="L27" s="3" t="str">
        <f t="shared" si="1"/>
        <v>SKU-010|Rice Cooker Miyako 1.8L|Home &amp; Living|50|25|3|7|SUP_HM01|2025-09-20|450000|2025-09-01</v>
      </c>
    </row>
    <row r="28">
      <c r="A28" s="1" t="s">
        <v>57</v>
      </c>
      <c r="B28" s="1" t="s">
        <v>58</v>
      </c>
      <c r="C28" s="1" t="s">
        <v>42</v>
      </c>
      <c r="D28" s="1">
        <v>42.0</v>
      </c>
      <c r="E28" s="1">
        <v>25.0</v>
      </c>
      <c r="F28" s="1">
        <v>3.0</v>
      </c>
      <c r="G28" s="1">
        <v>8.0</v>
      </c>
      <c r="H28" s="1" t="s">
        <v>59</v>
      </c>
      <c r="I28" s="2">
        <v>46078.0</v>
      </c>
      <c r="J28" s="1">
        <v>450000.0</v>
      </c>
      <c r="K28" s="2">
        <v>46054.0</v>
      </c>
      <c r="L28" s="3" t="str">
        <f t="shared" si="1"/>
        <v>SKU-010|Rice Cooker Miyako 1.8L|Home &amp; Living|42|25|3|8|SUP_HM01|2026-02-25|450000|2026-02-01</v>
      </c>
    </row>
    <row r="29">
      <c r="A29" s="1" t="s">
        <v>60</v>
      </c>
      <c r="B29" s="1" t="s">
        <v>61</v>
      </c>
      <c r="C29" s="1" t="s">
        <v>17</v>
      </c>
      <c r="D29" s="1">
        <v>-8.0</v>
      </c>
      <c r="E29" s="1">
        <v>20.0</v>
      </c>
      <c r="F29" s="1">
        <v>2.0</v>
      </c>
      <c r="G29" s="1">
        <v>9.0</v>
      </c>
      <c r="H29" s="1" t="s">
        <v>27</v>
      </c>
      <c r="I29" s="2">
        <v>45750.0</v>
      </c>
      <c r="J29" s="1">
        <v>3200000.0</v>
      </c>
      <c r="K29" s="2">
        <v>45748.0</v>
      </c>
      <c r="L29" s="3" t="str">
        <f t="shared" si="1"/>
        <v>SKU-003|Headphone Sony WH-1000|Electronics|-8|20|2|9|SUP_EL02|2025-04-03|3200000|2025-04-01</v>
      </c>
    </row>
    <row r="30">
      <c r="A30" s="1" t="s">
        <v>51</v>
      </c>
      <c r="B30" s="1" t="s">
        <v>52</v>
      </c>
      <c r="C30" s="1" t="s">
        <v>36</v>
      </c>
      <c r="D30" s="1">
        <v>31.0</v>
      </c>
      <c r="E30" s="1">
        <v>60.0</v>
      </c>
      <c r="F30" s="1">
        <v>8.0</v>
      </c>
      <c r="G30" s="1">
        <v>7.0</v>
      </c>
      <c r="H30" s="1" t="s">
        <v>50</v>
      </c>
      <c r="I30" s="2">
        <v>45880.0</v>
      </c>
      <c r="J30" s="1">
        <v>175000.0</v>
      </c>
      <c r="K30" s="2">
        <v>45870.0</v>
      </c>
      <c r="L30" s="3" t="str">
        <f t="shared" si="1"/>
        <v>SKU-019|Madu Hutan Asli 500ml|Food &amp; Beverage|31|60|8|7|SUP_FB02|2025-08-11|175000|2025-08-01</v>
      </c>
    </row>
    <row r="31">
      <c r="A31" s="1" t="s">
        <v>48</v>
      </c>
      <c r="B31" s="1" t="s">
        <v>49</v>
      </c>
      <c r="C31" s="1" t="s">
        <v>36</v>
      </c>
      <c r="D31" s="1">
        <v>38.0</v>
      </c>
      <c r="E31" s="1">
        <v>120.0</v>
      </c>
      <c r="F31" s="1">
        <v>17.0</v>
      </c>
      <c r="G31" s="1">
        <v>4.0</v>
      </c>
      <c r="H31" s="1" t="s">
        <v>50</v>
      </c>
      <c r="I31" s="2">
        <v>45864.0</v>
      </c>
      <c r="J31" s="1">
        <v>55000.0</v>
      </c>
      <c r="K31" s="2">
        <v>45839.0</v>
      </c>
      <c r="L31" s="3" t="str">
        <f t="shared" si="1"/>
        <v>SKU-020|Snack Granola Mix 500g|Food &amp; Beverage|38|120|17|4|SUP_FB02|2025-07-26|55000|2025-07-01</v>
      </c>
    </row>
    <row r="32">
      <c r="A32" s="1" t="s">
        <v>11</v>
      </c>
      <c r="B32" s="1" t="s">
        <v>12</v>
      </c>
      <c r="C32" s="1" t="s">
        <v>13</v>
      </c>
      <c r="D32" s="1">
        <v>217.0</v>
      </c>
      <c r="E32" s="1">
        <v>50.0</v>
      </c>
      <c r="F32" s="1">
        <v>3.0</v>
      </c>
      <c r="G32" s="1">
        <v>7.0</v>
      </c>
      <c r="H32" s="1" t="s">
        <v>14</v>
      </c>
      <c r="I32" s="2">
        <v>46111.0</v>
      </c>
      <c r="J32" s="1">
        <v>125000.0</v>
      </c>
      <c r="K32" s="2">
        <v>46082.0</v>
      </c>
      <c r="L32" s="3" t="str">
        <f t="shared" si="1"/>
        <v>SKU-016|Parfum EDT Brasov 100ml|Beauty|217|50|3|7|SUP_BT02|2026-03-30|125000|2026-03-01</v>
      </c>
    </row>
    <row r="33">
      <c r="A33" s="1" t="s">
        <v>15</v>
      </c>
      <c r="B33" s="1" t="s">
        <v>16</v>
      </c>
      <c r="C33" s="1" t="s">
        <v>17</v>
      </c>
      <c r="D33" s="1">
        <v>11.0</v>
      </c>
      <c r="E33" s="1">
        <v>15.0</v>
      </c>
      <c r="F33" s="1">
        <v>1.0</v>
      </c>
      <c r="G33" s="1">
        <v>5.0</v>
      </c>
      <c r="H33" s="1" t="s">
        <v>18</v>
      </c>
      <c r="I33" s="2">
        <v>45754.0</v>
      </c>
      <c r="J33" s="1">
        <v>8500000.0</v>
      </c>
      <c r="K33" s="2">
        <v>45748.0</v>
      </c>
      <c r="L33" s="3" t="str">
        <f t="shared" si="1"/>
        <v>SKU-001|Laptop ASUS Vivobook|Electronics|11|15|1|5|SUP_EL01|2025-04-07|8500000|2025-04-01</v>
      </c>
    </row>
    <row r="34">
      <c r="A34" s="1" t="s">
        <v>38</v>
      </c>
      <c r="B34" s="1" t="s">
        <v>39</v>
      </c>
      <c r="C34" s="1" t="s">
        <v>23</v>
      </c>
      <c r="D34" s="1">
        <v>36.0</v>
      </c>
      <c r="E34" s="1">
        <v>45.0</v>
      </c>
      <c r="F34" s="1">
        <v>7.0</v>
      </c>
      <c r="G34" s="1">
        <v>4.0</v>
      </c>
      <c r="H34" s="1" t="s">
        <v>24</v>
      </c>
      <c r="I34" s="2">
        <v>45883.0</v>
      </c>
      <c r="J34" s="1">
        <v>450000.0</v>
      </c>
      <c r="K34" s="2">
        <v>45870.0</v>
      </c>
      <c r="L34" s="3" t="str">
        <f t="shared" si="1"/>
        <v>SKU-006|Dress Casual Wanita|Fashion|36|45|7|4|SUP_FA01|2025-08-14|450000|2025-08-01</v>
      </c>
    </row>
    <row r="35">
      <c r="A35" s="1" t="s">
        <v>48</v>
      </c>
      <c r="B35" s="1" t="s">
        <v>49</v>
      </c>
      <c r="C35" s="1" t="s">
        <v>36</v>
      </c>
      <c r="D35" s="1">
        <v>0.0</v>
      </c>
      <c r="E35" s="1">
        <v>120.0</v>
      </c>
      <c r="F35" s="1">
        <v>28.0</v>
      </c>
      <c r="G35" s="1">
        <v>6.0</v>
      </c>
      <c r="H35" s="1" t="s">
        <v>50</v>
      </c>
      <c r="I35" s="2">
        <v>45725.0</v>
      </c>
      <c r="J35" s="1">
        <v>55000.0</v>
      </c>
      <c r="K35" s="2">
        <v>45717.0</v>
      </c>
      <c r="L35" s="3" t="str">
        <f t="shared" si="1"/>
        <v>SKU-020|Snack Granola Mix 500g|Food &amp; Beverage|0|120|28|6|SUP_FB02|2025-03-09|55000|2025-03-01</v>
      </c>
    </row>
    <row r="36">
      <c r="A36" s="1" t="s">
        <v>55</v>
      </c>
      <c r="B36" s="1" t="s">
        <v>56</v>
      </c>
      <c r="C36" s="1" t="s">
        <v>36</v>
      </c>
      <c r="D36" s="1">
        <v>-18.0</v>
      </c>
      <c r="E36" s="1">
        <v>100.0</v>
      </c>
      <c r="F36" s="1">
        <v>21.0</v>
      </c>
      <c r="G36" s="1">
        <v>3.0</v>
      </c>
      <c r="H36" s="1" t="s">
        <v>37</v>
      </c>
      <c r="I36" s="2">
        <v>46006.0</v>
      </c>
      <c r="J36" s="1">
        <v>85000.0</v>
      </c>
      <c r="K36" s="2">
        <v>45992.0</v>
      </c>
      <c r="L36" s="3" t="str">
        <f t="shared" si="1"/>
        <v>SKU-017|Kopi Arabika 250g Pack|Food &amp; Beverage|-18|100|21|3|SUP_FB01|2025-12-15|85000|2025-12-01</v>
      </c>
    </row>
    <row r="37">
      <c r="A37" s="1" t="s">
        <v>62</v>
      </c>
      <c r="B37" s="1" t="s">
        <v>63</v>
      </c>
      <c r="C37" s="1" t="s">
        <v>13</v>
      </c>
      <c r="D37" s="1">
        <v>375.0</v>
      </c>
      <c r="E37" s="1">
        <v>80.0</v>
      </c>
      <c r="F37" s="1">
        <v>5.0</v>
      </c>
      <c r="G37" s="1">
        <v>6.0</v>
      </c>
      <c r="H37" s="1" t="s">
        <v>33</v>
      </c>
      <c r="I37" s="2">
        <v>45737.0</v>
      </c>
      <c r="J37" s="1">
        <v>85000.0</v>
      </c>
      <c r="K37" s="2">
        <v>45717.0</v>
      </c>
      <c r="L37" s="3" t="str">
        <f t="shared" si="1"/>
        <v>SKU-014|Lipstik Matte Wardah|Beauty|375|80|5|6|SUP_BT01|2025-03-21|85000|2025-03-01</v>
      </c>
    </row>
    <row r="38">
      <c r="A38" s="1" t="s">
        <v>19</v>
      </c>
      <c r="B38" s="1" t="s">
        <v>20</v>
      </c>
      <c r="C38" s="1" t="s">
        <v>17</v>
      </c>
      <c r="D38" s="1">
        <v>24.0</v>
      </c>
      <c r="E38" s="1">
        <v>30.0</v>
      </c>
      <c r="F38" s="1">
        <v>4.0</v>
      </c>
      <c r="G38" s="1">
        <v>5.0</v>
      </c>
      <c r="H38" s="1" t="s">
        <v>18</v>
      </c>
      <c r="I38" s="2">
        <v>45670.0</v>
      </c>
      <c r="J38" s="1">
        <v>1200000.0</v>
      </c>
      <c r="K38" s="2">
        <v>45658.0</v>
      </c>
      <c r="L38" s="3" t="str">
        <f t="shared" si="1"/>
        <v>SKU-004|Smartwatch Xiaomi Band|Electronics|24|30|4|5|SUP_EL01|2025-01-13|1200000|2025-01-01</v>
      </c>
    </row>
    <row r="39">
      <c r="A39" s="1" t="s">
        <v>25</v>
      </c>
      <c r="B39" s="1" t="s">
        <v>26</v>
      </c>
      <c r="C39" s="1" t="s">
        <v>17</v>
      </c>
      <c r="D39" s="1">
        <v>22.0</v>
      </c>
      <c r="E39" s="1">
        <v>25.0</v>
      </c>
      <c r="F39" s="1">
        <v>5.0</v>
      </c>
      <c r="G39" s="1">
        <v>14.0</v>
      </c>
      <c r="H39" s="1" t="s">
        <v>27</v>
      </c>
      <c r="I39" s="2">
        <v>45722.0</v>
      </c>
      <c r="J39" s="1">
        <v>4500000.0</v>
      </c>
      <c r="K39" s="2">
        <v>45717.0</v>
      </c>
      <c r="L39" s="3" t="str">
        <f t="shared" si="1"/>
        <v>SKU-002|Smartphone Samsung A54|Electronics|22|25|5|14|SUP_EL02|2025-03-06|4500000|2025-03-01</v>
      </c>
    </row>
    <row r="40">
      <c r="A40" s="1" t="s">
        <v>44</v>
      </c>
      <c r="B40" s="1" t="s">
        <v>45</v>
      </c>
      <c r="C40" s="1" t="s">
        <v>42</v>
      </c>
      <c r="D40" s="1">
        <v>59.0</v>
      </c>
      <c r="E40" s="1">
        <v>30.0</v>
      </c>
      <c r="F40" s="1">
        <v>3.0</v>
      </c>
      <c r="G40" s="1">
        <v>6.0</v>
      </c>
      <c r="H40" s="1" t="s">
        <v>43</v>
      </c>
      <c r="I40" s="2">
        <v>45880.0</v>
      </c>
      <c r="J40" s="1">
        <v>350000.0</v>
      </c>
      <c r="K40" s="2">
        <v>45870.0</v>
      </c>
      <c r="L40" s="3" t="str">
        <f t="shared" si="1"/>
        <v>SKU-012|Kipas Angin Cosmos 16in|Home &amp; Living|59|30|3|6|SUP_HM02|2025-08-11|350000|2025-08-01</v>
      </c>
    </row>
    <row r="41">
      <c r="A41" s="1" t="s">
        <v>57</v>
      </c>
      <c r="B41" s="1" t="s">
        <v>58</v>
      </c>
      <c r="C41" s="1" t="s">
        <v>42</v>
      </c>
      <c r="D41" s="1">
        <v>22.0</v>
      </c>
      <c r="E41" s="1">
        <v>25.0</v>
      </c>
      <c r="F41" s="1">
        <v>2.0</v>
      </c>
      <c r="G41" s="1">
        <v>6.0</v>
      </c>
      <c r="H41" s="1" t="s">
        <v>59</v>
      </c>
      <c r="I41" s="2">
        <v>46000.0</v>
      </c>
      <c r="J41" s="1">
        <v>450000.0</v>
      </c>
      <c r="K41" s="2">
        <v>45992.0</v>
      </c>
      <c r="L41" s="3" t="str">
        <f t="shared" si="1"/>
        <v>SKU-010|Rice Cooker Miyako 1.8L|Home &amp; Living|22|25|2|6|SUP_HM01|2025-12-09|450000|2025-12-01</v>
      </c>
    </row>
    <row r="42">
      <c r="A42" s="1" t="s">
        <v>60</v>
      </c>
      <c r="B42" s="1" t="s">
        <v>61</v>
      </c>
      <c r="C42" s="1" t="s">
        <v>17</v>
      </c>
      <c r="D42" s="1">
        <v>30.0</v>
      </c>
      <c r="E42" s="1">
        <v>20.0</v>
      </c>
      <c r="F42" s="1">
        <v>1.0</v>
      </c>
      <c r="G42" s="1">
        <v>14.0</v>
      </c>
      <c r="H42" s="1" t="s">
        <v>27</v>
      </c>
      <c r="I42" s="2">
        <v>46048.0</v>
      </c>
      <c r="J42" s="1">
        <v>3200000.0</v>
      </c>
      <c r="K42" s="2">
        <v>46023.0</v>
      </c>
      <c r="L42" s="3" t="str">
        <f t="shared" si="1"/>
        <v>SKU-003|Headphone Sony WH-1000|Electronics|30|20|1|14|SUP_EL02|2026-01-26|3200000|2026-01-01</v>
      </c>
    </row>
    <row r="43">
      <c r="A43" s="1" t="s">
        <v>25</v>
      </c>
      <c r="B43" s="1" t="s">
        <v>26</v>
      </c>
      <c r="C43" s="1" t="s">
        <v>17</v>
      </c>
      <c r="D43" s="1">
        <v>2.0</v>
      </c>
      <c r="E43" s="1">
        <v>25.0</v>
      </c>
      <c r="F43" s="1">
        <v>3.0</v>
      </c>
      <c r="G43" s="1">
        <v>20.0</v>
      </c>
      <c r="H43" s="1" t="s">
        <v>27</v>
      </c>
      <c r="I43" s="2">
        <v>45950.0</v>
      </c>
      <c r="J43" s="1">
        <v>4500000.0</v>
      </c>
      <c r="K43" s="2">
        <v>45931.0</v>
      </c>
      <c r="L43" s="3" t="str">
        <f t="shared" si="1"/>
        <v>SKU-002|Smartphone Samsung A54|Electronics|2|25|3|20|SUP_EL02|2025-10-20|4500000|2025-10-01</v>
      </c>
    </row>
    <row r="44">
      <c r="A44" s="1" t="s">
        <v>31</v>
      </c>
      <c r="B44" s="1" t="s">
        <v>32</v>
      </c>
      <c r="C44" s="1" t="s">
        <v>13</v>
      </c>
      <c r="D44" s="1">
        <v>184.0</v>
      </c>
      <c r="E44" s="1">
        <v>40.0</v>
      </c>
      <c r="F44" s="1">
        <v>3.0</v>
      </c>
      <c r="G44" s="1">
        <v>6.0</v>
      </c>
      <c r="H44" s="1" t="s">
        <v>33</v>
      </c>
      <c r="I44" s="2">
        <v>45682.0</v>
      </c>
      <c r="J44" s="1">
        <v>550000.0</v>
      </c>
      <c r="K44" s="2">
        <v>45658.0</v>
      </c>
      <c r="L44" s="3" t="str">
        <f t="shared" si="1"/>
        <v>SKU-013|Skincare Set Whitelab|Beauty|184|40|3|6|SUP_BT01|2025-01-25|550000|2025-01-01</v>
      </c>
    </row>
    <row r="45">
      <c r="A45" s="1" t="s">
        <v>64</v>
      </c>
      <c r="B45" s="1" t="s">
        <v>65</v>
      </c>
      <c r="C45" s="1" t="s">
        <v>42</v>
      </c>
      <c r="D45" s="1">
        <v>19.0</v>
      </c>
      <c r="E45" s="1">
        <v>20.0</v>
      </c>
      <c r="F45" s="1">
        <v>4.0</v>
      </c>
      <c r="G45" s="1">
        <v>9.0</v>
      </c>
      <c r="H45" s="1" t="s">
        <v>59</v>
      </c>
      <c r="I45" s="2">
        <v>45782.0</v>
      </c>
      <c r="J45" s="1">
        <v>750000.0</v>
      </c>
      <c r="K45" s="2">
        <v>45778.0</v>
      </c>
      <c r="L45" s="3" t="str">
        <f t="shared" si="1"/>
        <v>SKU-009|Blender Philips HR2157|Home &amp; Living|19|20|4|9|SUP_HM01|2025-05-05|750000|2025-05-01</v>
      </c>
    </row>
    <row r="46">
      <c r="A46" s="1" t="s">
        <v>62</v>
      </c>
      <c r="B46" s="1" t="s">
        <v>63</v>
      </c>
      <c r="C46" s="1" t="s">
        <v>13</v>
      </c>
      <c r="D46" s="1">
        <v>268.0</v>
      </c>
      <c r="E46" s="1">
        <v>80.0</v>
      </c>
      <c r="F46" s="1">
        <v>4.0</v>
      </c>
      <c r="G46" s="1">
        <v>4.0</v>
      </c>
      <c r="H46" s="1" t="s">
        <v>33</v>
      </c>
      <c r="I46" s="2">
        <v>46099.0</v>
      </c>
      <c r="J46" s="1">
        <v>85000.0</v>
      </c>
      <c r="K46" s="2">
        <v>46082.0</v>
      </c>
      <c r="L46" s="3" t="str">
        <f t="shared" si="1"/>
        <v>SKU-014|Lipstik Matte Wardah|Beauty|268|80|4|4|SUP_BT01|2026-03-18|85000|2026-03-01</v>
      </c>
    </row>
    <row r="47">
      <c r="A47" s="1" t="s">
        <v>34</v>
      </c>
      <c r="B47" s="1" t="s">
        <v>35</v>
      </c>
      <c r="C47" s="1" t="s">
        <v>36</v>
      </c>
      <c r="D47" s="1">
        <v>31.0</v>
      </c>
      <c r="E47" s="1">
        <v>80.0</v>
      </c>
      <c r="F47" s="1">
        <v>13.0</v>
      </c>
      <c r="G47" s="1">
        <v>4.0</v>
      </c>
      <c r="H47" s="1" t="s">
        <v>37</v>
      </c>
      <c r="I47" s="2">
        <v>45857.0</v>
      </c>
      <c r="J47" s="1">
        <v>65000.0</v>
      </c>
      <c r="K47" s="2">
        <v>45839.0</v>
      </c>
      <c r="L47" s="3" t="str">
        <f t="shared" si="1"/>
        <v>SKU-018|Teh Organik Premium Box|Food &amp; Beverage|31|80|13|4|SUP_FB01|2025-07-19|65000|2025-07-01</v>
      </c>
    </row>
    <row r="48">
      <c r="A48" s="1" t="s">
        <v>55</v>
      </c>
      <c r="B48" s="1" t="s">
        <v>56</v>
      </c>
      <c r="C48" s="1" t="s">
        <v>36</v>
      </c>
      <c r="D48" s="1">
        <v>28.0</v>
      </c>
      <c r="E48" s="1">
        <v>100.0</v>
      </c>
      <c r="F48" s="1">
        <v>17.0</v>
      </c>
      <c r="G48" s="1">
        <v>3.0</v>
      </c>
      <c r="H48" s="1" t="s">
        <v>37</v>
      </c>
      <c r="I48" s="2">
        <v>46070.0</v>
      </c>
      <c r="J48" s="1">
        <v>85000.0</v>
      </c>
      <c r="K48" s="2">
        <v>46054.0</v>
      </c>
      <c r="L48" s="3" t="str">
        <f t="shared" si="1"/>
        <v>SKU-017|Kopi Arabika 250g Pack|Food &amp; Beverage|28|100|17|3|SUP_FB01|2026-02-17|85000|2026-02-01</v>
      </c>
    </row>
    <row r="49">
      <c r="A49" s="1" t="s">
        <v>15</v>
      </c>
      <c r="B49" s="1" t="s">
        <v>16</v>
      </c>
      <c r="C49" s="1" t="s">
        <v>17</v>
      </c>
      <c r="D49" s="1">
        <v>22.0</v>
      </c>
      <c r="E49" s="1">
        <v>15.0</v>
      </c>
      <c r="F49" s="1">
        <v>2.0</v>
      </c>
      <c r="G49" s="1">
        <v>7.0</v>
      </c>
      <c r="H49" s="1" t="s">
        <v>18</v>
      </c>
      <c r="I49" s="2">
        <v>45878.0</v>
      </c>
      <c r="J49" s="1">
        <v>8500000.0</v>
      </c>
      <c r="K49" s="2">
        <v>45870.0</v>
      </c>
      <c r="L49" s="3" t="str">
        <f t="shared" si="1"/>
        <v>SKU-001|Laptop ASUS Vivobook|Electronics|22|15|2|7|SUP_EL01|2025-08-09|8500000|2025-08-01</v>
      </c>
    </row>
    <row r="50">
      <c r="A50" s="1" t="s">
        <v>48</v>
      </c>
      <c r="B50" s="1" t="s">
        <v>49</v>
      </c>
      <c r="C50" s="1" t="s">
        <v>36</v>
      </c>
      <c r="D50" s="1">
        <v>27.0</v>
      </c>
      <c r="E50" s="1">
        <v>120.0</v>
      </c>
      <c r="F50" s="1">
        <v>18.0</v>
      </c>
      <c r="G50" s="1">
        <v>4.0</v>
      </c>
      <c r="H50" s="1" t="s">
        <v>50</v>
      </c>
      <c r="I50" s="2">
        <v>45782.0</v>
      </c>
      <c r="J50" s="1">
        <v>55000.0</v>
      </c>
      <c r="K50" s="2">
        <v>45778.0</v>
      </c>
      <c r="L50" s="3" t="str">
        <f t="shared" si="1"/>
        <v>SKU-020|Snack Granola Mix 500g|Food &amp; Beverage|27|120|18|4|SUP_FB02|2025-05-05|55000|2025-05-01</v>
      </c>
    </row>
    <row r="51">
      <c r="A51" s="1" t="s">
        <v>38</v>
      </c>
      <c r="B51" s="1" t="s">
        <v>39</v>
      </c>
      <c r="C51" s="1" t="s">
        <v>23</v>
      </c>
      <c r="D51" s="1">
        <v>0.0</v>
      </c>
      <c r="E51" s="1">
        <v>45.0</v>
      </c>
      <c r="F51" s="1">
        <v>10.0</v>
      </c>
      <c r="G51" s="1">
        <v>3.0</v>
      </c>
      <c r="H51" s="1" t="s">
        <v>24</v>
      </c>
      <c r="I51" s="2">
        <v>45737.0</v>
      </c>
      <c r="J51" s="1">
        <v>450000.0</v>
      </c>
      <c r="K51" s="2">
        <v>45717.0</v>
      </c>
      <c r="L51" s="3" t="str">
        <f t="shared" si="1"/>
        <v>SKU-006|Dress Casual Wanita|Fashion|0|45|10|3|SUP_FA01|2025-03-21|450000|2025-03-01</v>
      </c>
    </row>
    <row r="52">
      <c r="A52" s="1" t="s">
        <v>46</v>
      </c>
      <c r="B52" s="1" t="s">
        <v>47</v>
      </c>
      <c r="C52" s="1" t="s">
        <v>23</v>
      </c>
      <c r="D52" s="1">
        <v>0.0</v>
      </c>
      <c r="E52" s="1">
        <v>40.0</v>
      </c>
      <c r="F52" s="1">
        <v>8.0</v>
      </c>
      <c r="G52" s="1">
        <v>3.0</v>
      </c>
      <c r="H52" s="1" t="s">
        <v>30</v>
      </c>
      <c r="I52" s="2">
        <v>46018.0</v>
      </c>
      <c r="J52" s="1">
        <v>550000.0</v>
      </c>
      <c r="K52" s="2">
        <v>45992.0</v>
      </c>
      <c r="L52" s="3" t="str">
        <f t="shared" si="1"/>
        <v>SKU-008|Tas Ransel Eiger|Fashion|0|40|8|3|SUP_FA02|2025-12-27|550000|2025-12-01</v>
      </c>
    </row>
    <row r="53">
      <c r="A53" s="1" t="s">
        <v>55</v>
      </c>
      <c r="B53" s="1" t="s">
        <v>56</v>
      </c>
      <c r="C53" s="1" t="s">
        <v>36</v>
      </c>
      <c r="D53" s="1">
        <v>35.0</v>
      </c>
      <c r="E53" s="1">
        <v>100.0</v>
      </c>
      <c r="F53" s="1">
        <v>14.0</v>
      </c>
      <c r="G53" s="1">
        <v>3.0</v>
      </c>
      <c r="H53" s="1" t="s">
        <v>37</v>
      </c>
      <c r="I53" s="2">
        <v>45685.0</v>
      </c>
      <c r="J53" s="1">
        <v>85000.0</v>
      </c>
      <c r="K53" s="2">
        <v>45658.0</v>
      </c>
      <c r="L53" s="3" t="str">
        <f t="shared" si="1"/>
        <v>SKU-017|Kopi Arabika 250g Pack|Food &amp; Beverage|35|100|14|3|SUP_FB01|2025-01-28|85000|2025-01-01</v>
      </c>
    </row>
    <row r="54">
      <c r="A54" s="1" t="s">
        <v>28</v>
      </c>
      <c r="B54" s="1" t="s">
        <v>29</v>
      </c>
      <c r="C54" s="1" t="s">
        <v>23</v>
      </c>
      <c r="D54" s="1">
        <v>0.0</v>
      </c>
      <c r="E54" s="1">
        <v>35.0</v>
      </c>
      <c r="F54" s="1">
        <v>9.0</v>
      </c>
      <c r="G54" s="1">
        <v>5.0</v>
      </c>
      <c r="H54" s="1" t="s">
        <v>30</v>
      </c>
      <c r="I54" s="2">
        <v>46095.0</v>
      </c>
      <c r="J54" s="1">
        <v>1250000.0</v>
      </c>
      <c r="K54" s="2">
        <v>46082.0</v>
      </c>
      <c r="L54" s="3" t="str">
        <f t="shared" si="1"/>
        <v>SKU-007|Sepatu Sneakers Nike|Fashion|0|35|9|5|SUP_FA02|2026-03-14|1250000|2026-03-01</v>
      </c>
    </row>
    <row r="55">
      <c r="A55" s="1" t="s">
        <v>38</v>
      </c>
      <c r="B55" s="1" t="s">
        <v>39</v>
      </c>
      <c r="C55" s="1" t="s">
        <v>23</v>
      </c>
      <c r="D55" s="1">
        <v>40.0</v>
      </c>
      <c r="E55" s="1">
        <v>45.0</v>
      </c>
      <c r="F55" s="1">
        <v>5.0</v>
      </c>
      <c r="G55" s="1">
        <v>3.0</v>
      </c>
      <c r="H55" s="1" t="s">
        <v>24</v>
      </c>
      <c r="I55" s="2">
        <v>45959.0</v>
      </c>
      <c r="J55" s="1">
        <v>450000.0</v>
      </c>
      <c r="K55" s="2">
        <v>45931.0</v>
      </c>
      <c r="L55" s="3" t="str">
        <f t="shared" si="1"/>
        <v>SKU-006|Dress Casual Wanita|Fashion|40|45|5|3|SUP_FA01|2025-10-29|450000|2025-10-01</v>
      </c>
    </row>
    <row r="56">
      <c r="A56" s="1" t="s">
        <v>64</v>
      </c>
      <c r="B56" s="1" t="s">
        <v>65</v>
      </c>
      <c r="C56" s="1" t="s">
        <v>42</v>
      </c>
      <c r="D56" s="1">
        <v>29.0</v>
      </c>
      <c r="E56" s="1">
        <v>20.0</v>
      </c>
      <c r="F56" s="1">
        <v>4.0</v>
      </c>
      <c r="G56" s="1">
        <v>10.0</v>
      </c>
      <c r="H56" s="1" t="s">
        <v>59</v>
      </c>
      <c r="I56" s="2">
        <v>45826.0</v>
      </c>
      <c r="J56" s="1">
        <v>750000.0</v>
      </c>
      <c r="K56" s="2">
        <v>45809.0</v>
      </c>
      <c r="L56" s="3" t="str">
        <f t="shared" si="1"/>
        <v>SKU-009|Blender Philips HR2157|Home &amp; Living|29|20|4|10|SUP_HM01|2025-06-18|750000|2025-06-01</v>
      </c>
    </row>
    <row r="57">
      <c r="A57" s="1" t="s">
        <v>40</v>
      </c>
      <c r="B57" s="1" t="s">
        <v>41</v>
      </c>
      <c r="C57" s="1" t="s">
        <v>42</v>
      </c>
      <c r="D57" s="1">
        <v>30.0</v>
      </c>
      <c r="E57" s="1">
        <v>15.0</v>
      </c>
      <c r="F57" s="1">
        <v>2.0</v>
      </c>
      <c r="G57" s="1">
        <v>9.0</v>
      </c>
      <c r="H57" s="1" t="s">
        <v>43</v>
      </c>
      <c r="I57" s="2">
        <v>45892.0</v>
      </c>
      <c r="J57" s="1">
        <v>1200000.0</v>
      </c>
      <c r="K57" s="2">
        <v>45870.0</v>
      </c>
      <c r="L57" s="3" t="str">
        <f t="shared" si="1"/>
        <v>SKU-011|Vacuum Cleaner Deerma|Home &amp; Living|30|15|2|9|SUP_HM02|2025-08-23|1200000|2025-08-01</v>
      </c>
    </row>
    <row r="58">
      <c r="A58" s="1" t="s">
        <v>31</v>
      </c>
      <c r="B58" s="1" t="s">
        <v>32</v>
      </c>
      <c r="C58" s="1" t="s">
        <v>13</v>
      </c>
      <c r="D58" s="1">
        <v>91.0</v>
      </c>
      <c r="E58" s="1">
        <v>40.0</v>
      </c>
      <c r="F58" s="1">
        <v>3.0</v>
      </c>
      <c r="G58" s="1">
        <v>5.0</v>
      </c>
      <c r="H58" s="1" t="s">
        <v>33</v>
      </c>
      <c r="I58" s="2">
        <v>45724.0</v>
      </c>
      <c r="J58" s="1">
        <v>550000.0</v>
      </c>
      <c r="K58" s="2">
        <v>45717.0</v>
      </c>
      <c r="L58" s="3" t="str">
        <f t="shared" si="1"/>
        <v>SKU-013|Skincare Set Whitelab|Beauty|91|40|3|5|SUP_BT01|2025-03-08|550000|2025-03-01</v>
      </c>
    </row>
    <row r="59">
      <c r="A59" s="1" t="s">
        <v>53</v>
      </c>
      <c r="B59" s="1" t="s">
        <v>54</v>
      </c>
      <c r="C59" s="1" t="s">
        <v>13</v>
      </c>
      <c r="D59" s="1">
        <v>299.0</v>
      </c>
      <c r="E59" s="1">
        <v>60.0</v>
      </c>
      <c r="F59" s="1">
        <v>1.0</v>
      </c>
      <c r="G59" s="1">
        <v>7.0</v>
      </c>
      <c r="H59" s="1" t="s">
        <v>14</v>
      </c>
      <c r="I59" s="2">
        <v>45756.0</v>
      </c>
      <c r="J59" s="1">
        <v>165000.0</v>
      </c>
      <c r="K59" s="2">
        <v>45748.0</v>
      </c>
      <c r="L59" s="3" t="str">
        <f t="shared" si="1"/>
        <v>SKU-015|Foundation Maybelline Fit|Beauty|299|60|1|7|SUP_BT02|2025-04-09|165000|2025-04-01</v>
      </c>
    </row>
    <row r="60">
      <c r="A60" s="1" t="s">
        <v>62</v>
      </c>
      <c r="B60" s="1" t="s">
        <v>63</v>
      </c>
      <c r="C60" s="1" t="s">
        <v>13</v>
      </c>
      <c r="D60" s="1">
        <v>392.0</v>
      </c>
      <c r="E60" s="1">
        <v>80.0</v>
      </c>
      <c r="F60" s="1">
        <v>5.0</v>
      </c>
      <c r="G60" s="1">
        <v>4.0</v>
      </c>
      <c r="H60" s="1" t="s">
        <v>33</v>
      </c>
      <c r="I60" s="2">
        <v>45701.0</v>
      </c>
      <c r="J60" s="1">
        <v>85000.0</v>
      </c>
      <c r="K60" s="2">
        <v>45689.0</v>
      </c>
      <c r="L60" s="3" t="str">
        <f t="shared" si="1"/>
        <v>SKU-014|Lipstik Matte Wardah|Beauty|392|80|5|4|SUP_BT01|2025-02-13|85000|2025-02-01</v>
      </c>
    </row>
    <row r="61">
      <c r="A61" s="1" t="s">
        <v>53</v>
      </c>
      <c r="B61" s="1" t="s">
        <v>54</v>
      </c>
      <c r="C61" s="1" t="s">
        <v>13</v>
      </c>
      <c r="D61" s="1">
        <v>198.0</v>
      </c>
      <c r="E61" s="1">
        <v>60.0</v>
      </c>
      <c r="F61" s="1">
        <v>3.0</v>
      </c>
      <c r="G61" s="1">
        <v>8.0</v>
      </c>
      <c r="H61" s="1" t="s">
        <v>14</v>
      </c>
      <c r="I61" s="2">
        <v>45712.0</v>
      </c>
      <c r="J61" s="1">
        <v>165000.0</v>
      </c>
      <c r="K61" s="2">
        <v>45689.0</v>
      </c>
      <c r="L61" s="3" t="str">
        <f t="shared" si="1"/>
        <v>SKU-015|Foundation Maybelline Fit|Beauty|198|60|3|8|SUP_BT02|2025-02-24|165000|2025-02-01</v>
      </c>
    </row>
    <row r="62">
      <c r="A62" s="1" t="s">
        <v>11</v>
      </c>
      <c r="B62" s="1" t="s">
        <v>12</v>
      </c>
      <c r="C62" s="1" t="s">
        <v>13</v>
      </c>
      <c r="D62" s="1">
        <v>238.0</v>
      </c>
      <c r="E62" s="1">
        <v>50.0</v>
      </c>
      <c r="F62" s="1">
        <v>2.0</v>
      </c>
      <c r="G62" s="1">
        <v>7.0</v>
      </c>
      <c r="H62" s="1" t="s">
        <v>14</v>
      </c>
      <c r="I62" s="2">
        <v>45671.0</v>
      </c>
      <c r="J62" s="1">
        <v>125000.0</v>
      </c>
      <c r="K62" s="2">
        <v>45658.0</v>
      </c>
      <c r="L62" s="3" t="str">
        <f t="shared" si="1"/>
        <v>SKU-016|Parfum EDT Brasov 100ml|Beauty|238|50|2|7|SUP_BT02|2025-01-14|125000|2025-01-01</v>
      </c>
    </row>
    <row r="63">
      <c r="A63" s="1" t="s">
        <v>46</v>
      </c>
      <c r="B63" s="1" t="s">
        <v>47</v>
      </c>
      <c r="C63" s="1" t="s">
        <v>23</v>
      </c>
      <c r="D63" s="1">
        <v>44.0</v>
      </c>
      <c r="E63" s="1">
        <v>40.0</v>
      </c>
      <c r="F63" s="1">
        <v>5.0</v>
      </c>
      <c r="G63" s="1">
        <v>6.0</v>
      </c>
      <c r="H63" s="1" t="s">
        <v>30</v>
      </c>
      <c r="I63" s="2">
        <v>45799.0</v>
      </c>
      <c r="J63" s="1">
        <v>550000.0</v>
      </c>
      <c r="K63" s="2">
        <v>45778.0</v>
      </c>
      <c r="L63" s="3" t="str">
        <f t="shared" si="1"/>
        <v>SKU-008|Tas Ransel Eiger|Fashion|44|40|5|6|SUP_FA02|2025-05-22|550000|2025-05-01</v>
      </c>
    </row>
    <row r="64">
      <c r="A64" s="1" t="s">
        <v>46</v>
      </c>
      <c r="B64" s="1" t="s">
        <v>47</v>
      </c>
      <c r="C64" s="1" t="s">
        <v>23</v>
      </c>
      <c r="D64" s="1">
        <v>28.0</v>
      </c>
      <c r="E64" s="1">
        <v>40.0</v>
      </c>
      <c r="F64" s="1">
        <v>3.0</v>
      </c>
      <c r="G64" s="1">
        <v>6.0</v>
      </c>
      <c r="H64" s="1" t="s">
        <v>30</v>
      </c>
      <c r="I64" s="2">
        <v>45956.0</v>
      </c>
      <c r="J64" s="1">
        <v>550000.0</v>
      </c>
      <c r="K64" s="2">
        <v>45931.0</v>
      </c>
      <c r="L64" s="3" t="str">
        <f t="shared" si="1"/>
        <v>SKU-008|Tas Ransel Eiger|Fashion|28|40|3|6|SUP_FA02|2025-10-26|550000|2025-10-01</v>
      </c>
    </row>
    <row r="65">
      <c r="A65" s="1" t="s">
        <v>46</v>
      </c>
      <c r="B65" s="1" t="s">
        <v>47</v>
      </c>
      <c r="C65" s="1" t="s">
        <v>23</v>
      </c>
      <c r="D65" s="1">
        <v>29.0</v>
      </c>
      <c r="E65" s="1">
        <v>40.0</v>
      </c>
      <c r="F65" s="1">
        <v>4.0</v>
      </c>
      <c r="G65" s="1">
        <v>9.0</v>
      </c>
      <c r="H65" s="1" t="s">
        <v>30</v>
      </c>
      <c r="I65" s="2">
        <v>45839.0</v>
      </c>
      <c r="J65" s="1">
        <v>550000.0</v>
      </c>
      <c r="K65" s="2">
        <v>45839.0</v>
      </c>
      <c r="L65" s="3" t="str">
        <f t="shared" si="1"/>
        <v>SKU-008|Tas Ransel Eiger|Fashion|29|40|4|9|SUP_FA02|2025-07-01|550000|2025-07-01</v>
      </c>
    </row>
    <row r="66">
      <c r="A66" s="1" t="s">
        <v>62</v>
      </c>
      <c r="B66" s="1" t="s">
        <v>63</v>
      </c>
      <c r="C66" s="1" t="s">
        <v>13</v>
      </c>
      <c r="D66" s="1">
        <v>468.0</v>
      </c>
      <c r="E66" s="1">
        <v>80.0</v>
      </c>
      <c r="F66" s="1">
        <v>5.0</v>
      </c>
      <c r="G66" s="1">
        <v>6.0</v>
      </c>
      <c r="H66" s="1" t="s">
        <v>33</v>
      </c>
      <c r="I66" s="2">
        <v>46079.0</v>
      </c>
      <c r="J66" s="1">
        <v>85000.0</v>
      </c>
      <c r="K66" s="2">
        <v>46054.0</v>
      </c>
      <c r="L66" s="3" t="str">
        <f t="shared" si="1"/>
        <v>SKU-014|Lipstik Matte Wardah|Beauty|468|80|5|6|SUP_BT01|2026-02-26|85000|2026-02-01</v>
      </c>
    </row>
    <row r="67">
      <c r="A67" s="1" t="s">
        <v>57</v>
      </c>
      <c r="B67" s="1" t="s">
        <v>58</v>
      </c>
      <c r="C67" s="1" t="s">
        <v>42</v>
      </c>
      <c r="D67" s="1">
        <v>16.0</v>
      </c>
      <c r="E67" s="1">
        <v>25.0</v>
      </c>
      <c r="F67" s="1">
        <v>3.0</v>
      </c>
      <c r="G67" s="1">
        <v>6.0</v>
      </c>
      <c r="H67" s="1" t="s">
        <v>59</v>
      </c>
      <c r="I67" s="2">
        <v>45982.0</v>
      </c>
      <c r="J67" s="1">
        <v>450000.0</v>
      </c>
      <c r="K67" s="2">
        <v>45962.0</v>
      </c>
      <c r="L67" s="3" t="str">
        <f t="shared" si="1"/>
        <v>SKU-010|Rice Cooker Miyako 1.8L|Home &amp; Living|16|25|3|6|SUP_HM01|2025-11-21|450000|2025-11-01</v>
      </c>
    </row>
    <row r="68">
      <c r="A68" s="1" t="s">
        <v>62</v>
      </c>
      <c r="B68" s="1" t="s">
        <v>63</v>
      </c>
      <c r="C68" s="1" t="s">
        <v>13</v>
      </c>
      <c r="D68" s="1">
        <v>320.0</v>
      </c>
      <c r="E68" s="1">
        <v>80.0</v>
      </c>
      <c r="F68" s="1">
        <v>5.0</v>
      </c>
      <c r="G68" s="1">
        <v>4.0</v>
      </c>
      <c r="H68" s="1" t="s">
        <v>33</v>
      </c>
      <c r="I68" s="2">
        <v>45909.0</v>
      </c>
      <c r="J68" s="1">
        <v>85000.0</v>
      </c>
      <c r="K68" s="2">
        <v>45901.0</v>
      </c>
      <c r="L68" s="3" t="str">
        <f t="shared" si="1"/>
        <v>SKU-014|Lipstik Matte Wardah|Beauty|320|80|5|4|SUP_BT01|2025-09-09|85000|2025-09-01</v>
      </c>
    </row>
    <row r="69">
      <c r="A69" s="1" t="s">
        <v>38</v>
      </c>
      <c r="B69" s="1" t="s">
        <v>39</v>
      </c>
      <c r="C69" s="1" t="s">
        <v>23</v>
      </c>
      <c r="D69" s="1">
        <v>0.0</v>
      </c>
      <c r="E69" s="1">
        <v>45.0</v>
      </c>
      <c r="F69" s="1">
        <v>10.0</v>
      </c>
      <c r="G69" s="1">
        <v>4.0</v>
      </c>
      <c r="H69" s="1" t="s">
        <v>24</v>
      </c>
      <c r="I69" s="2">
        <v>45768.0</v>
      </c>
      <c r="J69" s="1">
        <v>450000.0</v>
      </c>
      <c r="K69" s="2">
        <v>45748.0</v>
      </c>
      <c r="L69" s="3" t="str">
        <f t="shared" si="1"/>
        <v>SKU-006|Dress Casual Wanita|Fashion|0|45|10|4|SUP_FA01|2025-04-21|450000|2025-04-01</v>
      </c>
    </row>
    <row r="70">
      <c r="A70" s="1" t="s">
        <v>55</v>
      </c>
      <c r="B70" s="1" t="s">
        <v>56</v>
      </c>
      <c r="C70" s="1" t="s">
        <v>36</v>
      </c>
      <c r="D70" s="1">
        <v>29.0</v>
      </c>
      <c r="E70" s="1">
        <v>100.0</v>
      </c>
      <c r="F70" s="1">
        <v>16.0</v>
      </c>
      <c r="G70" s="1">
        <v>5.0</v>
      </c>
      <c r="H70" s="1" t="s">
        <v>37</v>
      </c>
      <c r="I70" s="2">
        <v>45813.0</v>
      </c>
      <c r="J70" s="1">
        <v>85000.0</v>
      </c>
      <c r="K70" s="2">
        <v>45809.0</v>
      </c>
      <c r="L70" s="3" t="str">
        <f t="shared" si="1"/>
        <v>SKU-017|Kopi Arabika 250g Pack|Food &amp; Beverage|29|100|16|5|SUP_FB01|2025-06-05|85000|2025-06-01</v>
      </c>
    </row>
    <row r="71">
      <c r="A71" s="1" t="s">
        <v>19</v>
      </c>
      <c r="B71" s="1" t="s">
        <v>20</v>
      </c>
      <c r="C71" s="1" t="s">
        <v>17</v>
      </c>
      <c r="D71" s="1">
        <v>34.0</v>
      </c>
      <c r="E71" s="1">
        <v>30.0</v>
      </c>
      <c r="F71" s="1">
        <v>4.0</v>
      </c>
      <c r="G71" s="1">
        <v>5.0</v>
      </c>
      <c r="H71" s="1" t="s">
        <v>18</v>
      </c>
      <c r="I71" s="2">
        <v>46083.0</v>
      </c>
      <c r="J71" s="1">
        <v>1200000.0</v>
      </c>
      <c r="K71" s="2">
        <v>46082.0</v>
      </c>
      <c r="L71" s="3" t="str">
        <f t="shared" si="1"/>
        <v>SKU-004|Smartwatch Xiaomi Band|Electronics|34|30|4|5|SUP_EL01|2026-03-02|1200000|2026-03-01</v>
      </c>
    </row>
    <row r="72">
      <c r="A72" s="1" t="s">
        <v>55</v>
      </c>
      <c r="B72" s="1" t="s">
        <v>56</v>
      </c>
      <c r="C72" s="1" t="s">
        <v>36</v>
      </c>
      <c r="D72" s="1">
        <v>60.0</v>
      </c>
      <c r="E72" s="1">
        <v>100.0</v>
      </c>
      <c r="F72" s="1">
        <v>12.0</v>
      </c>
      <c r="G72" s="1">
        <v>4.0</v>
      </c>
      <c r="H72" s="1" t="s">
        <v>37</v>
      </c>
      <c r="I72" s="2">
        <v>45928.0</v>
      </c>
      <c r="J72" s="1">
        <v>85000.0</v>
      </c>
      <c r="K72" s="2">
        <v>45901.0</v>
      </c>
      <c r="L72" s="3" t="str">
        <f t="shared" si="1"/>
        <v>SKU-017|Kopi Arabika 250g Pack|Food &amp; Beverage|60|100|12|4|SUP_FB01|2025-09-28|85000|2025-09-01</v>
      </c>
    </row>
    <row r="73">
      <c r="A73" s="1" t="s">
        <v>15</v>
      </c>
      <c r="B73" s="1" t="s">
        <v>16</v>
      </c>
      <c r="C73" s="1" t="s">
        <v>17</v>
      </c>
      <c r="D73" s="1">
        <v>1.0</v>
      </c>
      <c r="E73" s="1">
        <v>15.0</v>
      </c>
      <c r="F73" s="1">
        <v>2.0</v>
      </c>
      <c r="G73" s="1">
        <v>6.0</v>
      </c>
      <c r="H73" s="1" t="s">
        <v>18</v>
      </c>
      <c r="I73" s="2">
        <v>45861.0</v>
      </c>
      <c r="J73" s="1">
        <v>8500000.0</v>
      </c>
      <c r="K73" s="2">
        <v>45839.0</v>
      </c>
      <c r="L73" s="3" t="str">
        <f t="shared" si="1"/>
        <v>SKU-001|Laptop ASUS Vivobook|Electronics|1|15|2|6|SUP_EL01|2025-07-23|8500000|2025-07-01</v>
      </c>
    </row>
    <row r="74">
      <c r="A74" s="1" t="s">
        <v>31</v>
      </c>
      <c r="B74" s="1" t="s">
        <v>32</v>
      </c>
      <c r="C74" s="1" t="s">
        <v>13</v>
      </c>
      <c r="D74" s="1">
        <v>177.0</v>
      </c>
      <c r="E74" s="1">
        <v>40.0</v>
      </c>
      <c r="F74" s="1">
        <v>2.0</v>
      </c>
      <c r="G74" s="1">
        <v>4.0</v>
      </c>
      <c r="H74" s="1" t="s">
        <v>33</v>
      </c>
      <c r="I74" s="2">
        <v>45757.0</v>
      </c>
      <c r="J74" s="1">
        <v>550000.0</v>
      </c>
      <c r="K74" s="2">
        <v>45748.0</v>
      </c>
      <c r="L74" s="3" t="str">
        <f t="shared" si="1"/>
        <v>SKU-013|Skincare Set Whitelab|Beauty|177|40|2|4|SUP_BT01|2025-04-10|550000|2025-04-01</v>
      </c>
    </row>
    <row r="75">
      <c r="A75" s="1" t="s">
        <v>60</v>
      </c>
      <c r="B75" s="1" t="s">
        <v>61</v>
      </c>
      <c r="C75" s="1" t="s">
        <v>17</v>
      </c>
      <c r="D75" s="1">
        <v>28.0</v>
      </c>
      <c r="E75" s="1">
        <v>20.0</v>
      </c>
      <c r="F75" s="1">
        <v>1.0</v>
      </c>
      <c r="G75" s="1">
        <v>11.0</v>
      </c>
      <c r="H75" s="1" t="s">
        <v>27</v>
      </c>
      <c r="I75" s="2">
        <v>45669.0</v>
      </c>
      <c r="J75" s="1">
        <v>3200000.0</v>
      </c>
      <c r="K75" s="2">
        <v>45658.0</v>
      </c>
      <c r="L75" s="3" t="str">
        <f t="shared" si="1"/>
        <v>SKU-003|Headphone Sony WH-1000|Electronics|28|20|1|11|SUP_EL02|2025-01-12|3200000|2025-01-01</v>
      </c>
    </row>
    <row r="76">
      <c r="A76" s="1" t="s">
        <v>25</v>
      </c>
      <c r="B76" s="1" t="s">
        <v>26</v>
      </c>
      <c r="C76" s="1" t="s">
        <v>17</v>
      </c>
      <c r="D76" s="1">
        <v>42.0</v>
      </c>
      <c r="E76" s="1">
        <v>25.0</v>
      </c>
      <c r="F76" s="1">
        <v>4.0</v>
      </c>
      <c r="G76" s="1">
        <v>19.0</v>
      </c>
      <c r="H76" s="1" t="s">
        <v>27</v>
      </c>
      <c r="I76" s="2">
        <v>45881.0</v>
      </c>
      <c r="J76" s="1">
        <v>4500000.0</v>
      </c>
      <c r="K76" s="2">
        <v>45870.0</v>
      </c>
      <c r="L76" s="3" t="str">
        <f t="shared" si="1"/>
        <v>SKU-002|Smartphone Samsung A54|Electronics|42|25|4|19|SUP_EL02|2025-08-12|4500000|2025-08-01</v>
      </c>
    </row>
    <row r="77">
      <c r="A77" s="1" t="s">
        <v>51</v>
      </c>
      <c r="B77" s="1" t="s">
        <v>52</v>
      </c>
      <c r="C77" s="1" t="s">
        <v>36</v>
      </c>
      <c r="D77" s="1">
        <v>18.0</v>
      </c>
      <c r="E77" s="1">
        <v>60.0</v>
      </c>
      <c r="F77" s="1">
        <v>8.0</v>
      </c>
      <c r="G77" s="1">
        <v>5.0</v>
      </c>
      <c r="H77" s="1" t="s">
        <v>50</v>
      </c>
      <c r="I77" s="2">
        <v>45712.0</v>
      </c>
      <c r="K77" s="2">
        <v>45689.0</v>
      </c>
      <c r="L77" s="3" t="str">
        <f t="shared" si="1"/>
        <v>SKU-019|Madu Hutan Asli 500ml|Food &amp; Beverage|18|60|8|5|SUP_FB02|2025-02-24|2025-02-01</v>
      </c>
    </row>
    <row r="78">
      <c r="A78" s="1" t="s">
        <v>19</v>
      </c>
      <c r="B78" s="1" t="s">
        <v>20</v>
      </c>
      <c r="C78" s="1" t="s">
        <v>17</v>
      </c>
      <c r="D78" s="1">
        <v>17.0</v>
      </c>
      <c r="E78" s="1">
        <v>30.0</v>
      </c>
      <c r="F78" s="1">
        <v>6.0</v>
      </c>
      <c r="G78" s="1">
        <v>8.0</v>
      </c>
      <c r="H78" s="1" t="s">
        <v>18</v>
      </c>
      <c r="I78" s="2">
        <v>45996.0</v>
      </c>
      <c r="J78" s="1">
        <v>1200000.0</v>
      </c>
      <c r="K78" s="2">
        <v>45992.0</v>
      </c>
      <c r="L78" s="3" t="str">
        <f t="shared" si="1"/>
        <v>SKU-004|Smartwatch Xiaomi Band|Electronics|17|30|6|8|SUP_EL01|2025-12-05|1200000|2025-12-01</v>
      </c>
    </row>
    <row r="79">
      <c r="A79" s="1" t="s">
        <v>11</v>
      </c>
      <c r="B79" s="1" t="s">
        <v>12</v>
      </c>
      <c r="C79" s="1" t="s">
        <v>13</v>
      </c>
      <c r="D79" s="1">
        <v>238.0</v>
      </c>
      <c r="E79" s="1">
        <v>50.0</v>
      </c>
      <c r="F79" s="1">
        <v>2.0</v>
      </c>
      <c r="G79" s="1">
        <v>7.0</v>
      </c>
      <c r="H79" s="1" t="s">
        <v>14</v>
      </c>
      <c r="I79" s="2">
        <v>45671.0</v>
      </c>
      <c r="J79" s="1">
        <v>125000.0</v>
      </c>
      <c r="K79" s="2">
        <v>45658.0</v>
      </c>
      <c r="L79" s="3" t="str">
        <f t="shared" si="1"/>
        <v>SKU-016|Parfum EDT Brasov 100ml|Beauty|238|50|2|7|SUP_BT02|2025-01-14|125000|2025-01-01</v>
      </c>
    </row>
    <row r="80">
      <c r="A80" s="1" t="s">
        <v>46</v>
      </c>
      <c r="B80" s="1" t="s">
        <v>47</v>
      </c>
      <c r="C80" s="1" t="s">
        <v>23</v>
      </c>
      <c r="D80" s="1">
        <v>0.0</v>
      </c>
      <c r="E80" s="1">
        <v>40.0</v>
      </c>
      <c r="F80" s="1">
        <v>10.0</v>
      </c>
      <c r="G80" s="1">
        <v>7.0</v>
      </c>
      <c r="H80" s="1" t="s">
        <v>30</v>
      </c>
      <c r="I80" s="2">
        <v>46109.0</v>
      </c>
      <c r="J80" s="1">
        <v>550000.0</v>
      </c>
      <c r="K80" s="2">
        <v>46082.0</v>
      </c>
      <c r="L80" s="3" t="str">
        <f t="shared" si="1"/>
        <v>SKU-008|Tas Ransel Eiger|Fashion|0|40|10|7|SUP_FA02|2026-03-28|550000|2026-03-01</v>
      </c>
    </row>
    <row r="81">
      <c r="A81" s="1" t="s">
        <v>34</v>
      </c>
      <c r="B81" s="1" t="s">
        <v>35</v>
      </c>
      <c r="C81" s="1" t="s">
        <v>36</v>
      </c>
      <c r="E81" s="1">
        <v>80.0</v>
      </c>
      <c r="F81" s="1">
        <v>11.0</v>
      </c>
      <c r="G81" s="1">
        <v>4.0</v>
      </c>
      <c r="H81" s="1" t="s">
        <v>37</v>
      </c>
      <c r="I81" s="2">
        <v>45766.0</v>
      </c>
      <c r="J81" s="1">
        <v>65000.0</v>
      </c>
      <c r="K81" s="2">
        <v>45748.0</v>
      </c>
      <c r="L81" s="3" t="str">
        <f t="shared" si="1"/>
        <v>SKU-018|Teh Organik Premium Box|Food &amp; Beverage|80|11|4|SUP_FB01|2025-04-19|65000|2025-04-01</v>
      </c>
    </row>
    <row r="82">
      <c r="A82" s="1" t="s">
        <v>55</v>
      </c>
      <c r="B82" s="1" t="s">
        <v>56</v>
      </c>
      <c r="C82" s="1" t="s">
        <v>36</v>
      </c>
      <c r="D82" s="1">
        <v>26.0</v>
      </c>
      <c r="E82" s="1">
        <v>100.0</v>
      </c>
      <c r="F82" s="1">
        <v>16.0</v>
      </c>
      <c r="G82" s="1">
        <v>4.0</v>
      </c>
      <c r="H82" s="1" t="s">
        <v>37</v>
      </c>
      <c r="I82" s="2">
        <v>45778.0</v>
      </c>
      <c r="J82" s="1">
        <v>85000.0</v>
      </c>
      <c r="K82" s="2">
        <v>45778.0</v>
      </c>
      <c r="L82" s="3" t="str">
        <f t="shared" si="1"/>
        <v>SKU-017|Kopi Arabika 250g Pack|Food &amp; Beverage|26|100|16|4|SUP_FB01|2025-05-01|85000|2025-05-01</v>
      </c>
    </row>
    <row r="83">
      <c r="A83" s="1" t="s">
        <v>62</v>
      </c>
      <c r="B83" s="1" t="s">
        <v>63</v>
      </c>
      <c r="C83" s="1" t="s">
        <v>13</v>
      </c>
      <c r="D83" s="1">
        <v>301.0</v>
      </c>
      <c r="E83" s="1">
        <v>80.0</v>
      </c>
      <c r="F83" s="1">
        <v>3.0</v>
      </c>
      <c r="G83" s="1">
        <v>4.0</v>
      </c>
      <c r="H83" s="1" t="s">
        <v>33</v>
      </c>
      <c r="I83" s="2">
        <v>45936.0</v>
      </c>
      <c r="J83" s="1">
        <v>85000.0</v>
      </c>
      <c r="K83" s="2">
        <v>45931.0</v>
      </c>
      <c r="L83" s="3" t="str">
        <f t="shared" si="1"/>
        <v>SKU-014|Lipstik Matte Wardah|Beauty|301|80|3|4|SUP_BT01|2025-10-06|85000|2025-10-01</v>
      </c>
    </row>
    <row r="84">
      <c r="A84" s="1" t="s">
        <v>57</v>
      </c>
      <c r="B84" s="1" t="s">
        <v>58</v>
      </c>
      <c r="C84" s="1" t="s">
        <v>42</v>
      </c>
      <c r="D84" s="1">
        <v>19.0</v>
      </c>
      <c r="E84" s="1">
        <v>25.0</v>
      </c>
      <c r="F84" s="1">
        <v>4.0</v>
      </c>
      <c r="G84" s="1">
        <v>10.0</v>
      </c>
      <c r="H84" s="1" t="s">
        <v>59</v>
      </c>
      <c r="I84" s="2">
        <v>45729.0</v>
      </c>
      <c r="J84" s="1">
        <v>450000.0</v>
      </c>
      <c r="K84" s="2">
        <v>45717.0</v>
      </c>
      <c r="L84" s="3" t="str">
        <f t="shared" si="1"/>
        <v>SKU-010|Rice Cooker Miyako 1.8L|Home &amp; Living|19|25|4|10|SUP_HM01|2025-03-13|450000|2025-03-01</v>
      </c>
    </row>
    <row r="85">
      <c r="A85" s="1" t="s">
        <v>44</v>
      </c>
      <c r="B85" s="1" t="s">
        <v>45</v>
      </c>
      <c r="C85" s="1" t="s">
        <v>42</v>
      </c>
      <c r="D85" s="1">
        <v>51.0</v>
      </c>
      <c r="E85" s="1">
        <v>30.0</v>
      </c>
      <c r="F85" s="1">
        <v>6.0</v>
      </c>
      <c r="G85" s="1">
        <v>9.0</v>
      </c>
      <c r="H85" s="1" t="s">
        <v>43</v>
      </c>
      <c r="I85" s="2">
        <v>45752.0</v>
      </c>
      <c r="J85" s="1">
        <v>350000.0</v>
      </c>
      <c r="K85" s="2">
        <v>45748.0</v>
      </c>
      <c r="L85" s="3" t="str">
        <f t="shared" si="1"/>
        <v>SKU-012|Kipas Angin Cosmos 16in|Home &amp; Living|51|30|6|9|SUP_HM02|2025-04-05|350000|2025-04-01</v>
      </c>
    </row>
    <row r="86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  <c r="L86" s="3" t="str">
        <f t="shared" si="1"/>
        <v>SKU-007|Sepatu Sneakers Nike|Fashion|17|35|5|5|SUP_FA02|2025-01-06|1250000|2025-01-01</v>
      </c>
    </row>
    <row r="87">
      <c r="A87" s="1" t="s">
        <v>53</v>
      </c>
      <c r="B87" s="1" t="s">
        <v>54</v>
      </c>
      <c r="C87" s="1" t="s">
        <v>13</v>
      </c>
      <c r="D87" s="1">
        <v>223.0</v>
      </c>
      <c r="E87" s="1">
        <v>60.0</v>
      </c>
      <c r="F87" s="1">
        <v>4.0</v>
      </c>
      <c r="G87" s="1">
        <v>8.0</v>
      </c>
      <c r="H87" s="1" t="s">
        <v>14</v>
      </c>
      <c r="I87" s="2">
        <v>46108.0</v>
      </c>
      <c r="J87" s="1">
        <v>165000.0</v>
      </c>
      <c r="K87" s="2">
        <v>46082.0</v>
      </c>
      <c r="L87" s="3" t="str">
        <f t="shared" si="1"/>
        <v>SKU-015|Foundation Maybelline Fit|Beauty|223|60|4|8|SUP_BT02|2026-03-27|165000|2026-03-01</v>
      </c>
    </row>
    <row r="88">
      <c r="A88" s="1" t="s">
        <v>21</v>
      </c>
      <c r="B88" s="1" t="s">
        <v>22</v>
      </c>
      <c r="C88" s="1" t="s">
        <v>23</v>
      </c>
      <c r="D88" s="1">
        <v>34.0</v>
      </c>
      <c r="E88" s="1">
        <v>50.0</v>
      </c>
      <c r="F88" s="1">
        <v>6.0</v>
      </c>
      <c r="G88" s="1">
        <v>6.0</v>
      </c>
      <c r="H88" s="1" t="s">
        <v>24</v>
      </c>
      <c r="I88" s="2">
        <v>45849.0</v>
      </c>
      <c r="J88" s="1">
        <v>350000.0</v>
      </c>
      <c r="K88" s="2">
        <v>45839.0</v>
      </c>
      <c r="L88" s="3" t="str">
        <f t="shared" si="1"/>
        <v>SKU-005|Kemeja Formal Pria|Fashion|34|50|6|6|SUP_FA01|2025-07-11|350000|2025-07-01</v>
      </c>
    </row>
    <row r="89">
      <c r="A89" s="1" t="s">
        <v>46</v>
      </c>
      <c r="B89" s="1" t="s">
        <v>47</v>
      </c>
      <c r="C89" s="1" t="s">
        <v>23</v>
      </c>
      <c r="D89" s="1">
        <v>10.0</v>
      </c>
      <c r="E89" s="1">
        <v>40.0</v>
      </c>
      <c r="F89" s="1">
        <v>4.0</v>
      </c>
      <c r="G89" s="1">
        <v>3.0</v>
      </c>
      <c r="H89" s="1" t="s">
        <v>30</v>
      </c>
      <c r="I89" s="2">
        <v>46055.0</v>
      </c>
      <c r="J89" s="1">
        <v>550000.0</v>
      </c>
      <c r="K89" s="2">
        <v>46054.0</v>
      </c>
      <c r="L89" s="3" t="str">
        <f t="shared" si="1"/>
        <v>SKU-008|Tas Ransel Eiger|Fashion|10|40|4|3|SUP_FA02|2026-02-02|550000|2026-02-01</v>
      </c>
    </row>
    <row r="90">
      <c r="A90" s="1" t="s">
        <v>62</v>
      </c>
      <c r="B90" s="1" t="s">
        <v>63</v>
      </c>
      <c r="C90" s="1" t="s">
        <v>13</v>
      </c>
      <c r="D90" s="1">
        <v>436.0</v>
      </c>
      <c r="E90" s="1">
        <v>80.0</v>
      </c>
      <c r="F90" s="1">
        <v>4.0</v>
      </c>
      <c r="G90" s="1">
        <v>4.0</v>
      </c>
      <c r="H90" s="1" t="s">
        <v>33</v>
      </c>
      <c r="I90" s="2">
        <v>45755.0</v>
      </c>
      <c r="J90" s="1">
        <v>85000.0</v>
      </c>
      <c r="K90" s="2">
        <v>45748.0</v>
      </c>
      <c r="L90" s="3" t="str">
        <f t="shared" si="1"/>
        <v>SKU-014|Lipstik Matte Wardah|Beauty|436|80|4|4|SUP_BT01|2025-04-08|85000|2025-04-01</v>
      </c>
    </row>
    <row r="91">
      <c r="A91" s="1" t="s">
        <v>25</v>
      </c>
      <c r="B91" s="1" t="s">
        <v>26</v>
      </c>
      <c r="C91" s="1" t="s">
        <v>17</v>
      </c>
      <c r="D91" s="1">
        <v>0.0</v>
      </c>
      <c r="E91" s="1">
        <v>25.0</v>
      </c>
      <c r="F91" s="1">
        <v>8.0</v>
      </c>
      <c r="G91" s="1">
        <v>10.0</v>
      </c>
      <c r="H91" s="1" t="s">
        <v>27</v>
      </c>
      <c r="I91" s="2">
        <v>46013.0</v>
      </c>
      <c r="J91" s="1">
        <v>4500000.0</v>
      </c>
      <c r="K91" s="2">
        <v>45992.0</v>
      </c>
      <c r="L91" s="3" t="str">
        <f t="shared" si="1"/>
        <v>SKU-002|Smartphone Samsung A54|Electronics|0|25|8|10|SUP_EL02|2025-12-22|4500000|2025-12-01</v>
      </c>
    </row>
    <row r="92">
      <c r="A92" s="1" t="s">
        <v>25</v>
      </c>
      <c r="B92" s="1" t="s">
        <v>26</v>
      </c>
      <c r="C92" s="1" t="s">
        <v>17</v>
      </c>
      <c r="D92" s="1">
        <v>20.0</v>
      </c>
      <c r="E92" s="1">
        <v>25.0</v>
      </c>
      <c r="F92" s="1">
        <v>4.0</v>
      </c>
      <c r="G92" s="1">
        <v>19.0</v>
      </c>
      <c r="H92" s="1" t="s">
        <v>27</v>
      </c>
      <c r="I92" s="2">
        <v>45786.0</v>
      </c>
      <c r="J92" s="1">
        <v>4500000.0</v>
      </c>
      <c r="K92" s="2">
        <v>45778.0</v>
      </c>
      <c r="L92" s="3" t="str">
        <f t="shared" si="1"/>
        <v>SKU-002|Smartphone Samsung A54|Electronics|20|25|4|19|SUP_EL02|2025-05-09|4500000|2025-05-01</v>
      </c>
    </row>
    <row r="93">
      <c r="A93" s="1" t="s">
        <v>57</v>
      </c>
      <c r="B93" s="1" t="s">
        <v>58</v>
      </c>
      <c r="C93" s="1" t="s">
        <v>42</v>
      </c>
      <c r="D93" s="1">
        <v>42.0</v>
      </c>
      <c r="E93" s="1">
        <v>25.0</v>
      </c>
      <c r="F93" s="1">
        <v>4.0</v>
      </c>
      <c r="G93" s="1">
        <v>8.0</v>
      </c>
      <c r="H93" s="1" t="s">
        <v>59</v>
      </c>
      <c r="I93" s="2">
        <v>46029.0</v>
      </c>
      <c r="J93" s="1">
        <v>450000.0</v>
      </c>
      <c r="K93" s="2">
        <v>46023.0</v>
      </c>
      <c r="L93" s="3" t="str">
        <f t="shared" si="1"/>
        <v>SKU-010|Rice Cooker Miyako 1.8L|Home &amp; Living|42|25|4|8|SUP_HM01|2026-01-07|450000|2026-01-01</v>
      </c>
    </row>
    <row r="94">
      <c r="A94" s="1" t="s">
        <v>28</v>
      </c>
      <c r="B94" s="1" t="s">
        <v>29</v>
      </c>
      <c r="C94" s="1" t="s">
        <v>23</v>
      </c>
      <c r="D94" s="1">
        <v>0.0</v>
      </c>
      <c r="E94" s="1">
        <v>35.0</v>
      </c>
      <c r="F94" s="1">
        <v>12.0</v>
      </c>
      <c r="G94" s="1">
        <v>9.0</v>
      </c>
      <c r="H94" s="1" t="s">
        <v>30</v>
      </c>
      <c r="I94" s="2">
        <v>45746.0</v>
      </c>
      <c r="J94" s="1">
        <v>1250000.0</v>
      </c>
      <c r="K94" s="2">
        <v>45717.0</v>
      </c>
      <c r="L94" s="3" t="str">
        <f t="shared" si="1"/>
        <v>SKU-007|Sepatu Sneakers Nike|Fashion|0|35|12|9|SUP_FA02|2025-03-30|1250000|2025-03-01</v>
      </c>
    </row>
    <row r="95">
      <c r="A95" s="1" t="s">
        <v>38</v>
      </c>
      <c r="B95" s="1" t="s">
        <v>39</v>
      </c>
      <c r="C95" s="1" t="s">
        <v>23</v>
      </c>
      <c r="D95" s="1">
        <v>34.0</v>
      </c>
      <c r="E95" s="1">
        <v>45.0</v>
      </c>
      <c r="F95" s="1">
        <v>5.0</v>
      </c>
      <c r="G95" s="1">
        <v>4.0</v>
      </c>
      <c r="H95" s="1" t="s">
        <v>24</v>
      </c>
      <c r="I95" s="2">
        <v>45801.0</v>
      </c>
      <c r="J95" s="1">
        <v>450000.0</v>
      </c>
      <c r="K95" s="2">
        <v>45778.0</v>
      </c>
      <c r="L95" s="3" t="str">
        <f t="shared" si="1"/>
        <v>SKU-006|Dress Casual Wanita|Fashion|34|45|5|4|SUP_FA01|2025-05-24|450000|2025-05-01</v>
      </c>
    </row>
    <row r="96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10.0</v>
      </c>
      <c r="G96" s="1">
        <v>7.0</v>
      </c>
      <c r="H96" s="1" t="s">
        <v>30</v>
      </c>
      <c r="I96" s="2">
        <v>46008.0</v>
      </c>
      <c r="J96" s="1">
        <v>1250000.0</v>
      </c>
      <c r="K96" s="2">
        <v>45992.0</v>
      </c>
      <c r="L96" s="3" t="str">
        <f t="shared" si="1"/>
        <v>SKU-007|Sepatu Sneakers Nike|Fashion|0|35|10|7|SUP_FA02|2025-12-17|1250000|2025-12-01</v>
      </c>
    </row>
    <row r="97">
      <c r="A97" s="1" t="s">
        <v>31</v>
      </c>
      <c r="B97" s="1" t="s">
        <v>32</v>
      </c>
      <c r="C97" s="1" t="s">
        <v>13</v>
      </c>
      <c r="D97" s="1">
        <v>169.0</v>
      </c>
      <c r="E97" s="1">
        <v>40.0</v>
      </c>
      <c r="F97" s="1">
        <v>3.0</v>
      </c>
      <c r="G97" s="1">
        <v>4.0</v>
      </c>
      <c r="H97" s="1" t="s">
        <v>33</v>
      </c>
      <c r="I97" s="2">
        <v>46074.0</v>
      </c>
      <c r="J97" s="1">
        <v>550000.0</v>
      </c>
      <c r="K97" s="2">
        <v>46054.0</v>
      </c>
      <c r="L97" s="3" t="str">
        <f t="shared" si="1"/>
        <v>SKU-013|Skincare Set Whitelab|Beauty|169|40|3|4|SUP_BT01|2026-02-21|550000|2026-02-01</v>
      </c>
    </row>
    <row r="98">
      <c r="A98" s="1" t="s">
        <v>21</v>
      </c>
      <c r="B98" s="1" t="s">
        <v>22</v>
      </c>
      <c r="C98" s="1" t="s">
        <v>23</v>
      </c>
      <c r="D98" s="1">
        <v>15.0</v>
      </c>
      <c r="E98" s="1">
        <v>50.0</v>
      </c>
      <c r="F98" s="1">
        <v>7.0</v>
      </c>
      <c r="G98" s="1">
        <v>7.0</v>
      </c>
      <c r="H98" s="1" t="s">
        <v>24</v>
      </c>
      <c r="I98" s="2">
        <v>46032.0</v>
      </c>
      <c r="J98" s="1">
        <v>350000.0</v>
      </c>
      <c r="K98" s="2">
        <v>46023.0</v>
      </c>
      <c r="L98" s="3" t="str">
        <f t="shared" si="1"/>
        <v>SKU-005|Kemeja Formal Pria|Fashion|15|50|7|7|SUP_FA01|2026-01-10|350000|2026-01-01</v>
      </c>
    </row>
    <row r="99">
      <c r="A99" s="1" t="s">
        <v>48</v>
      </c>
      <c r="B99" s="1" t="s">
        <v>49</v>
      </c>
      <c r="C99" s="1" t="s">
        <v>36</v>
      </c>
      <c r="D99" s="1">
        <v>48.0</v>
      </c>
      <c r="E99" s="1">
        <v>120.0</v>
      </c>
      <c r="F99" s="1">
        <v>18.0</v>
      </c>
      <c r="G99" s="1">
        <v>6.0</v>
      </c>
      <c r="H99" s="1" t="s">
        <v>50</v>
      </c>
      <c r="I99" s="2">
        <v>46074.0</v>
      </c>
      <c r="J99" s="1">
        <v>55000.0</v>
      </c>
      <c r="K99" s="2">
        <v>46054.0</v>
      </c>
      <c r="L99" s="3" t="str">
        <f t="shared" si="1"/>
        <v>SKU-020|Snack Granola Mix 500g|Food &amp; Beverage|48|120|18|6|SUP_FB02|2026-02-21|55000|2026-02-01</v>
      </c>
    </row>
    <row r="100">
      <c r="A100" s="1" t="s">
        <v>25</v>
      </c>
      <c r="B100" s="1" t="s">
        <v>26</v>
      </c>
      <c r="C100" s="1" t="s">
        <v>17</v>
      </c>
      <c r="D100" s="1">
        <v>0.0</v>
      </c>
      <c r="E100" s="1">
        <v>25.0</v>
      </c>
      <c r="F100" s="1">
        <v>3.0</v>
      </c>
      <c r="G100" s="1">
        <v>18.0</v>
      </c>
      <c r="H100" s="1" t="s">
        <v>27</v>
      </c>
      <c r="I100" s="2">
        <v>45663.0</v>
      </c>
      <c r="J100" s="1">
        <v>4500000.0</v>
      </c>
      <c r="K100" s="2">
        <v>45658.0</v>
      </c>
      <c r="L100" s="3" t="str">
        <f t="shared" si="1"/>
        <v>SKU-002|Smartphone Samsung A54|Electronics|0|25|3|18|SUP_EL02|2025-01-06|4500000|2025-01-01</v>
      </c>
    </row>
    <row r="101">
      <c r="A101" s="1" t="s">
        <v>15</v>
      </c>
      <c r="B101" s="1" t="s">
        <v>16</v>
      </c>
      <c r="C101" s="1" t="s">
        <v>17</v>
      </c>
      <c r="D101" s="1">
        <v>0.0</v>
      </c>
      <c r="E101" s="1">
        <v>15.0</v>
      </c>
      <c r="F101" s="1">
        <v>3.0</v>
      </c>
      <c r="G101" s="1">
        <v>8.0</v>
      </c>
      <c r="H101" s="1" t="s">
        <v>18</v>
      </c>
      <c r="I101" s="2">
        <v>45979.0</v>
      </c>
      <c r="J101" s="1">
        <v>8500000.0</v>
      </c>
      <c r="K101" s="2">
        <v>45962.0</v>
      </c>
      <c r="L101" s="3" t="str">
        <f t="shared" si="1"/>
        <v>SKU-001|Laptop ASUS Vivobook|Electronics|0|15|3|8|SUP_EL01|2025-11-18|8500000|2025-11-01</v>
      </c>
    </row>
    <row r="102">
      <c r="A102" s="1" t="s">
        <v>44</v>
      </c>
      <c r="B102" s="1" t="s">
        <v>45</v>
      </c>
      <c r="C102" s="1" t="s">
        <v>42</v>
      </c>
      <c r="D102" s="1">
        <v>53.0</v>
      </c>
      <c r="E102" s="1">
        <v>30.0</v>
      </c>
      <c r="F102" s="1">
        <v>5.0</v>
      </c>
      <c r="G102" s="1">
        <v>4.0</v>
      </c>
      <c r="H102" s="1" t="s">
        <v>43</v>
      </c>
      <c r="I102" s="2">
        <v>45730.0</v>
      </c>
      <c r="J102" s="1">
        <v>350000.0</v>
      </c>
      <c r="K102" s="2">
        <v>45717.0</v>
      </c>
      <c r="L102" s="3" t="str">
        <f t="shared" si="1"/>
        <v>SKU-012|Kipas Angin Cosmos 16in|Home &amp; Living|53|30|5|4|SUP_HM02|2025-03-14|350000|2025-03-01</v>
      </c>
    </row>
    <row r="103">
      <c r="A103" s="1" t="s">
        <v>40</v>
      </c>
      <c r="B103" s="1" t="s">
        <v>41</v>
      </c>
      <c r="C103" s="1" t="s">
        <v>42</v>
      </c>
      <c r="D103" s="1">
        <v>12.0</v>
      </c>
      <c r="E103" s="1">
        <v>15.0</v>
      </c>
      <c r="F103" s="1">
        <v>4.0</v>
      </c>
      <c r="G103" s="1">
        <v>10.0</v>
      </c>
      <c r="H103" s="1" t="s">
        <v>43</v>
      </c>
      <c r="I103" s="2">
        <v>45717.0</v>
      </c>
      <c r="J103" s="1">
        <v>1200000.0</v>
      </c>
      <c r="K103" s="2">
        <v>45717.0</v>
      </c>
      <c r="L103" s="3" t="str">
        <f t="shared" si="1"/>
        <v>SKU-011|Vacuum Cleaner Deerma|Home &amp; Living|12|15|4|10|SUP_HM02|2025-03-01|1200000|2025-03-01</v>
      </c>
    </row>
    <row r="104">
      <c r="A104" s="1" t="s">
        <v>28</v>
      </c>
      <c r="B104" s="1" t="s">
        <v>29</v>
      </c>
      <c r="C104" s="1" t="s">
        <v>23</v>
      </c>
      <c r="D104" s="1">
        <v>31.0</v>
      </c>
      <c r="E104" s="1">
        <v>35.0</v>
      </c>
      <c r="F104" s="1">
        <v>3.0</v>
      </c>
      <c r="G104" s="1">
        <v>6.0</v>
      </c>
      <c r="H104" s="1" t="s">
        <v>30</v>
      </c>
      <c r="I104" s="2">
        <v>45891.0</v>
      </c>
      <c r="J104" s="1">
        <v>1250000.0</v>
      </c>
      <c r="K104" s="2">
        <v>45870.0</v>
      </c>
      <c r="L104" s="3" t="str">
        <f t="shared" si="1"/>
        <v>SKU-007|Sepatu Sneakers Nike|Fashion|31|35|3|6|SUP_FA02|2025-08-22|1250000|2025-08-01</v>
      </c>
    </row>
    <row r="105">
      <c r="A105" s="1" t="s">
        <v>21</v>
      </c>
      <c r="B105" s="1" t="s">
        <v>22</v>
      </c>
      <c r="C105" s="1" t="s">
        <v>23</v>
      </c>
      <c r="D105" s="1">
        <v>21.0</v>
      </c>
      <c r="E105" s="1">
        <v>50.0</v>
      </c>
      <c r="F105" s="1">
        <v>7.0</v>
      </c>
      <c r="G105" s="1">
        <v>3.0</v>
      </c>
      <c r="H105" s="1" t="s">
        <v>24</v>
      </c>
      <c r="I105" s="2">
        <v>45918.0</v>
      </c>
      <c r="J105" s="1">
        <v>350000.0</v>
      </c>
      <c r="K105" s="2">
        <v>45901.0</v>
      </c>
      <c r="L105" s="3" t="str">
        <f t="shared" si="1"/>
        <v>SKU-005|Kemeja Formal Pria|Fashion|21|50|7|3|SUP_FA01|2025-09-18|350000|2025-09-01</v>
      </c>
    </row>
    <row r="106">
      <c r="A106" s="1" t="s">
        <v>11</v>
      </c>
      <c r="B106" s="1" t="s">
        <v>12</v>
      </c>
      <c r="C106" s="1" t="s">
        <v>13</v>
      </c>
      <c r="D106" s="1">
        <v>250.0</v>
      </c>
      <c r="E106" s="1">
        <v>50.0</v>
      </c>
      <c r="F106" s="1">
        <v>1.0</v>
      </c>
      <c r="G106" s="1">
        <v>7.0</v>
      </c>
      <c r="H106" s="1" t="s">
        <v>14</v>
      </c>
      <c r="I106" s="2">
        <v>46050.0</v>
      </c>
      <c r="J106" s="1">
        <v>125000.0</v>
      </c>
      <c r="K106" s="2">
        <v>46023.0</v>
      </c>
      <c r="L106" s="3" t="str">
        <f t="shared" si="1"/>
        <v>SKU-016|Parfum EDT Brasov 100ml|Beauty|250|50|1|7|SUP_BT02|2026-01-28|125000|2026-01-01</v>
      </c>
    </row>
    <row r="107">
      <c r="A107" s="1" t="s">
        <v>60</v>
      </c>
      <c r="B107" s="1" t="s">
        <v>61</v>
      </c>
      <c r="C107" s="1" t="s">
        <v>17</v>
      </c>
      <c r="D107" s="1">
        <v>-19.0</v>
      </c>
      <c r="E107" s="1">
        <v>20.0</v>
      </c>
      <c r="F107" s="1">
        <v>2.0</v>
      </c>
      <c r="G107" s="1">
        <v>18.0</v>
      </c>
      <c r="H107" s="1" t="s">
        <v>27</v>
      </c>
      <c r="I107" s="2">
        <v>45884.0</v>
      </c>
      <c r="J107" s="1">
        <v>3200000.0</v>
      </c>
      <c r="K107" s="2">
        <v>45870.0</v>
      </c>
      <c r="L107" s="3" t="str">
        <f t="shared" si="1"/>
        <v>SKU-003|Headphone Sony WH-1000|Electronics|-19|20|2|18|SUP_EL02|2025-08-15|3200000|2025-08-01</v>
      </c>
    </row>
    <row r="108">
      <c r="A108" s="1" t="s">
        <v>25</v>
      </c>
      <c r="B108" s="1" t="s">
        <v>26</v>
      </c>
      <c r="C108" s="1" t="s">
        <v>17</v>
      </c>
      <c r="D108" s="1">
        <v>32.0</v>
      </c>
      <c r="E108" s="1">
        <v>25.0</v>
      </c>
      <c r="F108" s="1">
        <v>4.0</v>
      </c>
      <c r="G108" s="1">
        <v>9.0</v>
      </c>
      <c r="H108" s="1" t="s">
        <v>27</v>
      </c>
      <c r="I108" s="2">
        <v>45708.0</v>
      </c>
      <c r="J108" s="1">
        <v>4500000.0</v>
      </c>
      <c r="K108" s="2">
        <v>45689.0</v>
      </c>
      <c r="L108" s="3" t="str">
        <f t="shared" si="1"/>
        <v>SKU-002|Smartphone Samsung A54|Electronics|32|25|4|9|SUP_EL02|2025-02-20|4500000|2025-02-01</v>
      </c>
    </row>
    <row r="109">
      <c r="A109" s="1" t="s">
        <v>19</v>
      </c>
      <c r="B109" s="1" t="s">
        <v>20</v>
      </c>
      <c r="C109" s="1" t="s">
        <v>17</v>
      </c>
      <c r="D109" s="1">
        <v>-12.0</v>
      </c>
      <c r="E109" s="1">
        <v>30.0</v>
      </c>
      <c r="F109" s="1">
        <v>6.0</v>
      </c>
      <c r="G109" s="1">
        <v>7.0</v>
      </c>
      <c r="H109" s="1" t="s">
        <v>18</v>
      </c>
      <c r="I109" s="2">
        <v>45975.0</v>
      </c>
      <c r="J109" s="1">
        <v>1200000.0</v>
      </c>
      <c r="K109" s="2">
        <v>45962.0</v>
      </c>
      <c r="L109" s="3" t="str">
        <f t="shared" si="1"/>
        <v>SKU-004|Smartwatch Xiaomi Band|Electronics|-12|30|6|7|SUP_EL01|2025-11-14|1200000|2025-11-01</v>
      </c>
    </row>
    <row r="110">
      <c r="A110" s="1" t="s">
        <v>40</v>
      </c>
      <c r="B110" s="1" t="s">
        <v>41</v>
      </c>
      <c r="C110" s="1" t="s">
        <v>42</v>
      </c>
      <c r="D110" s="1">
        <v>3.0</v>
      </c>
      <c r="E110" s="1">
        <v>15.0</v>
      </c>
      <c r="F110" s="1">
        <v>3.0</v>
      </c>
      <c r="G110" s="1">
        <v>8.0</v>
      </c>
      <c r="H110" s="1" t="s">
        <v>43</v>
      </c>
      <c r="I110" s="2">
        <v>45815.0</v>
      </c>
      <c r="J110" s="1">
        <v>1200000.0</v>
      </c>
      <c r="K110" s="2">
        <v>45809.0</v>
      </c>
      <c r="L110" s="3" t="str">
        <f t="shared" si="1"/>
        <v>SKU-011|Vacuum Cleaner Deerma|Home &amp; Living|3|15|3|8|SUP_HM02|2025-06-07|1200000|2025-06-01</v>
      </c>
    </row>
    <row r="111">
      <c r="A111" s="1" t="s">
        <v>51</v>
      </c>
      <c r="B111" s="1" t="s">
        <v>52</v>
      </c>
      <c r="C111" s="1" t="s">
        <v>36</v>
      </c>
      <c r="D111" s="1">
        <v>0.0</v>
      </c>
      <c r="E111" s="1">
        <v>60.0</v>
      </c>
      <c r="F111" s="1">
        <v>13.0</v>
      </c>
      <c r="G111" s="1">
        <v>4.0</v>
      </c>
      <c r="H111" s="1" t="s">
        <v>50</v>
      </c>
      <c r="I111" s="2">
        <v>46004.0</v>
      </c>
      <c r="J111" s="1">
        <v>175000.0</v>
      </c>
      <c r="K111" s="2">
        <v>45992.0</v>
      </c>
      <c r="L111" s="3" t="str">
        <f t="shared" si="1"/>
        <v>SKU-019|Madu Hutan Asli 500ml|Food &amp; Beverage|0|60|13|4|SUP_FB02|2025-12-13|175000|2025-12-01</v>
      </c>
    </row>
    <row r="112">
      <c r="A112" s="1" t="s">
        <v>21</v>
      </c>
      <c r="B112" s="1" t="s">
        <v>22</v>
      </c>
      <c r="C112" s="1" t="s">
        <v>23</v>
      </c>
      <c r="D112" s="1">
        <v>26.0</v>
      </c>
      <c r="E112" s="1">
        <v>50.0</v>
      </c>
      <c r="F112" s="1">
        <v>8.0</v>
      </c>
      <c r="G112" s="1">
        <v>3.0</v>
      </c>
      <c r="H112" s="1" t="s">
        <v>24</v>
      </c>
      <c r="I112" s="2">
        <v>45884.0</v>
      </c>
      <c r="J112" s="1">
        <v>350000.0</v>
      </c>
      <c r="K112" s="2">
        <v>45870.0</v>
      </c>
      <c r="L112" s="3" t="str">
        <f t="shared" si="1"/>
        <v>SKU-005|Kemeja Formal Pria|Fashion|26|50|8|3|SUP_FA01|2025-08-15|350000|2025-08-01</v>
      </c>
    </row>
    <row r="113">
      <c r="A113" s="1" t="s">
        <v>46</v>
      </c>
      <c r="B113" s="1" t="s">
        <v>47</v>
      </c>
      <c r="C113" s="1" t="s">
        <v>23</v>
      </c>
      <c r="D113" s="1">
        <v>32.0</v>
      </c>
      <c r="E113" s="1">
        <v>40.0</v>
      </c>
      <c r="F113" s="1">
        <v>5.0</v>
      </c>
      <c r="G113" s="1">
        <v>5.0</v>
      </c>
      <c r="H113" s="1" t="s">
        <v>30</v>
      </c>
      <c r="I113" s="2">
        <v>45915.0</v>
      </c>
      <c r="J113" s="1">
        <v>550000.0</v>
      </c>
      <c r="K113" s="2">
        <v>45901.0</v>
      </c>
      <c r="L113" s="3" t="str">
        <f t="shared" si="1"/>
        <v>SKU-008|Tas Ransel Eiger|Fashion|32|40|5|5|SUP_FA02|2025-09-15|550000|2025-09-01</v>
      </c>
    </row>
    <row r="114">
      <c r="A114" s="1" t="s">
        <v>21</v>
      </c>
      <c r="B114" s="1" t="s">
        <v>22</v>
      </c>
      <c r="C114" s="1" t="s">
        <v>23</v>
      </c>
      <c r="D114" s="1">
        <v>28.0</v>
      </c>
      <c r="E114" s="1">
        <v>50.0</v>
      </c>
      <c r="F114" s="1">
        <v>7.0</v>
      </c>
      <c r="G114" s="1">
        <v>7.0</v>
      </c>
      <c r="H114" s="1" t="s">
        <v>24</v>
      </c>
      <c r="I114" s="2">
        <v>45939.0</v>
      </c>
      <c r="J114" s="1">
        <v>350000.0</v>
      </c>
      <c r="K114" s="2">
        <v>45931.0</v>
      </c>
      <c r="L114" s="3" t="str">
        <f t="shared" si="1"/>
        <v>SKU-005|Kemeja Formal Pria|Fashion|28|50|7|7|SUP_FA01|2025-10-09|350000|2025-10-01</v>
      </c>
    </row>
    <row r="115">
      <c r="A115" s="1" t="s">
        <v>60</v>
      </c>
      <c r="B115" s="1" t="s">
        <v>61</v>
      </c>
      <c r="C115" s="1" t="s">
        <v>17</v>
      </c>
      <c r="D115" s="1">
        <v>0.0</v>
      </c>
      <c r="E115" s="1">
        <v>20.0</v>
      </c>
      <c r="F115" s="1">
        <v>1.0</v>
      </c>
      <c r="G115" s="1">
        <v>23.0</v>
      </c>
      <c r="H115" s="1" t="s">
        <v>27</v>
      </c>
      <c r="I115" s="2">
        <v>45689.0</v>
      </c>
      <c r="J115" s="1">
        <v>3200000.0</v>
      </c>
      <c r="K115" s="2">
        <v>45689.0</v>
      </c>
      <c r="L115" s="3" t="str">
        <f t="shared" si="1"/>
        <v>SKU-003|Headphone Sony WH-1000|Electronics|0|20|1|23|SUP_EL02|2025-02-01|3200000|2025-02-01</v>
      </c>
    </row>
    <row r="116">
      <c r="A116" s="1" t="s">
        <v>31</v>
      </c>
      <c r="B116" s="1" t="s">
        <v>32</v>
      </c>
      <c r="C116" s="1" t="s">
        <v>13</v>
      </c>
      <c r="D116" s="1">
        <v>221.0</v>
      </c>
      <c r="E116" s="1">
        <v>40.0</v>
      </c>
      <c r="F116" s="1">
        <v>2.0</v>
      </c>
      <c r="G116" s="1">
        <v>5.0</v>
      </c>
      <c r="H116" s="1" t="s">
        <v>33</v>
      </c>
      <c r="I116" s="2">
        <v>45791.0</v>
      </c>
      <c r="J116" s="1">
        <v>550000.0</v>
      </c>
      <c r="K116" s="2">
        <v>45778.0</v>
      </c>
      <c r="L116" s="3" t="str">
        <f t="shared" si="1"/>
        <v>SKU-013|Skincare Set Whitelab|Beauty|221|40|2|5|SUP_BT01|2025-05-14|550000|2025-05-01</v>
      </c>
    </row>
    <row r="117">
      <c r="A117" s="1" t="s">
        <v>40</v>
      </c>
      <c r="B117" s="1" t="s">
        <v>41</v>
      </c>
      <c r="C117" s="1" t="s">
        <v>42</v>
      </c>
      <c r="D117" s="1">
        <v>22.0</v>
      </c>
      <c r="E117" s="1">
        <v>15.0</v>
      </c>
      <c r="F117" s="1">
        <v>3.0</v>
      </c>
      <c r="G117" s="1">
        <v>4.0</v>
      </c>
      <c r="H117" s="1" t="s">
        <v>43</v>
      </c>
      <c r="I117" s="2">
        <v>45919.0</v>
      </c>
      <c r="J117" s="1">
        <v>1200000.0</v>
      </c>
      <c r="K117" s="2">
        <v>45901.0</v>
      </c>
      <c r="L117" s="3" t="str">
        <f t="shared" si="1"/>
        <v>SKU-011|Vacuum Cleaner Deerma|Home &amp; Living|22|15|3|4|SUP_HM02|2025-09-19|1200000|2025-09-01</v>
      </c>
    </row>
    <row r="118">
      <c r="A118" s="1" t="s">
        <v>11</v>
      </c>
      <c r="B118" s="1" t="s">
        <v>12</v>
      </c>
      <c r="C118" s="1" t="s">
        <v>13</v>
      </c>
      <c r="D118" s="1">
        <v>185.0</v>
      </c>
      <c r="E118" s="1">
        <v>50.0</v>
      </c>
      <c r="F118" s="1">
        <v>2.0</v>
      </c>
      <c r="G118" s="1">
        <v>8.0</v>
      </c>
      <c r="H118" s="1" t="s">
        <v>14</v>
      </c>
      <c r="I118" s="2">
        <v>46078.0</v>
      </c>
      <c r="J118" s="1">
        <v>125000.0</v>
      </c>
      <c r="K118" s="2">
        <v>46054.0</v>
      </c>
      <c r="L118" s="3" t="str">
        <f t="shared" si="1"/>
        <v>SKU-016|Parfum EDT Brasov 100ml|Beauty|185|50|2|8|SUP_BT02|2026-02-25|125000|2026-02-01</v>
      </c>
    </row>
    <row r="119">
      <c r="A119" s="1" t="s">
        <v>64</v>
      </c>
      <c r="B119" s="1" t="s">
        <v>65</v>
      </c>
      <c r="C119" s="1" t="s">
        <v>42</v>
      </c>
      <c r="D119" s="1">
        <v>32.0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45865.0</v>
      </c>
      <c r="J119" s="1">
        <v>750000.0</v>
      </c>
      <c r="K119" s="2">
        <v>45839.0</v>
      </c>
      <c r="L119" s="3" t="str">
        <f t="shared" si="1"/>
        <v>SKU-009|Blender Philips HR2157|Home &amp; Living|32|20|2|10|SUP_HM01|2025-07-27|750000|2025-07-01</v>
      </c>
    </row>
    <row r="120">
      <c r="A120" s="1" t="s">
        <v>25</v>
      </c>
      <c r="B120" s="1" t="s">
        <v>26</v>
      </c>
      <c r="C120" s="1" t="s">
        <v>17</v>
      </c>
      <c r="D120" s="1">
        <v>32.0</v>
      </c>
      <c r="E120" s="1">
        <v>25.0</v>
      </c>
      <c r="F120" s="1">
        <v>3.0</v>
      </c>
      <c r="G120" s="1">
        <v>8.0</v>
      </c>
      <c r="H120" s="1" t="s">
        <v>27</v>
      </c>
      <c r="I120" s="2">
        <v>45755.0</v>
      </c>
      <c r="J120" s="1">
        <v>4500000.0</v>
      </c>
      <c r="K120" s="2">
        <v>45748.0</v>
      </c>
      <c r="L120" s="3" t="str">
        <f t="shared" si="1"/>
        <v>SKU-002|Smartphone Samsung A54|Electronics|32|25|3|8|SUP_EL02|2025-04-08|4500000|2025-04-01</v>
      </c>
    </row>
    <row r="121">
      <c r="A121" s="1" t="s">
        <v>48</v>
      </c>
      <c r="B121" s="1" t="s">
        <v>49</v>
      </c>
      <c r="C121" s="1" t="s">
        <v>36</v>
      </c>
      <c r="D121" s="1">
        <v>154.0</v>
      </c>
      <c r="E121" s="1">
        <v>120.0</v>
      </c>
      <c r="F121" s="1">
        <v>19.0</v>
      </c>
      <c r="G121" s="1">
        <v>6.0</v>
      </c>
      <c r="H121" s="1" t="s">
        <v>50</v>
      </c>
      <c r="I121" s="2">
        <v>45978.0</v>
      </c>
      <c r="J121" s="1">
        <v>55000.0</v>
      </c>
      <c r="K121" s="2">
        <v>45962.0</v>
      </c>
      <c r="L121" s="3" t="str">
        <f t="shared" si="1"/>
        <v>SKU-020|Snack Granola Mix 500g|Food &amp; Beverage|154|120|19|6|SUP_FB02|2025-11-17|55000|2025-11-01</v>
      </c>
    </row>
    <row r="122">
      <c r="A122" s="1" t="s">
        <v>28</v>
      </c>
      <c r="B122" s="1" t="s">
        <v>29</v>
      </c>
      <c r="C122" s="1" t="s">
        <v>23</v>
      </c>
      <c r="D122" s="1">
        <v>18.0</v>
      </c>
      <c r="E122" s="1">
        <v>35.0</v>
      </c>
      <c r="F122" s="1">
        <v>7.0</v>
      </c>
      <c r="G122" s="1">
        <v>5.0</v>
      </c>
      <c r="H122" s="1" t="s">
        <v>30</v>
      </c>
      <c r="I122" s="2">
        <v>45859.0</v>
      </c>
      <c r="J122" s="1">
        <v>1250000.0</v>
      </c>
      <c r="K122" s="2">
        <v>45839.0</v>
      </c>
      <c r="L122" s="3" t="str">
        <f t="shared" si="1"/>
        <v>SKU-007|Sepatu Sneakers Nike|Fashion|18|35|7|5|SUP_FA02|2025-07-21|1250000|2025-07-01</v>
      </c>
    </row>
    <row r="123">
      <c r="A123" s="1" t="s">
        <v>57</v>
      </c>
      <c r="B123" s="1" t="s">
        <v>58</v>
      </c>
      <c r="C123" s="1" t="s">
        <v>42</v>
      </c>
      <c r="D123" s="1">
        <v>14.0</v>
      </c>
      <c r="E123" s="1">
        <v>25.0</v>
      </c>
      <c r="F123" s="1">
        <v>5.0</v>
      </c>
      <c r="G123" s="1">
        <v>9.0</v>
      </c>
      <c r="H123" s="1" t="s">
        <v>59</v>
      </c>
      <c r="I123" s="2">
        <v>45816.0</v>
      </c>
      <c r="K123" s="2">
        <v>45809.0</v>
      </c>
      <c r="L123" s="3" t="str">
        <f t="shared" si="1"/>
        <v>SKU-010|Rice Cooker Miyako 1.8L|Home &amp; Living|14|25|5|9|SUP_HM01|2025-06-08|2025-06-01</v>
      </c>
    </row>
    <row r="124">
      <c r="A124" s="1" t="s">
        <v>44</v>
      </c>
      <c r="B124" s="1" t="s">
        <v>45</v>
      </c>
      <c r="C124" s="1" t="s">
        <v>42</v>
      </c>
      <c r="D124" s="1">
        <v>34.0</v>
      </c>
      <c r="E124" s="1">
        <v>30.0</v>
      </c>
      <c r="F124" s="1">
        <v>5.0</v>
      </c>
      <c r="G124" s="1">
        <v>5.0</v>
      </c>
      <c r="H124" s="1" t="s">
        <v>43</v>
      </c>
      <c r="I124" s="2">
        <v>46007.0</v>
      </c>
      <c r="J124" s="1">
        <v>350000.0</v>
      </c>
      <c r="K124" s="2">
        <v>45992.0</v>
      </c>
      <c r="L124" s="3" t="str">
        <f t="shared" si="1"/>
        <v>SKU-012|Kipas Angin Cosmos 16in|Home &amp; Living|34|30|5|5|SUP_HM02|2025-12-16|350000|2025-12-01</v>
      </c>
    </row>
    <row r="125">
      <c r="A125" s="1" t="s">
        <v>38</v>
      </c>
      <c r="B125" s="1" t="s">
        <v>39</v>
      </c>
      <c r="C125" s="1" t="s">
        <v>23</v>
      </c>
      <c r="D125" s="1">
        <v>0.0</v>
      </c>
      <c r="E125" s="1">
        <v>45.0</v>
      </c>
      <c r="F125" s="1">
        <v>13.0</v>
      </c>
      <c r="G125" s="1">
        <v>7.0</v>
      </c>
      <c r="H125" s="1" t="s">
        <v>24</v>
      </c>
      <c r="I125" s="2">
        <v>46015.0</v>
      </c>
      <c r="J125" s="1">
        <v>450000.0</v>
      </c>
      <c r="K125" s="2">
        <v>45992.0</v>
      </c>
      <c r="L125" s="3" t="str">
        <f t="shared" si="1"/>
        <v>SKU-006|Dress Casual Wanita|Fashion|0|45|13|7|SUP_FA01|2025-12-24|450000|2025-12-01</v>
      </c>
    </row>
    <row r="126">
      <c r="A126" s="1" t="s">
        <v>34</v>
      </c>
      <c r="B126" s="1" t="s">
        <v>35</v>
      </c>
      <c r="C126" s="1" t="s">
        <v>36</v>
      </c>
      <c r="D126" s="1">
        <v>17.0</v>
      </c>
      <c r="E126" s="1">
        <v>80.0</v>
      </c>
      <c r="F126" s="1">
        <v>11.0</v>
      </c>
      <c r="G126" s="1">
        <v>5.0</v>
      </c>
      <c r="H126" s="1" t="s">
        <v>37</v>
      </c>
      <c r="I126" s="2">
        <v>45882.0</v>
      </c>
      <c r="J126" s="1">
        <v>65000.0</v>
      </c>
      <c r="K126" s="2">
        <v>45870.0</v>
      </c>
      <c r="L126" s="3" t="str">
        <f t="shared" si="1"/>
        <v>SKU-018|Teh Organik Premium Box|Food &amp; Beverage|17|80|11|5|SUP_FB01|2025-08-13|65000|2025-08-01</v>
      </c>
    </row>
    <row r="127">
      <c r="A127" s="1" t="s">
        <v>51</v>
      </c>
      <c r="B127" s="1" t="s">
        <v>52</v>
      </c>
      <c r="C127" s="1" t="s">
        <v>36</v>
      </c>
      <c r="D127" s="1">
        <v>0.0</v>
      </c>
      <c r="E127" s="1">
        <v>60.0</v>
      </c>
      <c r="F127" s="1">
        <v>14.0</v>
      </c>
      <c r="G127" s="1">
        <v>4.0</v>
      </c>
      <c r="H127" s="1" t="s">
        <v>50</v>
      </c>
      <c r="I127" s="2">
        <v>45741.0</v>
      </c>
      <c r="J127" s="1">
        <v>175000.0</v>
      </c>
      <c r="K127" s="2">
        <v>45717.0</v>
      </c>
      <c r="L127" s="3" t="str">
        <f t="shared" si="1"/>
        <v>SKU-019|Madu Hutan Asli 500ml|Food &amp; Beverage|0|60|14|4|SUP_FB02|2025-03-25|175000|2025-03-01</v>
      </c>
    </row>
    <row r="128">
      <c r="A128" s="1" t="s">
        <v>40</v>
      </c>
      <c r="B128" s="1" t="s">
        <v>41</v>
      </c>
      <c r="C128" s="1" t="s">
        <v>42</v>
      </c>
      <c r="D128" s="1">
        <v>13.0</v>
      </c>
      <c r="E128" s="1">
        <v>15.0</v>
      </c>
      <c r="F128" s="1">
        <v>2.0</v>
      </c>
      <c r="G128" s="1">
        <v>7.0</v>
      </c>
      <c r="H128" s="1" t="s">
        <v>43</v>
      </c>
      <c r="I128" s="2">
        <v>45799.0</v>
      </c>
      <c r="J128" s="1">
        <v>1200000.0</v>
      </c>
      <c r="K128" s="2">
        <v>45778.0</v>
      </c>
      <c r="L128" s="3" t="str">
        <f t="shared" si="1"/>
        <v>SKU-011|Vacuum Cleaner Deerma|Home &amp; Living|13|15|2|7|SUP_HM02|2025-05-22|1200000|2025-05-01</v>
      </c>
    </row>
    <row r="129">
      <c r="A129" s="1" t="s">
        <v>34</v>
      </c>
      <c r="B129" s="1" t="s">
        <v>35</v>
      </c>
      <c r="C129" s="1" t="s">
        <v>36</v>
      </c>
      <c r="D129" s="1">
        <v>9.0</v>
      </c>
      <c r="E129" s="1">
        <v>80.0</v>
      </c>
      <c r="F129" s="1">
        <v>11.0</v>
      </c>
      <c r="G129" s="1">
        <v>4.0</v>
      </c>
      <c r="H129" s="1" t="s">
        <v>37</v>
      </c>
      <c r="I129" s="2">
        <v>46077.0</v>
      </c>
      <c r="J129" s="1">
        <v>65000.0</v>
      </c>
      <c r="K129" s="2">
        <v>46054.0</v>
      </c>
      <c r="L129" s="3" t="str">
        <f t="shared" si="1"/>
        <v>SKU-018|Teh Organik Premium Box|Food &amp; Beverage|9|80|11|4|SUP_FB01|2026-02-24|65000|2026-02-01</v>
      </c>
    </row>
    <row r="130">
      <c r="A130" s="1" t="s">
        <v>53</v>
      </c>
      <c r="B130" s="1" t="s">
        <v>54</v>
      </c>
      <c r="C130" s="1" t="s">
        <v>13</v>
      </c>
      <c r="D130" s="1">
        <v>202.0</v>
      </c>
      <c r="E130" s="1">
        <v>60.0</v>
      </c>
      <c r="F130" s="1">
        <v>2.0</v>
      </c>
      <c r="G130" s="1">
        <v>4.0</v>
      </c>
      <c r="H130" s="1" t="s">
        <v>14</v>
      </c>
      <c r="I130" s="2">
        <v>46019.0</v>
      </c>
      <c r="J130" s="1">
        <v>165000.0</v>
      </c>
      <c r="K130" s="2">
        <v>45992.0</v>
      </c>
      <c r="L130" s="3" t="str">
        <f t="shared" si="1"/>
        <v>SKU-015|Foundation Maybelline Fit|Beauty|202|60|2|4|SUP_BT02|2025-12-28|165000|2025-12-01</v>
      </c>
    </row>
    <row r="131">
      <c r="A131" s="1" t="s">
        <v>53</v>
      </c>
      <c r="B131" s="1" t="s">
        <v>54</v>
      </c>
      <c r="C131" s="1" t="s">
        <v>13</v>
      </c>
      <c r="D131" s="1">
        <v>252.0</v>
      </c>
      <c r="E131" s="1">
        <v>60.0</v>
      </c>
      <c r="F131" s="1">
        <v>4.0</v>
      </c>
      <c r="G131" s="1">
        <v>7.0</v>
      </c>
      <c r="H131" s="1" t="s">
        <v>14</v>
      </c>
      <c r="I131" s="2">
        <v>45930.0</v>
      </c>
      <c r="J131" s="1">
        <v>165000.0</v>
      </c>
      <c r="K131" s="2">
        <v>45901.0</v>
      </c>
      <c r="L131" s="3" t="str">
        <f t="shared" si="1"/>
        <v>SKU-015|Foundation Maybelline Fit|Beauty|252|60|4|7|SUP_BT02|2025-09-30|165000|2025-09-01</v>
      </c>
    </row>
    <row r="132">
      <c r="A132" s="1" t="s">
        <v>64</v>
      </c>
      <c r="B132" s="1" t="s">
        <v>65</v>
      </c>
      <c r="C132" s="1" t="s">
        <v>42</v>
      </c>
      <c r="D132" s="1">
        <v>20.0</v>
      </c>
      <c r="E132" s="1">
        <v>20.0</v>
      </c>
      <c r="F132" s="1">
        <v>2.0</v>
      </c>
      <c r="G132" s="1">
        <v>7.0</v>
      </c>
      <c r="H132" s="1" t="s">
        <v>59</v>
      </c>
      <c r="I132" s="2">
        <v>46027.0</v>
      </c>
      <c r="J132" s="1">
        <v>750000.0</v>
      </c>
      <c r="K132" s="2">
        <v>46023.0</v>
      </c>
      <c r="L132" s="3" t="str">
        <f t="shared" si="1"/>
        <v>SKU-009|Blender Philips HR2157|Home &amp; Living|20|20|2|7|SUP_HM01|2026-01-05|750000|2026-01-01</v>
      </c>
    </row>
    <row r="133">
      <c r="A133" s="1" t="s">
        <v>31</v>
      </c>
      <c r="B133" s="1" t="s">
        <v>32</v>
      </c>
      <c r="C133" s="1" t="s">
        <v>13</v>
      </c>
      <c r="D133" s="1">
        <v>153.0</v>
      </c>
      <c r="E133" s="1">
        <v>40.0</v>
      </c>
      <c r="F133" s="1">
        <v>4.0</v>
      </c>
      <c r="G133" s="1">
        <v>5.0</v>
      </c>
      <c r="H133" s="1" t="s">
        <v>33</v>
      </c>
      <c r="I133" s="2">
        <v>46097.0</v>
      </c>
      <c r="J133" s="1">
        <v>550000.0</v>
      </c>
      <c r="K133" s="2">
        <v>46082.0</v>
      </c>
      <c r="L133" s="3" t="str">
        <f t="shared" si="1"/>
        <v>SKU-013|Skincare Set Whitelab|Beauty|153|40|4|5|SUP_BT01|2026-03-16|550000|2026-03-01</v>
      </c>
    </row>
    <row r="134">
      <c r="A134" s="1" t="s">
        <v>57</v>
      </c>
      <c r="B134" s="1" t="s">
        <v>58</v>
      </c>
      <c r="C134" s="1" t="s">
        <v>42</v>
      </c>
      <c r="D134" s="1">
        <v>41.0</v>
      </c>
      <c r="E134" s="1">
        <v>25.0</v>
      </c>
      <c r="F134" s="1">
        <v>4.0</v>
      </c>
      <c r="G134" s="1">
        <v>10.0</v>
      </c>
      <c r="H134" s="1" t="s">
        <v>59</v>
      </c>
      <c r="I134" s="2">
        <v>45801.0</v>
      </c>
      <c r="J134" s="1">
        <v>450000.0</v>
      </c>
      <c r="K134" s="2">
        <v>45778.0</v>
      </c>
      <c r="L134" s="3" t="str">
        <f t="shared" si="1"/>
        <v>SKU-010|Rice Cooker Miyako 1.8L|Home &amp; Living|41|25|4|10|SUP_HM01|2025-05-24|450000|2025-05-01</v>
      </c>
    </row>
    <row r="135">
      <c r="A135" s="1" t="s">
        <v>62</v>
      </c>
      <c r="B135" s="1" t="s">
        <v>63</v>
      </c>
      <c r="C135" s="1" t="s">
        <v>13</v>
      </c>
      <c r="D135" s="1">
        <v>405.0</v>
      </c>
      <c r="E135" s="1">
        <v>80.0</v>
      </c>
      <c r="G135" s="1">
        <v>5.0</v>
      </c>
      <c r="H135" s="1" t="s">
        <v>33</v>
      </c>
      <c r="I135" s="2">
        <v>45663.0</v>
      </c>
      <c r="J135" s="1">
        <v>85000.0</v>
      </c>
      <c r="K135" s="2">
        <v>45658.0</v>
      </c>
      <c r="L135" s="3" t="str">
        <f t="shared" si="1"/>
        <v>SKU-014|Lipstik Matte Wardah|Beauty|405|80|5|SUP_BT01|2025-01-06|85000|2025-01-01</v>
      </c>
    </row>
    <row r="136">
      <c r="A136" s="1" t="s">
        <v>64</v>
      </c>
      <c r="B136" s="1" t="s">
        <v>65</v>
      </c>
      <c r="C136" s="1" t="s">
        <v>42</v>
      </c>
      <c r="D136" s="1">
        <v>32.0</v>
      </c>
      <c r="E136" s="1">
        <v>20.0</v>
      </c>
      <c r="F136" s="1">
        <v>1.0</v>
      </c>
      <c r="G136" s="1">
        <v>8.0</v>
      </c>
      <c r="H136" s="1" t="s">
        <v>59</v>
      </c>
      <c r="I136" s="2">
        <v>45955.0</v>
      </c>
      <c r="J136" s="1">
        <v>750000.0</v>
      </c>
      <c r="K136" s="2">
        <v>45931.0</v>
      </c>
      <c r="L136" s="3" t="str">
        <f t="shared" si="1"/>
        <v>SKU-009|Blender Philips HR2157|Home &amp; Living|32|20|1|8|SUP_HM01|2025-10-25|750000|2025-10-01</v>
      </c>
    </row>
    <row r="137">
      <c r="A137" s="1" t="s">
        <v>60</v>
      </c>
      <c r="B137" s="1" t="s">
        <v>61</v>
      </c>
      <c r="C137" s="1" t="s">
        <v>17</v>
      </c>
      <c r="D137" s="1">
        <v>0.0</v>
      </c>
      <c r="E137" s="1">
        <v>20.0</v>
      </c>
      <c r="F137" s="1">
        <v>3.0</v>
      </c>
      <c r="G137" s="1">
        <v>7.0</v>
      </c>
      <c r="H137" s="1" t="s">
        <v>27</v>
      </c>
      <c r="I137" s="2">
        <v>45919.0</v>
      </c>
      <c r="J137" s="1">
        <v>3200000.0</v>
      </c>
      <c r="K137" s="2">
        <v>45901.0</v>
      </c>
      <c r="L137" s="3" t="str">
        <f t="shared" si="1"/>
        <v>SKU-003|Headphone Sony WH-1000|Electronics|0|20|3|7|SUP_EL02|2025-09-19|3200000|2025-09-01</v>
      </c>
    </row>
    <row r="138">
      <c r="A138" s="1" t="s">
        <v>62</v>
      </c>
      <c r="B138" s="1" t="s">
        <v>63</v>
      </c>
      <c r="C138" s="1" t="s">
        <v>13</v>
      </c>
      <c r="D138" s="1">
        <v>255.0</v>
      </c>
      <c r="E138" s="1">
        <v>80.0</v>
      </c>
      <c r="F138" s="1">
        <v>4.0</v>
      </c>
      <c r="G138" s="1">
        <v>6.0</v>
      </c>
      <c r="H138" s="1" t="s">
        <v>33</v>
      </c>
      <c r="I138" s="2">
        <v>46001.0</v>
      </c>
      <c r="J138" s="1">
        <v>85000.0</v>
      </c>
      <c r="K138" s="2">
        <v>45992.0</v>
      </c>
      <c r="L138" s="3" t="str">
        <f t="shared" si="1"/>
        <v>SKU-014|Lipstik Matte Wardah|Beauty|255|80|4|6|SUP_BT01|2025-12-10|85000|2025-12-01</v>
      </c>
    </row>
    <row r="139">
      <c r="A139" s="1" t="s">
        <v>31</v>
      </c>
      <c r="B139" s="1" t="s">
        <v>32</v>
      </c>
      <c r="C139" s="1" t="s">
        <v>13</v>
      </c>
      <c r="D139" s="1">
        <v>168.0</v>
      </c>
      <c r="E139" s="1">
        <v>40.0</v>
      </c>
      <c r="F139" s="1">
        <v>3.0</v>
      </c>
      <c r="G139" s="1">
        <v>5.0</v>
      </c>
      <c r="H139" s="1" t="s">
        <v>33</v>
      </c>
      <c r="I139" s="2">
        <v>45709.0</v>
      </c>
      <c r="J139" s="1">
        <v>550000.0</v>
      </c>
      <c r="K139" s="2">
        <v>45689.0</v>
      </c>
      <c r="L139" s="3" t="str">
        <f t="shared" si="1"/>
        <v>SKU-013|Skincare Set Whitelab|Beauty|168|40|3|5|SUP_BT01|2025-02-21|550000|2025-02-01</v>
      </c>
    </row>
    <row r="140">
      <c r="A140" s="1" t="s">
        <v>57</v>
      </c>
      <c r="B140" s="1" t="s">
        <v>58</v>
      </c>
      <c r="C140" s="1" t="s">
        <v>42</v>
      </c>
      <c r="D140" s="1">
        <v>58.0</v>
      </c>
      <c r="E140" s="1">
        <v>25.0</v>
      </c>
      <c r="F140" s="1">
        <v>1.0</v>
      </c>
      <c r="G140" s="1">
        <v>10.0</v>
      </c>
      <c r="H140" s="1" t="s">
        <v>59</v>
      </c>
      <c r="I140" s="2">
        <v>45952.0</v>
      </c>
      <c r="J140" s="1">
        <v>450000.0</v>
      </c>
      <c r="K140" s="2">
        <v>45931.0</v>
      </c>
      <c r="L140" s="3" t="str">
        <f t="shared" si="1"/>
        <v>SKU-010|Rice Cooker Miyako 1.8L|Home &amp; Living|58|25|1|10|SUP_HM01|2025-10-22|450000|2025-10-01</v>
      </c>
    </row>
    <row r="141">
      <c r="A141" s="1" t="s">
        <v>46</v>
      </c>
      <c r="B141" s="1" t="s">
        <v>47</v>
      </c>
      <c r="C141" s="1" t="s">
        <v>23</v>
      </c>
      <c r="D141" s="1">
        <v>42.0</v>
      </c>
      <c r="E141" s="1">
        <v>40.0</v>
      </c>
      <c r="F141" s="1">
        <v>4.0</v>
      </c>
      <c r="G141" s="1">
        <v>7.0</v>
      </c>
      <c r="H141" s="1" t="s">
        <v>30</v>
      </c>
      <c r="I141" s="2">
        <v>45889.0</v>
      </c>
      <c r="J141" s="1">
        <v>550000.0</v>
      </c>
      <c r="K141" s="2">
        <v>45870.0</v>
      </c>
      <c r="L141" s="3" t="str">
        <f t="shared" si="1"/>
        <v>SKU-008|Tas Ransel Eiger|Fashion|42|40|4|7|SUP_FA02|2025-08-20|550000|2025-08-01</v>
      </c>
    </row>
    <row r="142">
      <c r="A142" s="1" t="s">
        <v>44</v>
      </c>
      <c r="B142" s="1" t="s">
        <v>45</v>
      </c>
      <c r="C142" s="1" t="s">
        <v>42</v>
      </c>
      <c r="D142" s="1">
        <v>35.0</v>
      </c>
      <c r="E142" s="1">
        <v>30.0</v>
      </c>
      <c r="F142" s="1">
        <v>5.0</v>
      </c>
      <c r="G142" s="1">
        <v>6.0</v>
      </c>
      <c r="H142" s="1" t="s">
        <v>43</v>
      </c>
      <c r="I142" s="2">
        <v>46048.0</v>
      </c>
      <c r="J142" s="1">
        <v>350000.0</v>
      </c>
      <c r="K142" s="2">
        <v>46023.0</v>
      </c>
      <c r="L142" s="3" t="str">
        <f t="shared" si="1"/>
        <v>SKU-012|Kipas Angin Cosmos 16in|Home &amp; Living|35|30|5|6|SUP_HM02|2026-01-26|350000|2026-01-01</v>
      </c>
    </row>
    <row r="143">
      <c r="A143" s="1" t="s">
        <v>46</v>
      </c>
      <c r="B143" s="1" t="s">
        <v>47</v>
      </c>
      <c r="C143" s="1" t="s">
        <v>23</v>
      </c>
      <c r="D143" s="1">
        <v>36.0</v>
      </c>
      <c r="E143" s="1">
        <v>40.0</v>
      </c>
      <c r="F143" s="1">
        <v>6.0</v>
      </c>
      <c r="G143" s="1">
        <v>4.0</v>
      </c>
      <c r="H143" s="1" t="s">
        <v>30</v>
      </c>
      <c r="I143" s="2">
        <v>46044.0</v>
      </c>
      <c r="J143" s="1">
        <v>550000.0</v>
      </c>
      <c r="K143" s="2">
        <v>46023.0</v>
      </c>
      <c r="L143" s="3" t="str">
        <f t="shared" si="1"/>
        <v>SKU-008|Tas Ransel Eiger|Fashion|36|40|6|4|SUP_FA02|2026-01-22|550000|2026-01-01</v>
      </c>
    </row>
    <row r="144">
      <c r="A144" s="1" t="s">
        <v>48</v>
      </c>
      <c r="B144" s="1" t="s">
        <v>49</v>
      </c>
      <c r="C144" s="1" t="s">
        <v>36</v>
      </c>
      <c r="D144" s="1">
        <v>87.0</v>
      </c>
      <c r="E144" s="1">
        <v>120.0</v>
      </c>
      <c r="F144" s="1">
        <v>18.0</v>
      </c>
      <c r="G144" s="1">
        <v>7.0</v>
      </c>
      <c r="H144" s="1" t="s">
        <v>50</v>
      </c>
      <c r="I144" s="2">
        <v>45748.0</v>
      </c>
      <c r="J144" s="1">
        <v>55000.0</v>
      </c>
      <c r="K144" s="2">
        <v>45748.0</v>
      </c>
      <c r="L144" s="3" t="str">
        <f t="shared" si="1"/>
        <v>SKU-020|Snack Granola Mix 500g|Food &amp; Beverage|87|120|18|7|SUP_FB02|2025-04-01|55000|2025-04-01</v>
      </c>
    </row>
    <row r="145">
      <c r="A145" s="1" t="s">
        <v>51</v>
      </c>
      <c r="B145" s="1" t="s">
        <v>52</v>
      </c>
      <c r="C145" s="1" t="s">
        <v>36</v>
      </c>
      <c r="D145" s="1">
        <v>35.0</v>
      </c>
      <c r="E145" s="1">
        <v>60.0</v>
      </c>
      <c r="F145" s="1">
        <v>6.0</v>
      </c>
      <c r="G145" s="1">
        <v>7.0</v>
      </c>
      <c r="H145" s="1" t="s">
        <v>50</v>
      </c>
      <c r="I145" s="2">
        <v>46221.0</v>
      </c>
      <c r="J145" s="1">
        <v>175000.0</v>
      </c>
      <c r="K145" s="2">
        <v>46023.0</v>
      </c>
      <c r="L145" s="3" t="str">
        <f t="shared" si="1"/>
        <v>SKU-019|Madu Hutan Asli 500ml|Food &amp; Beverage|35|60|6|7|SUP_FB02|2026-07-18|175000|2026-01-01</v>
      </c>
    </row>
    <row r="146">
      <c r="A146" s="1" t="s">
        <v>40</v>
      </c>
      <c r="B146" s="1" t="s">
        <v>41</v>
      </c>
      <c r="C146" s="1" t="s">
        <v>42</v>
      </c>
      <c r="D146" s="1">
        <v>32.0</v>
      </c>
      <c r="E146" s="1">
        <v>15.0</v>
      </c>
      <c r="F146" s="1">
        <v>1.0</v>
      </c>
      <c r="G146" s="1">
        <v>8.0</v>
      </c>
      <c r="H146" s="1" t="s">
        <v>43</v>
      </c>
      <c r="I146" s="2">
        <v>46079.0</v>
      </c>
      <c r="J146" s="1">
        <v>1200000.0</v>
      </c>
      <c r="K146" s="2">
        <v>46054.0</v>
      </c>
      <c r="L146" s="3" t="str">
        <f t="shared" si="1"/>
        <v>SKU-011|Vacuum Cleaner Deerma|Home &amp; Living|32|15|1|8|SUP_HM02|2026-02-26|1200000|2026-02-01</v>
      </c>
    </row>
    <row r="147">
      <c r="A147" s="1" t="s">
        <v>31</v>
      </c>
      <c r="B147" s="1" t="s">
        <v>32</v>
      </c>
      <c r="C147" s="1" t="s">
        <v>13</v>
      </c>
      <c r="D147" s="1">
        <v>139.0</v>
      </c>
      <c r="E147" s="1">
        <v>40.0</v>
      </c>
      <c r="F147" s="1">
        <v>2.0</v>
      </c>
      <c r="G147" s="1">
        <v>6.0</v>
      </c>
      <c r="H147" s="1" t="s">
        <v>33</v>
      </c>
      <c r="I147" s="2">
        <v>45845.0</v>
      </c>
      <c r="J147" s="1">
        <v>550000.0</v>
      </c>
      <c r="K147" s="2">
        <v>45839.0</v>
      </c>
      <c r="L147" s="3" t="str">
        <f t="shared" si="1"/>
        <v>SKU-013|Skincare Set Whitelab|Beauty|139|40|2|6|SUP_BT01|2025-07-07|550000|2025-07-01</v>
      </c>
    </row>
    <row r="148">
      <c r="A148" s="1" t="s">
        <v>31</v>
      </c>
      <c r="B148" s="1" t="s">
        <v>32</v>
      </c>
      <c r="C148" s="1" t="s">
        <v>13</v>
      </c>
      <c r="D148" s="1">
        <v>169.0</v>
      </c>
      <c r="E148" s="1">
        <v>40.0</v>
      </c>
      <c r="F148" s="1">
        <v>3.0</v>
      </c>
      <c r="G148" s="1">
        <v>4.0</v>
      </c>
      <c r="H148" s="1" t="s">
        <v>33</v>
      </c>
      <c r="I148" s="2">
        <v>46074.0</v>
      </c>
      <c r="J148" s="1">
        <v>550000.0</v>
      </c>
      <c r="K148" s="2">
        <v>46054.0</v>
      </c>
      <c r="L148" s="3" t="str">
        <f t="shared" si="1"/>
        <v>SKU-013|Skincare Set Whitelab|Beauty|169|40|3|4|SUP_BT01|2026-02-21|550000|2026-02-01</v>
      </c>
    </row>
    <row r="149">
      <c r="A149" s="1" t="s">
        <v>15</v>
      </c>
      <c r="B149" s="1" t="s">
        <v>16</v>
      </c>
      <c r="C149" s="1" t="s">
        <v>17</v>
      </c>
      <c r="D149" s="1">
        <v>25.0</v>
      </c>
      <c r="E149" s="1">
        <v>15.0</v>
      </c>
      <c r="F149" s="1">
        <v>2.0</v>
      </c>
      <c r="G149" s="1">
        <v>8.0</v>
      </c>
      <c r="H149" s="1" t="s">
        <v>18</v>
      </c>
      <c r="I149" s="2">
        <v>45718.0</v>
      </c>
      <c r="J149" s="1">
        <v>8500000.0</v>
      </c>
      <c r="K149" s="2">
        <v>45717.0</v>
      </c>
      <c r="L149" s="3" t="str">
        <f t="shared" si="1"/>
        <v>SKU-001|Laptop ASUS Vivobook|Electronics|25|15|2|8|SUP_EL01|2025-03-02|8500000|2025-03-01</v>
      </c>
    </row>
    <row r="150">
      <c r="A150" s="1" t="s">
        <v>46</v>
      </c>
      <c r="B150" s="1" t="s">
        <v>47</v>
      </c>
      <c r="C150" s="1" t="s">
        <v>23</v>
      </c>
      <c r="D150" s="1">
        <v>0.0</v>
      </c>
      <c r="E150" s="1">
        <v>40.0</v>
      </c>
      <c r="F150" s="1">
        <v>8.0</v>
      </c>
      <c r="G150" s="1">
        <v>8.0</v>
      </c>
      <c r="H150" s="1" t="s">
        <v>30</v>
      </c>
      <c r="I150" s="2">
        <v>45964.0</v>
      </c>
      <c r="J150" s="1">
        <v>550000.0</v>
      </c>
      <c r="K150" s="2">
        <v>45962.0</v>
      </c>
      <c r="L150" s="3" t="str">
        <f t="shared" si="1"/>
        <v>SKU-008|Tas Ransel Eiger|Fashion|0|40|8|8|SUP_FA02|2025-11-03|550000|2025-11-01</v>
      </c>
    </row>
    <row r="151">
      <c r="A151" s="1" t="s">
        <v>21</v>
      </c>
      <c r="B151" s="1" t="s">
        <v>22</v>
      </c>
      <c r="C151" s="1" t="s">
        <v>23</v>
      </c>
      <c r="D151" s="1">
        <v>28.0</v>
      </c>
      <c r="E151" s="1">
        <v>50.0</v>
      </c>
      <c r="F151" s="1">
        <v>7.0</v>
      </c>
      <c r="G151" s="1">
        <v>7.0</v>
      </c>
      <c r="H151" s="1" t="s">
        <v>24</v>
      </c>
      <c r="I151" s="2">
        <v>45939.0</v>
      </c>
      <c r="J151" s="1">
        <v>350000.0</v>
      </c>
      <c r="K151" s="2">
        <v>45931.0</v>
      </c>
      <c r="L151" s="3" t="str">
        <f t="shared" si="1"/>
        <v>SKU-005|Kemeja Formal Pria|Fashion|28|50|7|7|SUP_FA01|2025-10-09|350000|2025-10-01</v>
      </c>
    </row>
    <row r="152">
      <c r="A152" s="1" t="s">
        <v>11</v>
      </c>
      <c r="B152" s="1" t="s">
        <v>12</v>
      </c>
      <c r="C152" s="1" t="s">
        <v>13</v>
      </c>
      <c r="D152" s="1">
        <v>230.0</v>
      </c>
      <c r="E152" s="1">
        <v>50.0</v>
      </c>
      <c r="F152" s="1">
        <v>1.0</v>
      </c>
      <c r="G152" s="1">
        <v>4.0</v>
      </c>
      <c r="H152" s="1" t="s">
        <v>14</v>
      </c>
      <c r="I152" s="2">
        <v>45939.0</v>
      </c>
      <c r="J152" s="1">
        <v>125000.0</v>
      </c>
      <c r="K152" s="2">
        <v>45931.0</v>
      </c>
      <c r="L152" s="3" t="str">
        <f t="shared" si="1"/>
        <v>SKU-016|Parfum EDT Brasov 100ml|Beauty|230|50|1|4|SUP_BT02|2025-10-09|125000|2025-10-01</v>
      </c>
    </row>
    <row r="153">
      <c r="A153" s="1" t="s">
        <v>64</v>
      </c>
      <c r="B153" s="1" t="s">
        <v>65</v>
      </c>
      <c r="C153" s="1" t="s">
        <v>42</v>
      </c>
      <c r="D153" s="1">
        <v>27.0</v>
      </c>
      <c r="E153" s="1">
        <v>20.0</v>
      </c>
      <c r="F153" s="1">
        <v>3.0</v>
      </c>
      <c r="G153" s="1">
        <v>9.0</v>
      </c>
      <c r="H153" s="1" t="s">
        <v>59</v>
      </c>
      <c r="I153" s="2">
        <v>45673.0</v>
      </c>
      <c r="J153" s="1">
        <v>750000.0</v>
      </c>
      <c r="K153" s="2">
        <v>45658.0</v>
      </c>
      <c r="L153" s="3" t="str">
        <f t="shared" si="1"/>
        <v>SKU-009|Blender Philips HR2157|Home &amp; Living|27|20|3|9|SUP_HM01|2025-01-16|750000|2025-01-01</v>
      </c>
    </row>
    <row r="154">
      <c r="A154" s="1" t="s">
        <v>53</v>
      </c>
      <c r="B154" s="1" t="s">
        <v>54</v>
      </c>
      <c r="C154" s="1" t="s">
        <v>13</v>
      </c>
      <c r="D154" s="1">
        <v>305.0</v>
      </c>
      <c r="E154" s="1">
        <v>60.0</v>
      </c>
      <c r="F154" s="1">
        <v>4.0</v>
      </c>
      <c r="G154" s="1">
        <v>4.0</v>
      </c>
      <c r="H154" s="1" t="s">
        <v>14</v>
      </c>
      <c r="I154" s="2">
        <v>46068.0</v>
      </c>
      <c r="J154" s="1">
        <v>165000.0</v>
      </c>
      <c r="K154" s="2">
        <v>46054.0</v>
      </c>
      <c r="L154" s="3" t="str">
        <f t="shared" si="1"/>
        <v>SKU-015|Foundation Maybelline Fit|Beauty|305|60|4|4|SUP_BT02|2026-02-15|165000|2026-02-01</v>
      </c>
    </row>
    <row r="155">
      <c r="A155" s="1" t="s">
        <v>34</v>
      </c>
      <c r="B155" s="1" t="s">
        <v>35</v>
      </c>
      <c r="C155" s="1" t="s">
        <v>36</v>
      </c>
      <c r="D155" s="1">
        <v>56.0</v>
      </c>
      <c r="E155" s="1">
        <v>80.0</v>
      </c>
      <c r="F155" s="1">
        <v>18.0</v>
      </c>
      <c r="G155" s="1">
        <v>5.0</v>
      </c>
      <c r="H155" s="1" t="s">
        <v>37</v>
      </c>
      <c r="I155" s="2">
        <v>46110.0</v>
      </c>
      <c r="J155" s="1">
        <v>65000.0</v>
      </c>
      <c r="K155" s="2">
        <v>46082.0</v>
      </c>
      <c r="L155" s="3" t="str">
        <f t="shared" si="1"/>
        <v>SKU-018|Teh Organik Premium Box|Food &amp; Beverage|56|80|18|5|SUP_FB01|2026-03-29|65000|2026-03-01</v>
      </c>
    </row>
    <row r="156">
      <c r="A156" s="1" t="s">
        <v>64</v>
      </c>
      <c r="B156" s="1" t="s">
        <v>65</v>
      </c>
      <c r="C156" s="1" t="s">
        <v>42</v>
      </c>
      <c r="D156" s="1">
        <v>42.0</v>
      </c>
      <c r="E156" s="1">
        <v>20.0</v>
      </c>
      <c r="F156" s="1">
        <v>1.0</v>
      </c>
      <c r="G156" s="1">
        <v>10.0</v>
      </c>
      <c r="H156" s="1" t="s">
        <v>59</v>
      </c>
      <c r="I156" s="2">
        <v>45884.0</v>
      </c>
      <c r="J156" s="1">
        <v>750000.0</v>
      </c>
      <c r="K156" s="2">
        <v>45870.0</v>
      </c>
      <c r="L156" s="3" t="str">
        <f t="shared" si="1"/>
        <v>SKU-009|Blender Philips HR2157|Home &amp; Living|42|20|1|10|SUP_HM01|2025-08-15|750000|2025-08-01</v>
      </c>
    </row>
    <row r="157">
      <c r="A157" s="1" t="s">
        <v>21</v>
      </c>
      <c r="B157" s="1" t="s">
        <v>22</v>
      </c>
      <c r="C157" s="1" t="s">
        <v>23</v>
      </c>
      <c r="D157" s="1">
        <v>0.0</v>
      </c>
      <c r="E157" s="1">
        <v>50.0</v>
      </c>
      <c r="F157" s="1">
        <v>14.0</v>
      </c>
      <c r="G157" s="1">
        <v>5.0</v>
      </c>
      <c r="H157" s="1" t="s">
        <v>24</v>
      </c>
      <c r="I157" s="2">
        <v>46101.0</v>
      </c>
      <c r="J157" s="1">
        <v>350000.0</v>
      </c>
      <c r="K157" s="2">
        <v>46082.0</v>
      </c>
      <c r="L157" s="3" t="str">
        <f t="shared" si="1"/>
        <v>SKU-005|Kemeja Formal Pria|Fashion|0|50|14|5|SUP_FA01|2026-03-20|350000|2026-03-01</v>
      </c>
    </row>
    <row r="158">
      <c r="A158" s="1" t="s">
        <v>25</v>
      </c>
      <c r="B158" s="1" t="s">
        <v>26</v>
      </c>
      <c r="C158" s="1" t="s">
        <v>17</v>
      </c>
      <c r="D158" s="1">
        <v>23.0</v>
      </c>
      <c r="E158" s="1">
        <v>25.0</v>
      </c>
      <c r="F158" s="1">
        <v>6.0</v>
      </c>
      <c r="G158" s="1">
        <v>10.0</v>
      </c>
      <c r="H158" s="1" t="s">
        <v>27</v>
      </c>
      <c r="I158" s="2">
        <v>46109.0</v>
      </c>
      <c r="J158" s="1">
        <v>4500000.0</v>
      </c>
      <c r="K158" s="2">
        <v>46082.0</v>
      </c>
      <c r="L158" s="3" t="str">
        <f t="shared" si="1"/>
        <v>SKU-002|Smartphone Samsung A54|Electronics|23|25|6|10|SUP_EL02|2026-03-28|4500000|2026-03-01</v>
      </c>
    </row>
    <row r="159">
      <c r="A159" s="1" t="s">
        <v>38</v>
      </c>
      <c r="B159" s="1" t="s">
        <v>39</v>
      </c>
      <c r="C159" s="1" t="s">
        <v>23</v>
      </c>
      <c r="D159" s="1">
        <v>17.0</v>
      </c>
      <c r="E159" s="1">
        <v>45.0</v>
      </c>
      <c r="F159" s="1">
        <v>7.0</v>
      </c>
      <c r="G159" s="1">
        <v>3.0</v>
      </c>
      <c r="H159" s="1" t="s">
        <v>24</v>
      </c>
      <c r="I159" s="2">
        <v>45910.0</v>
      </c>
      <c r="J159" s="1">
        <v>450000.0</v>
      </c>
      <c r="K159" s="2">
        <v>45901.0</v>
      </c>
      <c r="L159" s="3" t="str">
        <f t="shared" si="1"/>
        <v>SKU-006|Dress Casual Wanita|Fashion|17|45|7|3|SUP_FA01|2025-09-10|450000|2025-09-01</v>
      </c>
    </row>
    <row r="160">
      <c r="A160" s="1" t="s">
        <v>48</v>
      </c>
      <c r="B160" s="1" t="s">
        <v>49</v>
      </c>
      <c r="C160" s="1" t="s">
        <v>36</v>
      </c>
      <c r="D160" s="1">
        <v>30.0</v>
      </c>
      <c r="E160" s="1">
        <v>120.0</v>
      </c>
      <c r="F160" s="1">
        <v>18.0</v>
      </c>
      <c r="G160" s="1">
        <v>4.0</v>
      </c>
      <c r="H160" s="1" t="s">
        <v>50</v>
      </c>
      <c r="I160" s="2">
        <v>46053.0</v>
      </c>
      <c r="J160" s="1">
        <v>55000.0</v>
      </c>
      <c r="K160" s="2">
        <v>46023.0</v>
      </c>
      <c r="L160" s="3" t="str">
        <f t="shared" si="1"/>
        <v>SKU-020|Snack Granola Mix 500g|Food &amp; Beverage|30|120|18|4|SUP_FB02|2026-01-31|55000|2026-01-01</v>
      </c>
    </row>
    <row r="161">
      <c r="A161" s="1" t="s">
        <v>46</v>
      </c>
      <c r="B161" s="1" t="s">
        <v>47</v>
      </c>
      <c r="C161" s="1" t="s">
        <v>23</v>
      </c>
      <c r="D161" s="1">
        <v>0.0</v>
      </c>
      <c r="E161" s="1">
        <v>40.0</v>
      </c>
      <c r="F161" s="1">
        <v>9.0</v>
      </c>
      <c r="G161" s="1">
        <v>8.0</v>
      </c>
      <c r="H161" s="1" t="s">
        <v>30</v>
      </c>
      <c r="I161" s="2">
        <v>45730.0</v>
      </c>
      <c r="J161" s="1">
        <v>550000.0</v>
      </c>
      <c r="K161" s="2">
        <v>45717.0</v>
      </c>
      <c r="L161" s="3" t="str">
        <f t="shared" si="1"/>
        <v>SKU-008|Tas Ransel Eiger|Fashion|0|40|9|8|SUP_FA02|2025-03-14|550000|2025-03-01</v>
      </c>
    </row>
    <row r="162">
      <c r="A162" s="1" t="s">
        <v>55</v>
      </c>
      <c r="B162" s="1" t="s">
        <v>56</v>
      </c>
      <c r="C162" s="1" t="s">
        <v>36</v>
      </c>
      <c r="D162" s="1">
        <v>92.0</v>
      </c>
      <c r="E162" s="1">
        <v>100.0</v>
      </c>
      <c r="F162" s="1">
        <v>15.0</v>
      </c>
      <c r="G162" s="1">
        <v>5.0</v>
      </c>
      <c r="H162" s="1" t="s">
        <v>37</v>
      </c>
      <c r="I162" s="2">
        <v>45897.0</v>
      </c>
      <c r="J162" s="1">
        <v>85000.0</v>
      </c>
      <c r="K162" s="2">
        <v>45870.0</v>
      </c>
      <c r="L162" s="3" t="str">
        <f t="shared" si="1"/>
        <v>SKU-017|Kopi Arabika 250g Pack|Food &amp; Beverage|92|100|15|5|SUP_FB01|2025-08-28|85000|2025-08-01</v>
      </c>
    </row>
    <row r="163">
      <c r="A163" s="1" t="s">
        <v>48</v>
      </c>
      <c r="B163" s="1" t="s">
        <v>49</v>
      </c>
      <c r="C163" s="1" t="s">
        <v>36</v>
      </c>
      <c r="D163" s="1">
        <v>39.0</v>
      </c>
      <c r="E163" s="1">
        <v>120.0</v>
      </c>
      <c r="F163" s="1">
        <v>19.0</v>
      </c>
      <c r="G163" s="1">
        <v>3.0</v>
      </c>
      <c r="H163" s="1" t="s">
        <v>50</v>
      </c>
      <c r="I163" s="2">
        <v>45936.0</v>
      </c>
      <c r="J163" s="1">
        <v>55000.0</v>
      </c>
      <c r="K163" s="2">
        <v>45931.0</v>
      </c>
      <c r="L163" s="3" t="str">
        <f t="shared" si="1"/>
        <v>SKU-020|Snack Granola Mix 500g|Food &amp; Beverage|39|120|19|3|SUP_FB02|2025-10-06|55000|2025-10-01</v>
      </c>
    </row>
    <row r="164">
      <c r="A164" s="1" t="s">
        <v>64</v>
      </c>
      <c r="B164" s="1" t="s">
        <v>65</v>
      </c>
      <c r="C164" s="1" t="s">
        <v>42</v>
      </c>
      <c r="D164" s="1">
        <v>29.0</v>
      </c>
      <c r="E164" s="1">
        <v>20.0</v>
      </c>
      <c r="F164" s="1">
        <v>3.0</v>
      </c>
      <c r="G164" s="1">
        <v>9.0</v>
      </c>
      <c r="H164" s="1" t="s">
        <v>59</v>
      </c>
      <c r="I164" s="2">
        <v>46076.0</v>
      </c>
      <c r="J164" s="1">
        <v>750000.0</v>
      </c>
      <c r="K164" s="2">
        <v>46054.0</v>
      </c>
      <c r="L164" s="3" t="str">
        <f t="shared" si="1"/>
        <v>SKU-009|Blender Philips HR2157|Home &amp; Living|29|20|3|9|SUP_HM01|2026-02-23|750000|2026-02-01</v>
      </c>
    </row>
    <row r="165">
      <c r="A165" s="1" t="s">
        <v>34</v>
      </c>
      <c r="B165" s="1" t="s">
        <v>35</v>
      </c>
      <c r="C165" s="1" t="s">
        <v>36</v>
      </c>
      <c r="D165" s="1">
        <v>40.0</v>
      </c>
      <c r="E165" s="1">
        <v>80.0</v>
      </c>
      <c r="F165" s="1">
        <v>12.0</v>
      </c>
      <c r="G165" s="1">
        <v>3.0</v>
      </c>
      <c r="H165" s="1" t="s">
        <v>37</v>
      </c>
      <c r="I165" s="2">
        <v>45673.0</v>
      </c>
      <c r="J165" s="1">
        <v>65000.0</v>
      </c>
      <c r="K165" s="2">
        <v>45658.0</v>
      </c>
      <c r="L165" s="3" t="str">
        <f t="shared" si="1"/>
        <v>SKU-018|Teh Organik Premium Box|Food &amp; Beverage|40|80|12|3|SUP_FB01|2025-01-16|65000|2025-01-01</v>
      </c>
    </row>
    <row r="166">
      <c r="A166" s="1" t="s">
        <v>11</v>
      </c>
      <c r="B166" s="1" t="s">
        <v>12</v>
      </c>
      <c r="C166" s="1" t="s">
        <v>13</v>
      </c>
      <c r="D166" s="1">
        <v>261.0</v>
      </c>
      <c r="E166" s="1">
        <v>50.0</v>
      </c>
      <c r="F166" s="1">
        <v>2.0</v>
      </c>
      <c r="G166" s="1">
        <v>5.0</v>
      </c>
      <c r="H166" s="1" t="s">
        <v>14</v>
      </c>
      <c r="I166" s="2">
        <v>45787.0</v>
      </c>
      <c r="J166" s="1">
        <v>125000.0</v>
      </c>
      <c r="K166" s="2">
        <v>45778.0</v>
      </c>
      <c r="L166" s="3" t="str">
        <f t="shared" si="1"/>
        <v>SKU-016|Parfum EDT Brasov 100ml|Beauty|261|50|2|5|SUP_BT02|2025-05-10|125000|2025-05-01</v>
      </c>
    </row>
    <row r="167">
      <c r="A167" s="1" t="s">
        <v>21</v>
      </c>
      <c r="B167" s="1" t="s">
        <v>22</v>
      </c>
      <c r="C167" s="1" t="s">
        <v>23</v>
      </c>
      <c r="D167" s="1">
        <v>42.0</v>
      </c>
      <c r="E167" s="1">
        <v>50.0</v>
      </c>
      <c r="F167" s="1">
        <v>6.0</v>
      </c>
      <c r="G167" s="1">
        <v>4.0</v>
      </c>
      <c r="H167" s="1" t="s">
        <v>24</v>
      </c>
      <c r="I167" s="2">
        <v>45817.0</v>
      </c>
      <c r="J167" s="1">
        <v>350000.0</v>
      </c>
      <c r="K167" s="2">
        <v>45809.0</v>
      </c>
      <c r="L167" s="3" t="str">
        <f t="shared" si="1"/>
        <v>SKU-005|Kemeja Formal Pria|Fashion|42|50|6|4|SUP_FA01|2025-06-09|350000|2025-06-01</v>
      </c>
    </row>
    <row r="168">
      <c r="A168" s="1" t="s">
        <v>53</v>
      </c>
      <c r="B168" s="1" t="s">
        <v>54</v>
      </c>
      <c r="C168" s="1" t="s">
        <v>13</v>
      </c>
      <c r="D168" s="1">
        <v>188.0</v>
      </c>
      <c r="E168" s="1">
        <v>60.0</v>
      </c>
      <c r="F168" s="1">
        <v>3.0</v>
      </c>
      <c r="G168" s="1">
        <v>4.0</v>
      </c>
      <c r="H168" s="1" t="s">
        <v>14</v>
      </c>
      <c r="I168" s="2">
        <v>45659.0</v>
      </c>
      <c r="J168" s="1">
        <v>165000.0</v>
      </c>
      <c r="K168" s="2">
        <v>45658.0</v>
      </c>
      <c r="L168" s="3" t="str">
        <f t="shared" si="1"/>
        <v>SKU-015|Foundation Maybelline Fit|Beauty|188|60|3|4|SUP_BT02|2025-01-02|165000|2025-01-01</v>
      </c>
    </row>
    <row r="169">
      <c r="A169" s="1" t="s">
        <v>38</v>
      </c>
      <c r="B169" s="1" t="s">
        <v>39</v>
      </c>
      <c r="C169" s="1" t="s">
        <v>23</v>
      </c>
      <c r="D169" s="1">
        <v>0.0</v>
      </c>
      <c r="E169" s="1">
        <v>45.0</v>
      </c>
      <c r="F169" s="1">
        <v>12.0</v>
      </c>
      <c r="G169" s="1">
        <v>4.0</v>
      </c>
      <c r="H169" s="1" t="s">
        <v>24</v>
      </c>
      <c r="I169" s="2">
        <v>45983.0</v>
      </c>
      <c r="J169" s="1">
        <v>450000.0</v>
      </c>
      <c r="K169" s="2">
        <v>45962.0</v>
      </c>
      <c r="L169" s="3" t="str">
        <f t="shared" si="1"/>
        <v>SKU-006|Dress Casual Wanita|Fashion|0|45|12|4|SUP_FA01|2025-11-22|450000|2025-11-01</v>
      </c>
    </row>
    <row r="170">
      <c r="A170" s="1" t="s">
        <v>11</v>
      </c>
      <c r="B170" s="1" t="s">
        <v>12</v>
      </c>
      <c r="C170" s="1" t="s">
        <v>13</v>
      </c>
      <c r="D170" s="1">
        <v>252.0</v>
      </c>
      <c r="E170" s="1">
        <v>50.0</v>
      </c>
      <c r="F170" s="1">
        <v>3.0</v>
      </c>
      <c r="G170" s="1">
        <v>7.0</v>
      </c>
      <c r="H170" s="1" t="s">
        <v>14</v>
      </c>
      <c r="I170" s="2">
        <v>45713.0</v>
      </c>
      <c r="J170" s="1">
        <v>125000.0</v>
      </c>
      <c r="K170" s="2">
        <v>45689.0</v>
      </c>
      <c r="L170" s="3" t="str">
        <f t="shared" si="1"/>
        <v>SKU-016|Parfum EDT Brasov 100ml|Beauty|252|50|3|7|SUP_BT02|2025-02-25|125000|2025-02-01</v>
      </c>
    </row>
    <row r="171">
      <c r="A171" s="1" t="s">
        <v>40</v>
      </c>
      <c r="B171" s="1" t="s">
        <v>41</v>
      </c>
      <c r="C171" s="1" t="s">
        <v>42</v>
      </c>
      <c r="D171" s="1">
        <v>13.0</v>
      </c>
      <c r="E171" s="1">
        <v>15.0</v>
      </c>
      <c r="F171" s="1">
        <v>3.0</v>
      </c>
      <c r="G171" s="1">
        <v>6.0</v>
      </c>
      <c r="H171" s="1" t="s">
        <v>43</v>
      </c>
      <c r="I171" s="2">
        <v>45949.0</v>
      </c>
      <c r="J171" s="1">
        <v>1200000.0</v>
      </c>
      <c r="K171" s="2">
        <v>45931.0</v>
      </c>
      <c r="L171" s="3" t="str">
        <f t="shared" si="1"/>
        <v>SKU-011|Vacuum Cleaner Deerma|Home &amp; Living|13|15|3|6|SUP_HM02|2025-10-19|1200000|2025-10-01</v>
      </c>
    </row>
    <row r="172">
      <c r="A172" s="1" t="s">
        <v>15</v>
      </c>
      <c r="B172" s="1" t="s">
        <v>16</v>
      </c>
      <c r="C172" s="1" t="s">
        <v>17</v>
      </c>
      <c r="D172" s="1">
        <v>28.0</v>
      </c>
      <c r="E172" s="1">
        <v>15.0</v>
      </c>
      <c r="F172" s="1">
        <v>1.0</v>
      </c>
      <c r="G172" s="1">
        <v>7.0</v>
      </c>
      <c r="H172" s="1" t="s">
        <v>18</v>
      </c>
      <c r="I172" s="2">
        <v>46041.0</v>
      </c>
      <c r="J172" s="1">
        <v>8500000.0</v>
      </c>
      <c r="K172" s="2">
        <v>46023.0</v>
      </c>
      <c r="L172" s="3" t="str">
        <f t="shared" si="1"/>
        <v>SKU-001|Laptop ASUS Vivobook|Electronics|28|15|1|7|SUP_EL01|2026-01-19|8500000|2026-01-01</v>
      </c>
    </row>
    <row r="173">
      <c r="A173" s="1" t="s">
        <v>60</v>
      </c>
      <c r="B173" s="1" t="s">
        <v>61</v>
      </c>
      <c r="C173" s="1" t="s">
        <v>17</v>
      </c>
      <c r="D173" s="1">
        <v>33.0</v>
      </c>
      <c r="E173" s="1">
        <v>20.0</v>
      </c>
      <c r="F173" s="1">
        <v>1.0</v>
      </c>
      <c r="G173" s="1">
        <v>12.0</v>
      </c>
      <c r="H173" s="1" t="s">
        <v>27</v>
      </c>
      <c r="I173" s="2">
        <v>45817.0</v>
      </c>
      <c r="J173" s="1">
        <v>3200000.0</v>
      </c>
      <c r="K173" s="2">
        <v>45809.0</v>
      </c>
      <c r="L173" s="3" t="str">
        <f t="shared" si="1"/>
        <v>SKU-003|Headphone Sony WH-1000|Electronics|33|20|1|12|SUP_EL02|2025-06-09|3200000|2025-06-01</v>
      </c>
    </row>
    <row r="174">
      <c r="A174" s="1" t="s">
        <v>25</v>
      </c>
      <c r="B174" s="1" t="s">
        <v>26</v>
      </c>
      <c r="C174" s="1" t="s">
        <v>17</v>
      </c>
      <c r="D174" s="1">
        <v>15.0</v>
      </c>
      <c r="E174" s="1">
        <v>25.0</v>
      </c>
      <c r="F174" s="1">
        <v>4.0</v>
      </c>
      <c r="G174" s="1">
        <v>15.0</v>
      </c>
      <c r="H174" s="1" t="s">
        <v>27</v>
      </c>
      <c r="I174" s="2">
        <v>46070.0</v>
      </c>
      <c r="J174" s="1">
        <v>4500000.0</v>
      </c>
      <c r="K174" s="2">
        <v>46054.0</v>
      </c>
      <c r="L174" s="3" t="str">
        <f t="shared" si="1"/>
        <v>SKU-002|Smartphone Samsung A54|Electronics|15|25|4|15|SUP_EL02|2026-02-17|4500000|2026-02-01</v>
      </c>
    </row>
    <row r="175">
      <c r="A175" s="1" t="s">
        <v>44</v>
      </c>
      <c r="B175" s="1" t="s">
        <v>45</v>
      </c>
      <c r="C175" s="1" t="s">
        <v>42</v>
      </c>
      <c r="D175" s="1">
        <v>39.0</v>
      </c>
      <c r="E175" s="1">
        <v>30.0</v>
      </c>
      <c r="F175" s="1">
        <v>6.0</v>
      </c>
      <c r="G175" s="1">
        <v>10.0</v>
      </c>
      <c r="H175" s="1" t="s">
        <v>43</v>
      </c>
      <c r="I175" s="2">
        <v>45838.0</v>
      </c>
      <c r="J175" s="1">
        <v>350000.0</v>
      </c>
      <c r="K175" s="2">
        <v>45809.0</v>
      </c>
      <c r="L175" s="3" t="str">
        <f t="shared" si="1"/>
        <v>SKU-012|Kipas Angin Cosmos 16in|Home &amp; Living|39|30|6|10|SUP_HM02|2025-06-30|350000|2025-06-01</v>
      </c>
    </row>
    <row r="176">
      <c r="A176" s="1" t="s">
        <v>57</v>
      </c>
      <c r="B176" s="1" t="s">
        <v>58</v>
      </c>
      <c r="C176" s="1" t="s">
        <v>42</v>
      </c>
      <c r="D176" s="1">
        <v>43.0</v>
      </c>
      <c r="E176" s="1">
        <v>25.0</v>
      </c>
      <c r="F176" s="1">
        <v>4.0</v>
      </c>
      <c r="G176" s="1">
        <v>7.0</v>
      </c>
      <c r="H176" s="1" t="s">
        <v>59</v>
      </c>
      <c r="I176" s="2">
        <v>45896.0</v>
      </c>
      <c r="J176" s="1">
        <v>450000.0</v>
      </c>
      <c r="K176" s="2">
        <v>45870.0</v>
      </c>
      <c r="L176" s="3" t="str">
        <f t="shared" si="1"/>
        <v>SKU-010|Rice Cooker Miyako 1.8L|Home &amp; Living|43|25|4|7|SUP_HM01|2025-08-27|450000|2025-08-01</v>
      </c>
    </row>
    <row r="177">
      <c r="A177" s="1" t="s">
        <v>62</v>
      </c>
      <c r="B177" s="1" t="s">
        <v>63</v>
      </c>
      <c r="C177" s="1" t="s">
        <v>13</v>
      </c>
      <c r="D177" s="1">
        <v>472.0</v>
      </c>
      <c r="E177" s="1">
        <v>80.0</v>
      </c>
      <c r="F177" s="1">
        <v>3.0</v>
      </c>
      <c r="G177" s="1">
        <v>4.0</v>
      </c>
      <c r="H177" s="1" t="s">
        <v>33</v>
      </c>
      <c r="I177" s="2">
        <v>45900.0</v>
      </c>
      <c r="J177" s="1">
        <v>85000.0</v>
      </c>
      <c r="K177" s="2">
        <v>45870.0</v>
      </c>
      <c r="L177" s="3" t="str">
        <f t="shared" si="1"/>
        <v>SKU-014|Lipstik Matte Wardah|Beauty|472|80|3|4|SUP_BT01|2025-08-31|85000|2025-08-01</v>
      </c>
    </row>
    <row r="178">
      <c r="A178" s="1" t="s">
        <v>64</v>
      </c>
      <c r="B178" s="1" t="s">
        <v>65</v>
      </c>
      <c r="C178" s="1" t="s">
        <v>42</v>
      </c>
      <c r="D178" s="1">
        <v>14.0</v>
      </c>
      <c r="E178" s="1">
        <v>20.0</v>
      </c>
      <c r="F178" s="1">
        <v>2.0</v>
      </c>
      <c r="G178" s="1">
        <v>8.0</v>
      </c>
      <c r="H178" s="1" t="s">
        <v>59</v>
      </c>
      <c r="I178" s="2">
        <v>45999.0</v>
      </c>
      <c r="J178" s="1">
        <v>750000.0</v>
      </c>
      <c r="K178" s="2">
        <v>45992.0</v>
      </c>
      <c r="L178" s="3" t="str">
        <f t="shared" si="1"/>
        <v>SKU-009|Blender Philips HR2157|Home &amp; Living|14|20|2|8|SUP_HM01|2025-12-08|750000|2025-12-01</v>
      </c>
    </row>
    <row r="179">
      <c r="A179" s="1" t="s">
        <v>44</v>
      </c>
      <c r="B179" s="1" t="s">
        <v>45</v>
      </c>
      <c r="C179" s="1" t="s">
        <v>42</v>
      </c>
      <c r="D179" s="1">
        <v>57.0</v>
      </c>
      <c r="E179" s="1">
        <v>30.0</v>
      </c>
      <c r="F179" s="1">
        <v>5.0</v>
      </c>
      <c r="G179" s="1">
        <v>4.0</v>
      </c>
      <c r="H179" s="1" t="s">
        <v>43</v>
      </c>
      <c r="I179" s="2">
        <v>46098.0</v>
      </c>
      <c r="J179" s="1">
        <v>350000.0</v>
      </c>
      <c r="K179" s="2">
        <v>46082.0</v>
      </c>
      <c r="L179" s="3" t="str">
        <f t="shared" si="1"/>
        <v>SKU-012|Kipas Angin Cosmos 16in|Home &amp; Living|57|30|5|4|SUP_HM02|2026-03-17|350000|2026-03-01</v>
      </c>
    </row>
    <row r="180">
      <c r="A180" s="1" t="s">
        <v>19</v>
      </c>
      <c r="B180" s="1" t="s">
        <v>20</v>
      </c>
      <c r="C180" s="1" t="s">
        <v>17</v>
      </c>
      <c r="D180" s="1">
        <v>1.0</v>
      </c>
      <c r="E180" s="1">
        <v>30.0</v>
      </c>
      <c r="F180" s="1">
        <v>4.0</v>
      </c>
      <c r="G180" s="1">
        <v>5.0</v>
      </c>
      <c r="H180" s="1" t="s">
        <v>18</v>
      </c>
      <c r="I180" s="2">
        <v>45868.0</v>
      </c>
      <c r="J180" s="1">
        <v>1200000.0</v>
      </c>
      <c r="K180" s="2">
        <v>45839.0</v>
      </c>
      <c r="L180" s="3" t="str">
        <f t="shared" si="1"/>
        <v>SKU-004|Smartwatch Xiaomi Band|Electronics|1|30|4|5|SUP_EL01|2025-07-30|1200000|2025-07-01</v>
      </c>
    </row>
    <row r="181">
      <c r="A181" s="1" t="s">
        <v>28</v>
      </c>
      <c r="B181" s="1" t="s">
        <v>29</v>
      </c>
      <c r="C181" s="1" t="s">
        <v>23</v>
      </c>
      <c r="D181" s="1">
        <v>27.0</v>
      </c>
      <c r="E181" s="1">
        <v>35.0</v>
      </c>
      <c r="F181" s="1">
        <v>4.0</v>
      </c>
      <c r="G181" s="1">
        <v>5.0</v>
      </c>
      <c r="H181" s="1" t="s">
        <v>30</v>
      </c>
      <c r="I181" s="2">
        <v>45817.0</v>
      </c>
      <c r="J181" s="1">
        <v>1250000.0</v>
      </c>
      <c r="K181" s="2">
        <v>45809.0</v>
      </c>
      <c r="L181" s="3" t="str">
        <f t="shared" si="1"/>
        <v>SKU-007|Sepatu Sneakers Nike|Fashion|27|35|4|5|SUP_FA02|2025-06-09|1250000|2025-06-01</v>
      </c>
    </row>
    <row r="182">
      <c r="A182" s="1" t="s">
        <v>53</v>
      </c>
      <c r="B182" s="1" t="s">
        <v>54</v>
      </c>
      <c r="C182" s="1" t="s">
        <v>13</v>
      </c>
      <c r="D182" s="1">
        <v>240.0</v>
      </c>
      <c r="E182" s="1">
        <v>60.0</v>
      </c>
      <c r="F182" s="1">
        <v>2.0</v>
      </c>
      <c r="G182" s="1">
        <v>6.0</v>
      </c>
      <c r="H182" s="1" t="s">
        <v>14</v>
      </c>
      <c r="I182" s="2">
        <v>46187.0</v>
      </c>
      <c r="J182" s="1">
        <v>165000.0</v>
      </c>
      <c r="K182" s="2">
        <v>45962.0</v>
      </c>
      <c r="L182" s="3" t="str">
        <f t="shared" si="1"/>
        <v>SKU-015|Foundation Maybelline Fit|Beauty|240|60|2|6|SUP_BT02|2026-06-14|165000|2025-11-01</v>
      </c>
    </row>
    <row r="183">
      <c r="A183" s="1" t="s">
        <v>44</v>
      </c>
      <c r="B183" s="1" t="s">
        <v>45</v>
      </c>
      <c r="C183" s="1" t="s">
        <v>42</v>
      </c>
      <c r="D183" s="1">
        <v>60.0</v>
      </c>
      <c r="E183" s="1">
        <v>30.0</v>
      </c>
      <c r="F183" s="1">
        <v>4.0</v>
      </c>
      <c r="G183" s="1">
        <v>9.0</v>
      </c>
      <c r="H183" s="1" t="s">
        <v>43</v>
      </c>
      <c r="I183" s="2">
        <v>46062.0</v>
      </c>
      <c r="J183" s="1">
        <v>350000.0</v>
      </c>
      <c r="K183" s="2">
        <v>46054.0</v>
      </c>
      <c r="L183" s="3" t="str">
        <f t="shared" si="1"/>
        <v>SKU-012|Kipas Angin Cosmos 16in|Home &amp; Living|60|30|4|9|SUP_HM02|2026-02-09|350000|2026-02-01</v>
      </c>
    </row>
    <row r="184">
      <c r="A184" s="1" t="s">
        <v>11</v>
      </c>
      <c r="B184" s="1" t="s">
        <v>12</v>
      </c>
      <c r="C184" s="1" t="s">
        <v>13</v>
      </c>
      <c r="D184" s="1">
        <v>216.0</v>
      </c>
      <c r="E184" s="1">
        <v>50.0</v>
      </c>
      <c r="F184" s="1">
        <v>1.0</v>
      </c>
      <c r="G184" s="1">
        <v>8.0</v>
      </c>
      <c r="H184" s="1" t="s">
        <v>14</v>
      </c>
      <c r="I184" s="2">
        <v>45905.0</v>
      </c>
      <c r="J184" s="1">
        <v>125000.0</v>
      </c>
      <c r="K184" s="2">
        <v>45901.0</v>
      </c>
      <c r="L184" s="3" t="str">
        <f t="shared" si="1"/>
        <v>SKU-016|Parfum EDT Brasov 100ml|Beauty|216|50|1|8|SUP_BT02|2025-09-05|125000|2025-09-01</v>
      </c>
    </row>
    <row r="185">
      <c r="A185" s="1" t="s">
        <v>60</v>
      </c>
      <c r="B185" s="1" t="s">
        <v>61</v>
      </c>
      <c r="C185" s="1" t="s">
        <v>17</v>
      </c>
      <c r="D185" s="1">
        <v>-17.0</v>
      </c>
      <c r="E185" s="1">
        <v>20.0</v>
      </c>
      <c r="F185" s="1">
        <v>5.0</v>
      </c>
      <c r="G185" s="1">
        <v>22.0</v>
      </c>
      <c r="H185" s="1" t="s">
        <v>27</v>
      </c>
      <c r="I185" s="2">
        <v>45998.0</v>
      </c>
      <c r="J185" s="1">
        <v>3200000.0</v>
      </c>
      <c r="K185" s="2">
        <v>45992.0</v>
      </c>
      <c r="L185" s="3" t="str">
        <f t="shared" si="1"/>
        <v>SKU-003|Headphone Sony WH-1000|Electronics|-17|20|5|22|SUP_EL02|2025-12-07|3200000|2025-12-01</v>
      </c>
    </row>
    <row r="186">
      <c r="A186" s="1" t="s">
        <v>38</v>
      </c>
      <c r="B186" s="1" t="s">
        <v>39</v>
      </c>
      <c r="C186" s="1" t="s">
        <v>23</v>
      </c>
      <c r="D186" s="1">
        <v>0.0</v>
      </c>
      <c r="E186" s="1">
        <v>45.0</v>
      </c>
      <c r="F186" s="1">
        <v>14.0</v>
      </c>
      <c r="G186" s="1">
        <v>6.0</v>
      </c>
      <c r="H186" s="1" t="s">
        <v>24</v>
      </c>
      <c r="I186" s="2">
        <v>46107.0</v>
      </c>
      <c r="J186" s="1">
        <v>450000.0</v>
      </c>
      <c r="K186" s="2">
        <v>46082.0</v>
      </c>
      <c r="L186" s="3" t="str">
        <f t="shared" si="1"/>
        <v>SKU-006|Dress Casual Wanita|Fashion|0|45|14|6|SUP_FA01|2026-03-26|450000|2026-03-01</v>
      </c>
    </row>
    <row r="187">
      <c r="A187" s="1" t="s">
        <v>11</v>
      </c>
      <c r="B187" s="1" t="s">
        <v>12</v>
      </c>
      <c r="C187" s="1" t="s">
        <v>13</v>
      </c>
      <c r="D187" s="1">
        <v>157.0</v>
      </c>
      <c r="E187" s="1">
        <v>50.0</v>
      </c>
      <c r="F187" s="1">
        <v>1.0</v>
      </c>
      <c r="G187" s="1">
        <v>4.0</v>
      </c>
      <c r="H187" s="1" t="s">
        <v>14</v>
      </c>
      <c r="I187" s="2">
        <v>45823.0</v>
      </c>
      <c r="J187" s="1">
        <v>125000.0</v>
      </c>
      <c r="K187" s="2">
        <v>45809.0</v>
      </c>
      <c r="L187" s="3" t="str">
        <f t="shared" si="1"/>
        <v>SKU-016|Parfum EDT Brasov 100ml|Beauty|157|50|1|4|SUP_BT02|2025-06-15|125000|2025-06-01</v>
      </c>
    </row>
    <row r="188">
      <c r="A188" s="1" t="s">
        <v>57</v>
      </c>
      <c r="B188" s="1" t="s">
        <v>58</v>
      </c>
      <c r="C188" s="1" t="s">
        <v>42</v>
      </c>
      <c r="D188" s="1">
        <v>42.0</v>
      </c>
      <c r="E188" s="1">
        <v>25.0</v>
      </c>
      <c r="F188" s="1">
        <v>5.0</v>
      </c>
      <c r="G188" s="1">
        <v>10.0</v>
      </c>
      <c r="H188" s="1" t="s">
        <v>59</v>
      </c>
      <c r="I188" s="2">
        <v>45711.0</v>
      </c>
      <c r="J188" s="1">
        <v>450000.0</v>
      </c>
      <c r="K188" s="2">
        <v>45689.0</v>
      </c>
      <c r="L188" s="3" t="str">
        <f t="shared" si="1"/>
        <v>SKU-010|Rice Cooker Miyako 1.8L|Home &amp; Living|42|25|5|10|SUP_HM01|2025-02-23|450000|2025-02-01</v>
      </c>
    </row>
    <row r="189">
      <c r="A189" s="1" t="s">
        <v>25</v>
      </c>
      <c r="B189" s="1" t="s">
        <v>26</v>
      </c>
      <c r="C189" s="1" t="s">
        <v>17</v>
      </c>
      <c r="D189" s="1">
        <v>0.0</v>
      </c>
      <c r="E189" s="1">
        <v>25.0</v>
      </c>
      <c r="F189" s="1">
        <v>8.0</v>
      </c>
      <c r="G189" s="1">
        <v>10.0</v>
      </c>
      <c r="H189" s="1" t="s">
        <v>27</v>
      </c>
      <c r="I189" s="2">
        <v>46013.0</v>
      </c>
      <c r="J189" s="1">
        <v>4500000.0</v>
      </c>
      <c r="K189" s="2">
        <v>45992.0</v>
      </c>
      <c r="L189" s="3" t="str">
        <f t="shared" si="1"/>
        <v>SKU-002|Smartphone Samsung A54|Electronics|0|25|8|10|SUP_EL02|2025-12-22|4500000|2025-12-01</v>
      </c>
    </row>
    <row r="190">
      <c r="A190" s="1" t="s">
        <v>40</v>
      </c>
      <c r="B190" s="1" t="s">
        <v>41</v>
      </c>
      <c r="C190" s="1" t="s">
        <v>42</v>
      </c>
      <c r="D190" s="1">
        <v>22.0</v>
      </c>
      <c r="E190" s="1">
        <v>15.0</v>
      </c>
      <c r="F190" s="1">
        <v>3.0</v>
      </c>
      <c r="G190" s="1">
        <v>4.0</v>
      </c>
      <c r="H190" s="1" t="s">
        <v>43</v>
      </c>
      <c r="I190" s="2">
        <v>45919.0</v>
      </c>
      <c r="J190" s="1">
        <v>1200000.0</v>
      </c>
      <c r="K190" s="2">
        <v>45901.0</v>
      </c>
      <c r="L190" s="3" t="str">
        <f t="shared" si="1"/>
        <v>SKU-011|Vacuum Cleaner Deerma|Home &amp; Living|22|15|3|4|SUP_HM02|2025-09-19|1200000|2025-09-01</v>
      </c>
    </row>
    <row r="191">
      <c r="A191" s="1" t="s">
        <v>57</v>
      </c>
      <c r="B191" s="1" t="s">
        <v>58</v>
      </c>
      <c r="C191" s="1" t="s">
        <v>42</v>
      </c>
      <c r="D191" s="1">
        <v>21.0</v>
      </c>
      <c r="E191" s="1">
        <v>25.0</v>
      </c>
      <c r="F191" s="1">
        <v>3.0</v>
      </c>
      <c r="G191" s="1">
        <v>9.0</v>
      </c>
      <c r="H191" s="1" t="s">
        <v>59</v>
      </c>
      <c r="I191" s="2">
        <v>45854.0</v>
      </c>
      <c r="J191" s="1">
        <v>450000.0</v>
      </c>
      <c r="K191" s="2">
        <v>45839.0</v>
      </c>
      <c r="L191" s="3" t="str">
        <f t="shared" si="1"/>
        <v>SKU-010|Rice Cooker Miyako 1.8L|Home &amp; Living|21|25|3|9|SUP_HM01|2025-07-16|450000|2025-07-01</v>
      </c>
    </row>
    <row r="192">
      <c r="A192" s="1" t="s">
        <v>51</v>
      </c>
      <c r="B192" s="1" t="s">
        <v>52</v>
      </c>
      <c r="C192" s="1" t="s">
        <v>36</v>
      </c>
      <c r="D192" s="1">
        <v>12.0</v>
      </c>
      <c r="E192" s="1">
        <v>60.0</v>
      </c>
      <c r="F192" s="1">
        <v>10.0</v>
      </c>
      <c r="H192" s="1" t="s">
        <v>50</v>
      </c>
      <c r="I192" s="2">
        <v>45965.0</v>
      </c>
      <c r="J192" s="1">
        <v>175000.0</v>
      </c>
      <c r="K192" s="2">
        <v>45962.0</v>
      </c>
      <c r="L192" s="3" t="str">
        <f t="shared" si="1"/>
        <v>SKU-019|Madu Hutan Asli 500ml|Food &amp; Beverage|12|60|10|SUP_FB02|2025-11-04|175000|2025-11-01</v>
      </c>
    </row>
    <row r="193">
      <c r="A193" s="1" t="s">
        <v>15</v>
      </c>
      <c r="B193" s="1" t="s">
        <v>16</v>
      </c>
      <c r="C193" s="1" t="s">
        <v>17</v>
      </c>
      <c r="D193" s="1">
        <v>17.0</v>
      </c>
      <c r="E193" s="1">
        <v>15.0</v>
      </c>
      <c r="F193" s="1">
        <v>1.0</v>
      </c>
      <c r="G193" s="1">
        <v>6.0</v>
      </c>
      <c r="H193" s="1" t="s">
        <v>18</v>
      </c>
      <c r="I193" s="2">
        <v>45665.0</v>
      </c>
      <c r="J193" s="1">
        <v>8500000.0</v>
      </c>
      <c r="K193" s="2">
        <v>45658.0</v>
      </c>
      <c r="L193" s="3" t="str">
        <f t="shared" si="1"/>
        <v>SKU-001|Laptop ASUS Vivobook|Electronics|17|15|1|6|SUP_EL01|2025-01-08|8500000|2025-01-01</v>
      </c>
    </row>
    <row r="194">
      <c r="A194" s="1" t="s">
        <v>51</v>
      </c>
      <c r="B194" s="1" t="s">
        <v>52</v>
      </c>
      <c r="C194" s="1" t="s">
        <v>36</v>
      </c>
      <c r="D194" s="1">
        <v>34.0</v>
      </c>
      <c r="E194" s="1">
        <v>60.0</v>
      </c>
      <c r="F194" s="1">
        <v>7.0</v>
      </c>
      <c r="G194" s="1">
        <v>6.0</v>
      </c>
      <c r="H194" s="1" t="s">
        <v>50</v>
      </c>
      <c r="I194" s="2">
        <v>45934.0</v>
      </c>
      <c r="J194" s="1">
        <v>175000.0</v>
      </c>
      <c r="K194" s="2">
        <v>45931.0</v>
      </c>
      <c r="L194" s="3" t="str">
        <f t="shared" si="1"/>
        <v>SKU-019|Madu Hutan Asli 500ml|Food &amp; Beverage|34|60|7|6|SUP_FB02|2025-10-04|175000|2025-10-01</v>
      </c>
    </row>
    <row r="195">
      <c r="A195" s="1" t="s">
        <v>51</v>
      </c>
      <c r="B195" s="1" t="s">
        <v>52</v>
      </c>
      <c r="C195" s="1" t="s">
        <v>36</v>
      </c>
      <c r="D195" s="1">
        <v>21.0</v>
      </c>
      <c r="E195" s="1">
        <v>60.0</v>
      </c>
      <c r="F195" s="1">
        <v>9.0</v>
      </c>
      <c r="G195" s="1">
        <v>4.0</v>
      </c>
      <c r="H195" s="1" t="s">
        <v>50</v>
      </c>
      <c r="I195" s="2">
        <v>46067.0</v>
      </c>
      <c r="J195" s="1">
        <v>175000.0</v>
      </c>
      <c r="K195" s="2">
        <v>46054.0</v>
      </c>
      <c r="L195" s="3" t="str">
        <f t="shared" si="1"/>
        <v>SKU-019|Madu Hutan Asli 500ml|Food &amp; Beverage|21|60|9|4|SUP_FB02|2026-02-14|175000|2026-02-01</v>
      </c>
    </row>
    <row r="196">
      <c r="A196" s="1" t="s">
        <v>28</v>
      </c>
      <c r="B196" s="1" t="s">
        <v>29</v>
      </c>
      <c r="C196" s="1" t="s">
        <v>23</v>
      </c>
      <c r="D196" s="1">
        <v>0.0</v>
      </c>
      <c r="E196" s="1">
        <v>35.0</v>
      </c>
      <c r="F196" s="1">
        <v>9.0</v>
      </c>
      <c r="G196" s="1">
        <v>6.0</v>
      </c>
      <c r="H196" s="1" t="s">
        <v>30</v>
      </c>
      <c r="I196" s="2">
        <v>45973.0</v>
      </c>
      <c r="J196" s="1">
        <v>1250000.0</v>
      </c>
      <c r="K196" s="2">
        <v>45962.0</v>
      </c>
      <c r="L196" s="3" t="str">
        <f t="shared" si="1"/>
        <v>SKU-007|Sepatu Sneakers Nike|Fashion|0|35|9|6|SUP_FA02|2025-11-12|1250000|2025-11-01</v>
      </c>
    </row>
    <row r="197">
      <c r="A197" s="1" t="s">
        <v>31</v>
      </c>
      <c r="B197" s="1" t="s">
        <v>32</v>
      </c>
      <c r="C197" s="1" t="s">
        <v>13</v>
      </c>
      <c r="D197" s="1">
        <v>150.0</v>
      </c>
      <c r="E197" s="1">
        <v>40.0</v>
      </c>
      <c r="F197" s="1">
        <v>4.0</v>
      </c>
      <c r="G197" s="1">
        <v>4.0</v>
      </c>
      <c r="H197" s="1" t="s">
        <v>33</v>
      </c>
      <c r="I197" s="2">
        <v>46040.0</v>
      </c>
      <c r="J197" s="1">
        <v>550000.0</v>
      </c>
      <c r="K197" s="2">
        <v>46023.0</v>
      </c>
      <c r="L197" s="3" t="str">
        <f t="shared" si="1"/>
        <v>SKU-013|Skincare Set Whitelab|Beauty|150|40|4|4|SUP_BT01|2026-01-18|550000|2026-01-01</v>
      </c>
    </row>
    <row r="198">
      <c r="A198" s="1" t="s">
        <v>34</v>
      </c>
      <c r="B198" s="1" t="s">
        <v>35</v>
      </c>
      <c r="C198" s="1" t="s">
        <v>36</v>
      </c>
      <c r="D198" s="1">
        <v>18.0</v>
      </c>
      <c r="E198" s="1">
        <v>80.0</v>
      </c>
      <c r="F198" s="1">
        <v>10.0</v>
      </c>
      <c r="G198" s="1">
        <v>4.0</v>
      </c>
      <c r="H198" s="1" t="s">
        <v>37</v>
      </c>
      <c r="I198" s="2">
        <v>46024.0</v>
      </c>
      <c r="J198" s="1">
        <v>65000.0</v>
      </c>
      <c r="K198" s="2">
        <v>46023.0</v>
      </c>
      <c r="L198" s="3" t="str">
        <f t="shared" si="1"/>
        <v>SKU-018|Teh Organik Premium Box|Food &amp; Beverage|18|80|10|4|SUP_FB01|2026-01-02|65000|2026-01-01</v>
      </c>
    </row>
    <row r="199">
      <c r="A199" s="1" t="s">
        <v>28</v>
      </c>
      <c r="B199" s="1" t="s">
        <v>29</v>
      </c>
      <c r="C199" s="1" t="s">
        <v>23</v>
      </c>
      <c r="D199" s="1">
        <v>27.0</v>
      </c>
      <c r="E199" s="1">
        <v>35.0</v>
      </c>
      <c r="F199" s="1">
        <v>8.0</v>
      </c>
      <c r="G199" s="1">
        <v>6.0</v>
      </c>
      <c r="H199" s="1" t="s">
        <v>30</v>
      </c>
      <c r="I199" s="2">
        <v>46054.0</v>
      </c>
      <c r="J199" s="1">
        <v>1250000.0</v>
      </c>
      <c r="K199" s="2">
        <v>46054.0</v>
      </c>
      <c r="L199" s="3" t="str">
        <f t="shared" si="1"/>
        <v>SKU-007|Sepatu Sneakers Nike|Fashion|27|35|8|6|SUP_FA02|2026-02-01|1250000|2026-02-01</v>
      </c>
    </row>
    <row r="200">
      <c r="A200" s="1" t="s">
        <v>44</v>
      </c>
      <c r="B200" s="1" t="s">
        <v>45</v>
      </c>
      <c r="C200" s="1" t="s">
        <v>42</v>
      </c>
      <c r="D200" s="1">
        <v>39.0</v>
      </c>
      <c r="E200" s="1">
        <v>30.0</v>
      </c>
      <c r="F200" s="1">
        <v>6.0</v>
      </c>
      <c r="G200" s="1">
        <v>10.0</v>
      </c>
      <c r="H200" s="1" t="s">
        <v>43</v>
      </c>
      <c r="I200" s="2">
        <v>45854.0</v>
      </c>
      <c r="J200" s="1">
        <v>350000.0</v>
      </c>
      <c r="K200" s="2">
        <v>45839.0</v>
      </c>
      <c r="L200" s="3" t="str">
        <f t="shared" si="1"/>
        <v>SKU-012|Kipas Angin Cosmos 16in|Home &amp; Living|39|30|6|10|SUP_HM02|2025-07-16|350000|2025-07-01</v>
      </c>
    </row>
    <row r="201">
      <c r="A201" s="1" t="s">
        <v>28</v>
      </c>
      <c r="B201" s="1" t="s">
        <v>29</v>
      </c>
      <c r="C201" s="1" t="s">
        <v>23</v>
      </c>
      <c r="D201" s="1">
        <v>10.0</v>
      </c>
      <c r="E201" s="1">
        <v>35.0</v>
      </c>
      <c r="F201" s="1">
        <v>7.0</v>
      </c>
      <c r="G201" s="1">
        <v>3.0</v>
      </c>
      <c r="H201" s="1" t="s">
        <v>30</v>
      </c>
      <c r="I201" s="2">
        <v>45929.0</v>
      </c>
      <c r="J201" s="1">
        <v>1250000.0</v>
      </c>
      <c r="K201" s="2">
        <v>45901.0</v>
      </c>
      <c r="L201" s="3" t="str">
        <f t="shared" si="1"/>
        <v>SKU-007|Sepatu Sneakers Nike|Fashion|10|35|7|3|SUP_FA02|2025-09-29|1250000|2025-09-01</v>
      </c>
    </row>
    <row r="202">
      <c r="A202" s="1" t="s">
        <v>60</v>
      </c>
      <c r="B202" s="1" t="s">
        <v>61</v>
      </c>
      <c r="C202" s="1" t="s">
        <v>17</v>
      </c>
      <c r="D202" s="1">
        <v>7.0</v>
      </c>
      <c r="E202" s="1">
        <v>20.0</v>
      </c>
      <c r="F202" s="1">
        <v>2.0</v>
      </c>
      <c r="G202" s="1">
        <v>13.0</v>
      </c>
      <c r="H202" s="1" t="s">
        <v>27</v>
      </c>
      <c r="I202" s="2">
        <v>45861.0</v>
      </c>
      <c r="J202" s="1">
        <v>3200000.0</v>
      </c>
      <c r="K202" s="2">
        <v>45839.0</v>
      </c>
      <c r="L202" s="3" t="str">
        <f t="shared" si="1"/>
        <v>SKU-003|Headphone Sony WH-1000|Electronics|7|20|2|13|SUP_EL02|2025-07-23|3200000|2025-07-01</v>
      </c>
    </row>
    <row r="203">
      <c r="A203" s="1" t="s">
        <v>21</v>
      </c>
      <c r="B203" s="1" t="s">
        <v>22</v>
      </c>
      <c r="C203" s="1" t="s">
        <v>23</v>
      </c>
      <c r="D203" s="1">
        <v>13.0</v>
      </c>
      <c r="E203" s="1">
        <v>50.0</v>
      </c>
      <c r="F203" s="1">
        <v>8.0</v>
      </c>
      <c r="G203" s="1">
        <v>4.0</v>
      </c>
      <c r="H203" s="1" t="s">
        <v>24</v>
      </c>
      <c r="I203" s="2">
        <v>45691.0</v>
      </c>
      <c r="J203" s="1">
        <v>350000.0</v>
      </c>
      <c r="K203" s="2">
        <v>45689.0</v>
      </c>
      <c r="L203" s="3" t="str">
        <f t="shared" si="1"/>
        <v>SKU-005|Kemeja Formal Pria|Fashion|13|50|8|4|SUP_FA01|2025-02-03|350000|2025-02-01</v>
      </c>
    </row>
    <row r="204">
      <c r="A204" s="1" t="s">
        <v>40</v>
      </c>
      <c r="B204" s="1" t="s">
        <v>41</v>
      </c>
      <c r="C204" s="1" t="s">
        <v>42</v>
      </c>
      <c r="E204" s="1">
        <v>15.0</v>
      </c>
      <c r="F204" s="1">
        <v>2.0</v>
      </c>
      <c r="G204" s="1">
        <v>4.0</v>
      </c>
      <c r="H204" s="1" t="s">
        <v>43</v>
      </c>
      <c r="I204" s="2">
        <v>45688.0</v>
      </c>
      <c r="J204" s="1">
        <v>1200000.0</v>
      </c>
      <c r="K204" s="2">
        <v>45658.0</v>
      </c>
      <c r="L204" s="3" t="str">
        <f t="shared" si="1"/>
        <v>SKU-011|Vacuum Cleaner Deerma|Home &amp; Living|15|2|4|SUP_HM02|2025-01-31|1200000|2025-01-01</v>
      </c>
    </row>
    <row r="205">
      <c r="A205" s="1" t="s">
        <v>55</v>
      </c>
      <c r="B205" s="1" t="s">
        <v>56</v>
      </c>
      <c r="C205" s="1" t="s">
        <v>36</v>
      </c>
      <c r="D205" s="1">
        <v>19.0</v>
      </c>
      <c r="E205" s="1">
        <v>100.0</v>
      </c>
      <c r="F205" s="1">
        <v>16.0</v>
      </c>
      <c r="G205" s="1">
        <v>4.0</v>
      </c>
      <c r="H205" s="1" t="s">
        <v>37</v>
      </c>
      <c r="I205" s="2">
        <v>45965.0</v>
      </c>
      <c r="J205" s="1">
        <v>85000.0</v>
      </c>
      <c r="K205" s="2">
        <v>45962.0</v>
      </c>
      <c r="L205" s="3" t="str">
        <f t="shared" si="1"/>
        <v>SKU-017|Kopi Arabika 250g Pack|Food &amp; Beverage|19|100|16|4|SUP_FB01|2025-11-04|85000|2025-11-01</v>
      </c>
    </row>
    <row r="206">
      <c r="A206" s="1" t="s">
        <v>55</v>
      </c>
      <c r="B206" s="1" t="s">
        <v>56</v>
      </c>
      <c r="C206" s="1" t="s">
        <v>36</v>
      </c>
      <c r="D206" s="1">
        <v>36.0</v>
      </c>
      <c r="E206" s="1">
        <v>100.0</v>
      </c>
      <c r="F206" s="1">
        <v>16.0</v>
      </c>
      <c r="G206" s="1">
        <v>5.0</v>
      </c>
      <c r="H206" s="1" t="s">
        <v>37</v>
      </c>
      <c r="I206" s="2">
        <v>45851.0</v>
      </c>
      <c r="J206" s="1">
        <v>85000.0</v>
      </c>
      <c r="K206" s="2">
        <v>45839.0</v>
      </c>
      <c r="L206" s="3" t="str">
        <f t="shared" si="1"/>
        <v>SKU-017|Kopi Arabika 250g Pack|Food &amp; Beverage|36|100|16|5|SUP_FB01|2025-07-13|85000|2025-07-01</v>
      </c>
    </row>
    <row r="207">
      <c r="A207" s="1" t="s">
        <v>34</v>
      </c>
      <c r="B207" s="1" t="s">
        <v>35</v>
      </c>
      <c r="C207" s="1" t="s">
        <v>36</v>
      </c>
      <c r="D207" s="1">
        <v>33.0</v>
      </c>
      <c r="E207" s="1">
        <v>80.0</v>
      </c>
      <c r="F207" s="1">
        <v>13.0</v>
      </c>
      <c r="G207" s="1">
        <v>4.0</v>
      </c>
      <c r="H207" s="1" t="s">
        <v>37</v>
      </c>
      <c r="I207" s="2">
        <v>45697.0</v>
      </c>
      <c r="J207" s="1">
        <v>65000.0</v>
      </c>
      <c r="K207" s="2">
        <v>45689.0</v>
      </c>
      <c r="L207" s="3" t="str">
        <f t="shared" si="1"/>
        <v>SKU-018|Teh Organik Premium Box|Food &amp; Beverage|33|80|13|4|SUP_FB01|2025-02-09|65000|2025-02-01</v>
      </c>
    </row>
    <row r="208">
      <c r="A208" s="1" t="s">
        <v>15</v>
      </c>
      <c r="B208" s="1" t="s">
        <v>16</v>
      </c>
      <c r="C208" s="1" t="s">
        <v>17</v>
      </c>
      <c r="D208" s="1">
        <v>0.0</v>
      </c>
      <c r="E208" s="1">
        <v>15.0</v>
      </c>
      <c r="F208" s="1">
        <v>2.0</v>
      </c>
      <c r="G208" s="1">
        <v>8.0</v>
      </c>
      <c r="H208" s="1" t="s">
        <v>18</v>
      </c>
      <c r="I208" s="2">
        <v>45994.0</v>
      </c>
      <c r="J208" s="1">
        <v>8500000.0</v>
      </c>
      <c r="K208" s="2">
        <v>45992.0</v>
      </c>
      <c r="L208" s="3" t="str">
        <f t="shared" si="1"/>
        <v>SKU-001|Laptop ASUS Vivobook|Electronics|0|15|2|8|SUP_EL01|2025-12-03|8500000|2025-12-01</v>
      </c>
    </row>
    <row r="209">
      <c r="A209" s="1" t="s">
        <v>19</v>
      </c>
      <c r="B209" s="1" t="s">
        <v>20</v>
      </c>
      <c r="C209" s="1" t="s">
        <v>17</v>
      </c>
      <c r="D209" s="1">
        <v>34.0</v>
      </c>
      <c r="E209" s="1">
        <v>30.0</v>
      </c>
      <c r="F209" s="1">
        <v>4.0</v>
      </c>
      <c r="G209" s="1">
        <v>5.0</v>
      </c>
      <c r="H209" s="1" t="s">
        <v>18</v>
      </c>
      <c r="I209" s="2">
        <v>46083.0</v>
      </c>
      <c r="J209" s="1">
        <v>1200000.0</v>
      </c>
      <c r="K209" s="2">
        <v>46082.0</v>
      </c>
      <c r="L209" s="3" t="str">
        <f t="shared" si="1"/>
        <v>SKU-004|Smartwatch Xiaomi Band|Electronics|34|30|4|5|SUP_EL01|2026-03-02|1200000|2026-03-01</v>
      </c>
    </row>
    <row r="210">
      <c r="A210" s="1" t="s">
        <v>62</v>
      </c>
      <c r="B210" s="1" t="s">
        <v>63</v>
      </c>
      <c r="C210" s="1" t="s">
        <v>13</v>
      </c>
      <c r="D210" s="1">
        <v>427.0</v>
      </c>
      <c r="E210" s="1">
        <v>80.0</v>
      </c>
      <c r="F210" s="1">
        <v>2.0</v>
      </c>
      <c r="G210" s="1">
        <v>5.0</v>
      </c>
      <c r="H210" s="1" t="s">
        <v>33</v>
      </c>
      <c r="I210" s="2">
        <v>45838.0</v>
      </c>
      <c r="J210" s="1">
        <v>85000.0</v>
      </c>
      <c r="K210" s="2">
        <v>45809.0</v>
      </c>
      <c r="L210" s="3" t="str">
        <f t="shared" si="1"/>
        <v>SKU-014|Lipstik Matte Wardah|Beauty|427|80|2|5|SUP_BT01|2025-06-30|85000|2025-06-01</v>
      </c>
    </row>
    <row r="211">
      <c r="A211" s="1" t="s">
        <v>51</v>
      </c>
      <c r="B211" s="1" t="s">
        <v>52</v>
      </c>
      <c r="C211" s="1" t="s">
        <v>36</v>
      </c>
      <c r="D211" s="1">
        <v>14.0</v>
      </c>
      <c r="E211" s="1">
        <v>60.0</v>
      </c>
      <c r="F211" s="1">
        <v>8.0</v>
      </c>
      <c r="G211" s="1">
        <v>6.0</v>
      </c>
      <c r="H211" s="1" t="s">
        <v>50</v>
      </c>
      <c r="I211" s="2">
        <v>45930.0</v>
      </c>
      <c r="J211" s="1">
        <v>175000.0</v>
      </c>
      <c r="K211" s="2">
        <v>45901.0</v>
      </c>
      <c r="L211" s="3" t="str">
        <f t="shared" si="1"/>
        <v>SKU-019|Madu Hutan Asli 500ml|Food &amp; Beverage|14|60|8|6|SUP_FB02|2025-09-30|175000|2025-09-01</v>
      </c>
    </row>
    <row r="212">
      <c r="A212" s="1" t="s">
        <v>25</v>
      </c>
      <c r="B212" s="1" t="s">
        <v>26</v>
      </c>
      <c r="C212" s="1" t="s">
        <v>17</v>
      </c>
      <c r="D212" s="1">
        <v>32.0</v>
      </c>
      <c r="E212" s="1">
        <v>25.0</v>
      </c>
      <c r="F212" s="1">
        <v>6.0</v>
      </c>
      <c r="G212" s="1">
        <v>17.0</v>
      </c>
      <c r="H212" s="1" t="s">
        <v>27</v>
      </c>
      <c r="I212" s="2">
        <v>46026.0</v>
      </c>
      <c r="J212" s="1">
        <v>4500000.0</v>
      </c>
      <c r="K212" s="2">
        <v>46023.0</v>
      </c>
      <c r="L212" s="3" t="str">
        <f t="shared" si="1"/>
        <v>SKU-002|Smartphone Samsung A54|Electronics|32|25|6|17|SUP_EL02|2026-01-04|4500000|2026-01-01</v>
      </c>
    </row>
    <row r="213">
      <c r="A213" s="1" t="s">
        <v>11</v>
      </c>
      <c r="B213" s="1" t="s">
        <v>12</v>
      </c>
      <c r="C213" s="1" t="s">
        <v>13</v>
      </c>
      <c r="E213" s="1">
        <v>50.0</v>
      </c>
      <c r="F213" s="1">
        <v>1.0</v>
      </c>
      <c r="G213" s="1">
        <v>7.0</v>
      </c>
      <c r="H213" s="1" t="s">
        <v>14</v>
      </c>
      <c r="I213" s="2">
        <v>45885.0</v>
      </c>
      <c r="J213" s="1">
        <v>125000.0</v>
      </c>
      <c r="K213" s="2">
        <v>45870.0</v>
      </c>
      <c r="L213" s="3" t="str">
        <f t="shared" si="1"/>
        <v>SKU-016|Parfum EDT Brasov 100ml|Beauty|50|1|7|SUP_BT02|2025-08-16|125000|2025-08-01</v>
      </c>
    </row>
    <row r="214">
      <c r="A214" s="1" t="s">
        <v>15</v>
      </c>
      <c r="B214" s="1" t="s">
        <v>16</v>
      </c>
      <c r="C214" s="1" t="s">
        <v>17</v>
      </c>
      <c r="D214" s="1">
        <v>28.0</v>
      </c>
      <c r="E214" s="1">
        <v>15.0</v>
      </c>
      <c r="F214" s="1">
        <v>1.0</v>
      </c>
      <c r="G214" s="1">
        <v>6.0</v>
      </c>
      <c r="H214" s="1" t="s">
        <v>18</v>
      </c>
      <c r="I214" s="2">
        <v>45800.0</v>
      </c>
      <c r="J214" s="1">
        <v>8500000.0</v>
      </c>
      <c r="K214" s="2">
        <v>45778.0</v>
      </c>
      <c r="L214" s="3" t="str">
        <f t="shared" si="1"/>
        <v>SKU-001|Laptop ASUS Vivobook|Electronics|28|15|1|6|SUP_EL01|2025-05-23|8500000|2025-05-01</v>
      </c>
    </row>
    <row r="215">
      <c r="A215" s="1" t="s">
        <v>64</v>
      </c>
      <c r="B215" s="1" t="s">
        <v>65</v>
      </c>
      <c r="C215" s="1" t="s">
        <v>42</v>
      </c>
      <c r="D215" s="1">
        <v>21.0</v>
      </c>
      <c r="E215" s="1">
        <v>20.0</v>
      </c>
      <c r="F215" s="1">
        <v>2.0</v>
      </c>
      <c r="G215" s="1">
        <v>9.0</v>
      </c>
      <c r="H215" s="1" t="s">
        <v>59</v>
      </c>
      <c r="I215" s="2">
        <v>45724.0</v>
      </c>
      <c r="J215" s="1">
        <v>750000.0</v>
      </c>
      <c r="K215" s="2">
        <v>45717.0</v>
      </c>
      <c r="L215" s="3" t="str">
        <f t="shared" si="1"/>
        <v>SKU-009|Blender Philips HR2157|Home &amp; Living|21|20|2|9|SUP_HM01|2025-03-08|750000|2025-03-01</v>
      </c>
    </row>
    <row r="216">
      <c r="A216" s="1" t="s">
        <v>60</v>
      </c>
      <c r="B216" s="1" t="s">
        <v>61</v>
      </c>
      <c r="C216" s="1" t="s">
        <v>17</v>
      </c>
      <c r="D216" s="1">
        <v>12.0</v>
      </c>
      <c r="E216" s="1">
        <v>20.0</v>
      </c>
      <c r="F216" s="1">
        <v>2.0</v>
      </c>
      <c r="G216" s="1">
        <v>16.0</v>
      </c>
      <c r="H216" s="1" t="s">
        <v>27</v>
      </c>
      <c r="I216" s="2">
        <v>45724.0</v>
      </c>
      <c r="J216" s="1">
        <v>3200000.0</v>
      </c>
      <c r="K216" s="2">
        <v>45717.0</v>
      </c>
      <c r="L216" s="3" t="str">
        <f t="shared" si="1"/>
        <v>SKU-003|Headphone Sony WH-1000|Electronics|12|20|2|16|SUP_EL02|2025-03-08|3200000|2025-03-01</v>
      </c>
    </row>
    <row r="217">
      <c r="A217" s="1" t="s">
        <v>48</v>
      </c>
      <c r="B217" s="1" t="s">
        <v>49</v>
      </c>
      <c r="C217" s="1" t="s">
        <v>36</v>
      </c>
      <c r="D217" s="1">
        <v>72.0</v>
      </c>
      <c r="E217" s="1">
        <v>120.0</v>
      </c>
      <c r="F217" s="1">
        <v>18.0</v>
      </c>
      <c r="G217" s="1">
        <v>7.0</v>
      </c>
      <c r="H217" s="1" t="s">
        <v>50</v>
      </c>
      <c r="I217" s="2">
        <v>45815.0</v>
      </c>
      <c r="J217" s="1">
        <v>55000.0</v>
      </c>
      <c r="K217" s="2">
        <v>45809.0</v>
      </c>
      <c r="L217" s="3" t="str">
        <f t="shared" si="1"/>
        <v>SKU-020|Snack Granola Mix 500g|Food &amp; Beverage|72|120|18|7|SUP_FB02|2025-06-07|55000|2025-06-01</v>
      </c>
    </row>
    <row r="218">
      <c r="A218" s="1" t="s">
        <v>40</v>
      </c>
      <c r="B218" s="1" t="s">
        <v>41</v>
      </c>
      <c r="C218" s="1" t="s">
        <v>42</v>
      </c>
      <c r="D218" s="1">
        <v>33.0</v>
      </c>
      <c r="E218" s="1">
        <v>15.0</v>
      </c>
      <c r="F218" s="1">
        <v>2.0</v>
      </c>
      <c r="G218" s="1">
        <v>10.0</v>
      </c>
      <c r="H218" s="1" t="s">
        <v>43</v>
      </c>
      <c r="I218" s="2">
        <v>46032.0</v>
      </c>
      <c r="J218" s="1">
        <v>1200000.0</v>
      </c>
      <c r="K218" s="2">
        <v>46023.0</v>
      </c>
      <c r="L218" s="3" t="str">
        <f t="shared" si="1"/>
        <v>SKU-011|Vacuum Cleaner Deerma|Home &amp; Living|33|15|2|10|SUP_HM02|2026-01-10|1200000|2026-01-01</v>
      </c>
    </row>
    <row r="219">
      <c r="A219" s="1" t="s">
        <v>53</v>
      </c>
      <c r="B219" s="1" t="s">
        <v>54</v>
      </c>
      <c r="C219" s="1" t="s">
        <v>13</v>
      </c>
      <c r="D219" s="1">
        <v>246.0</v>
      </c>
      <c r="E219" s="1">
        <v>60.0</v>
      </c>
      <c r="F219" s="1">
        <v>3.0</v>
      </c>
      <c r="G219" s="1">
        <v>7.0</v>
      </c>
      <c r="H219" s="1" t="s">
        <v>14</v>
      </c>
      <c r="I219" s="2">
        <v>46049.0</v>
      </c>
      <c r="J219" s="1">
        <v>165000.0</v>
      </c>
      <c r="K219" s="2">
        <v>46023.0</v>
      </c>
      <c r="L219" s="3" t="str">
        <f t="shared" si="1"/>
        <v>SKU-015|Foundation Maybelline Fit|Beauty|246|60|3|7|SUP_BT02|2026-01-27|165000|2026-01-01</v>
      </c>
    </row>
    <row r="220">
      <c r="A220" s="1" t="s">
        <v>34</v>
      </c>
      <c r="B220" s="1" t="s">
        <v>35</v>
      </c>
      <c r="C220" s="1" t="s">
        <v>36</v>
      </c>
      <c r="D220" s="1">
        <v>64.0</v>
      </c>
      <c r="E220" s="1">
        <v>80.0</v>
      </c>
      <c r="F220" s="1">
        <v>13.0</v>
      </c>
      <c r="G220" s="1">
        <v>5.0</v>
      </c>
      <c r="H220" s="1" t="s">
        <v>37</v>
      </c>
      <c r="I220" s="2">
        <v>45970.0</v>
      </c>
      <c r="J220" s="1">
        <v>65000.0</v>
      </c>
      <c r="K220" s="2">
        <v>45962.0</v>
      </c>
      <c r="L220" s="3" t="str">
        <f t="shared" si="1"/>
        <v>SKU-018|Teh Organik Premium Box|Food &amp; Beverage|64|80|13|5|SUP_FB01|2025-11-09|65000|2025-11-01</v>
      </c>
    </row>
    <row r="221">
      <c r="A221" s="1" t="s">
        <v>57</v>
      </c>
      <c r="B221" s="1" t="s">
        <v>58</v>
      </c>
      <c r="C221" s="1" t="s">
        <v>42</v>
      </c>
      <c r="D221" s="1">
        <v>37.0</v>
      </c>
      <c r="E221" s="1">
        <v>25.0</v>
      </c>
      <c r="F221" s="1">
        <v>1.0</v>
      </c>
      <c r="G221" s="1">
        <v>9.0</v>
      </c>
      <c r="H221" s="1" t="s">
        <v>59</v>
      </c>
      <c r="I221" s="2">
        <v>45775.0</v>
      </c>
      <c r="J221" s="1">
        <v>450000.0</v>
      </c>
      <c r="K221" s="2">
        <v>45748.0</v>
      </c>
      <c r="L221" s="3" t="str">
        <f t="shared" si="1"/>
        <v>SKU-010|Rice Cooker Miyako 1.8L|Home &amp; Living|37|25|1|9|SUP_HM01|2025-04-28|450000|2025-04-01</v>
      </c>
    </row>
    <row r="222">
      <c r="A222" s="1" t="s">
        <v>21</v>
      </c>
      <c r="B222" s="1" t="s">
        <v>22</v>
      </c>
      <c r="C222" s="1" t="s">
        <v>23</v>
      </c>
      <c r="D222" s="1">
        <v>0.0</v>
      </c>
      <c r="E222" s="1">
        <v>50.0</v>
      </c>
      <c r="F222" s="1">
        <v>13.0</v>
      </c>
      <c r="G222" s="1">
        <v>3.0</v>
      </c>
      <c r="H222" s="1" t="s">
        <v>24</v>
      </c>
      <c r="I222" s="2">
        <v>45747.0</v>
      </c>
      <c r="J222" s="1">
        <v>350000.0</v>
      </c>
      <c r="K222" s="2">
        <v>45717.0</v>
      </c>
      <c r="L222" s="3" t="str">
        <f t="shared" si="1"/>
        <v>SKU-005|Kemeja Formal Pria|Fashion|0|50|13|3|SUP_FA01|2025-03-31|350000|2025-03-01</v>
      </c>
    </row>
    <row r="223">
      <c r="A223" s="1" t="s">
        <v>53</v>
      </c>
      <c r="B223" s="1" t="s">
        <v>54</v>
      </c>
      <c r="C223" s="1" t="s">
        <v>13</v>
      </c>
      <c r="D223" s="1">
        <v>230.0</v>
      </c>
      <c r="E223" s="1">
        <v>60.0</v>
      </c>
      <c r="F223" s="1">
        <v>2.0</v>
      </c>
      <c r="G223" s="1">
        <v>8.0</v>
      </c>
      <c r="H223" s="1" t="s">
        <v>14</v>
      </c>
      <c r="I223" s="2">
        <v>45817.0</v>
      </c>
      <c r="J223" s="1">
        <v>165000.0</v>
      </c>
      <c r="K223" s="2">
        <v>45809.0</v>
      </c>
      <c r="L223" s="3" t="str">
        <f t="shared" si="1"/>
        <v>SKU-015|Foundation Maybelline Fit|Beauty|230|60|2|8|SUP_BT02|2025-06-09|165000|2025-06-01</v>
      </c>
    </row>
    <row r="224">
      <c r="A224" s="1" t="s">
        <v>57</v>
      </c>
      <c r="B224" s="1" t="s">
        <v>58</v>
      </c>
      <c r="C224" s="1" t="s">
        <v>42</v>
      </c>
      <c r="D224" s="1">
        <v>52.0</v>
      </c>
      <c r="E224" s="1">
        <v>25.0</v>
      </c>
      <c r="F224" s="1">
        <v>4.0</v>
      </c>
      <c r="G224" s="1">
        <v>9.0</v>
      </c>
      <c r="H224" s="1" t="s">
        <v>59</v>
      </c>
      <c r="I224" s="2">
        <v>45671.0</v>
      </c>
      <c r="J224" s="1">
        <v>450000.0</v>
      </c>
      <c r="K224" s="2">
        <v>45658.0</v>
      </c>
      <c r="L224" s="3" t="str">
        <f t="shared" si="1"/>
        <v>SKU-010|Rice Cooker Miyako 1.8L|Home &amp; Living|52|25|4|9|SUP_HM01|2025-01-14|450000|2025-01-01</v>
      </c>
    </row>
    <row r="225">
      <c r="A225" s="1" t="s">
        <v>64</v>
      </c>
      <c r="B225" s="1" t="s">
        <v>65</v>
      </c>
      <c r="C225" s="1" t="s">
        <v>42</v>
      </c>
      <c r="D225" s="1">
        <v>47.0</v>
      </c>
      <c r="E225" s="1">
        <v>20.0</v>
      </c>
      <c r="F225" s="1">
        <v>4.0</v>
      </c>
      <c r="G225" s="1">
        <v>9.0</v>
      </c>
      <c r="H225" s="1" t="s">
        <v>59</v>
      </c>
      <c r="I225" s="2">
        <v>45909.0</v>
      </c>
      <c r="J225" s="1">
        <v>750000.0</v>
      </c>
      <c r="K225" s="2">
        <v>45901.0</v>
      </c>
      <c r="L225" s="3" t="str">
        <f t="shared" si="1"/>
        <v>SKU-009|Blender Philips HR2157|Home &amp; Living|47|20|4|9|SUP_HM01|2025-09-09|750000|2025-09-01</v>
      </c>
    </row>
    <row r="226">
      <c r="A226" s="1" t="s">
        <v>31</v>
      </c>
      <c r="B226" s="1" t="s">
        <v>32</v>
      </c>
      <c r="C226" s="1" t="s">
        <v>13</v>
      </c>
      <c r="D226" s="1">
        <v>153.0</v>
      </c>
      <c r="E226" s="1">
        <v>40.0</v>
      </c>
      <c r="F226" s="1">
        <v>4.0</v>
      </c>
      <c r="G226" s="1">
        <v>5.0</v>
      </c>
      <c r="H226" s="1" t="s">
        <v>33</v>
      </c>
      <c r="I226" s="2">
        <v>46097.0</v>
      </c>
      <c r="J226" s="1">
        <v>550000.0</v>
      </c>
      <c r="K226" s="2">
        <v>46082.0</v>
      </c>
      <c r="L226" s="3" t="str">
        <f t="shared" si="1"/>
        <v>SKU-013|Skincare Set Whitelab|Beauty|153|40|4|5|SUP_BT01|2026-03-16|550000|2026-03-01</v>
      </c>
    </row>
    <row r="227">
      <c r="A227" s="1" t="s">
        <v>15</v>
      </c>
      <c r="B227" s="1" t="s">
        <v>16</v>
      </c>
      <c r="C227" s="1" t="s">
        <v>17</v>
      </c>
      <c r="D227" s="1">
        <v>19.0</v>
      </c>
      <c r="E227" s="1">
        <v>15.0</v>
      </c>
      <c r="F227" s="1">
        <v>3.0</v>
      </c>
      <c r="G227" s="1">
        <v>5.0</v>
      </c>
      <c r="H227" s="1" t="s">
        <v>18</v>
      </c>
      <c r="I227" s="2">
        <v>45903.0</v>
      </c>
      <c r="J227" s="1">
        <v>8500000.0</v>
      </c>
      <c r="K227" s="2">
        <v>45901.0</v>
      </c>
      <c r="L227" s="3" t="str">
        <f t="shared" si="1"/>
        <v>SKU-001|Laptop ASUS Vivobook|Electronics|19|15|3|5|SUP_EL01|2025-09-03|8500000|2025-09-01</v>
      </c>
    </row>
    <row r="228">
      <c r="A228" s="1" t="s">
        <v>21</v>
      </c>
      <c r="B228" s="1" t="s">
        <v>22</v>
      </c>
      <c r="C228" s="1" t="s">
        <v>23</v>
      </c>
      <c r="D228" s="1">
        <v>0.0</v>
      </c>
      <c r="E228" s="1">
        <v>50.0</v>
      </c>
      <c r="F228" s="1">
        <v>12.0</v>
      </c>
      <c r="G228" s="1">
        <v>5.0</v>
      </c>
      <c r="H228" s="1" t="s">
        <v>24</v>
      </c>
      <c r="I228" s="2">
        <v>45971.0</v>
      </c>
      <c r="J228" s="1">
        <v>350000.0</v>
      </c>
      <c r="K228" s="2">
        <v>45962.0</v>
      </c>
      <c r="L228" s="3" t="str">
        <f t="shared" si="1"/>
        <v>SKU-005|Kemeja Formal Pria|Fashion|0|50|12|5|SUP_FA01|2025-11-10|350000|2025-11-01</v>
      </c>
    </row>
    <row r="229">
      <c r="A229" s="1" t="s">
        <v>51</v>
      </c>
      <c r="B229" s="1" t="s">
        <v>52</v>
      </c>
      <c r="C229" s="1" t="s">
        <v>36</v>
      </c>
      <c r="D229" s="1">
        <v>37.0</v>
      </c>
      <c r="E229" s="1">
        <v>60.0</v>
      </c>
      <c r="F229" s="1">
        <v>8.0</v>
      </c>
      <c r="G229" s="1">
        <v>5.0</v>
      </c>
      <c r="H229" s="1" t="s">
        <v>50</v>
      </c>
      <c r="I229" s="2">
        <v>45795.0</v>
      </c>
      <c r="J229" s="1">
        <v>175000.0</v>
      </c>
      <c r="K229" s="2">
        <v>45778.0</v>
      </c>
      <c r="L229" s="3" t="str">
        <f t="shared" si="1"/>
        <v>SKU-019|Madu Hutan Asli 500ml|Food &amp; Beverage|37|60|8|5|SUP_FB02|2025-05-18|175000|2025-05-01</v>
      </c>
    </row>
    <row r="230">
      <c r="A230" s="1" t="s">
        <v>21</v>
      </c>
      <c r="B230" s="1" t="s">
        <v>22</v>
      </c>
      <c r="C230" s="1" t="s">
        <v>23</v>
      </c>
      <c r="D230" s="1">
        <v>49.0</v>
      </c>
      <c r="E230" s="1">
        <v>50.0</v>
      </c>
      <c r="F230" s="1">
        <v>5.0</v>
      </c>
      <c r="H230" s="1" t="s">
        <v>24</v>
      </c>
      <c r="I230" s="2">
        <v>45784.0</v>
      </c>
      <c r="J230" s="1">
        <v>350000.0</v>
      </c>
      <c r="K230" s="2">
        <v>45778.0</v>
      </c>
      <c r="L230" s="3" t="str">
        <f t="shared" si="1"/>
        <v>SKU-005|Kemeja Formal Pria|Fashion|49|50|5|SUP_FA01|2025-05-07|350000|2025-05-01</v>
      </c>
    </row>
    <row r="231">
      <c r="A231" s="1" t="s">
        <v>60</v>
      </c>
      <c r="B231" s="1" t="s">
        <v>61</v>
      </c>
      <c r="C231" s="1" t="s">
        <v>17</v>
      </c>
      <c r="D231" s="1">
        <v>22.0</v>
      </c>
      <c r="E231" s="1">
        <v>20.0</v>
      </c>
      <c r="F231" s="1">
        <v>4.0</v>
      </c>
      <c r="G231" s="1">
        <v>8.0</v>
      </c>
      <c r="H231" s="1" t="s">
        <v>27</v>
      </c>
      <c r="I231" s="2">
        <v>46103.0</v>
      </c>
      <c r="J231" s="1">
        <v>3200000.0</v>
      </c>
      <c r="K231" s="2">
        <v>46082.0</v>
      </c>
      <c r="L231" s="3" t="str">
        <f t="shared" si="1"/>
        <v>SKU-003|Headphone Sony WH-1000|Electronics|22|20|4|8|SUP_EL02|2026-03-22|3200000|2026-03-01</v>
      </c>
    </row>
    <row r="232">
      <c r="A232" s="1" t="s">
        <v>55</v>
      </c>
      <c r="B232" s="1" t="s">
        <v>56</v>
      </c>
      <c r="C232" s="1" t="s">
        <v>36</v>
      </c>
      <c r="D232" s="1">
        <v>58.0</v>
      </c>
      <c r="E232" s="1">
        <v>100.0</v>
      </c>
      <c r="F232" s="1">
        <v>14.0</v>
      </c>
      <c r="G232" s="1">
        <v>3.0</v>
      </c>
      <c r="H232" s="1" t="s">
        <v>37</v>
      </c>
      <c r="I232" s="2">
        <v>45951.0</v>
      </c>
      <c r="J232" s="1">
        <v>85000.0</v>
      </c>
      <c r="K232" s="2">
        <v>45931.0</v>
      </c>
      <c r="L232" s="3" t="str">
        <f t="shared" si="1"/>
        <v>SKU-017|Kopi Arabika 250g Pack|Food &amp; Beverage|58|100|14|3|SUP_FB01|2025-10-21|85000|2025-10-01</v>
      </c>
    </row>
    <row r="233">
      <c r="A233" s="1" t="s">
        <v>40</v>
      </c>
      <c r="B233" s="1" t="s">
        <v>41</v>
      </c>
      <c r="C233" s="1" t="s">
        <v>42</v>
      </c>
      <c r="D233" s="1">
        <v>14.0</v>
      </c>
      <c r="E233" s="1">
        <v>15.0</v>
      </c>
      <c r="F233" s="1">
        <v>2.0</v>
      </c>
      <c r="G233" s="1">
        <v>5.0</v>
      </c>
      <c r="H233" s="1" t="s">
        <v>43</v>
      </c>
      <c r="I233" s="2">
        <v>45858.0</v>
      </c>
      <c r="J233" s="1">
        <v>1200000.0</v>
      </c>
      <c r="K233" s="2">
        <v>45839.0</v>
      </c>
      <c r="L233" s="3" t="str">
        <f t="shared" si="1"/>
        <v>SKU-011|Vacuum Cleaner Deerma|Home &amp; Living|14|15|2|5|SUP_HM02|2025-07-20|1200000|2025-07-01</v>
      </c>
    </row>
    <row r="234">
      <c r="A234" s="1" t="s">
        <v>60</v>
      </c>
      <c r="B234" s="1" t="s">
        <v>61</v>
      </c>
      <c r="C234" s="1" t="s">
        <v>17</v>
      </c>
      <c r="D234" s="1">
        <v>0.0</v>
      </c>
      <c r="E234" s="1">
        <v>20.0</v>
      </c>
      <c r="F234" s="1">
        <v>4.0</v>
      </c>
      <c r="G234" s="1">
        <v>17.0</v>
      </c>
      <c r="H234" s="1" t="s">
        <v>27</v>
      </c>
      <c r="I234" s="2">
        <v>45964.0</v>
      </c>
      <c r="J234" s="1">
        <v>3200000.0</v>
      </c>
      <c r="K234" s="2">
        <v>45962.0</v>
      </c>
      <c r="L234" s="3" t="str">
        <f t="shared" si="1"/>
        <v>SKU-003|Headphone Sony WH-1000|Electronics|0|20|4|17|SUP_EL02|2025-11-03|3200000|2025-11-01</v>
      </c>
    </row>
    <row r="235">
      <c r="A235" s="1" t="s">
        <v>64</v>
      </c>
      <c r="B235" s="1" t="s">
        <v>65</v>
      </c>
      <c r="C235" s="1" t="s">
        <v>42</v>
      </c>
      <c r="D235" s="1">
        <v>26.0</v>
      </c>
      <c r="E235" s="1">
        <v>20.0</v>
      </c>
      <c r="F235" s="1">
        <v>2.0</v>
      </c>
      <c r="G235" s="1">
        <v>10.0</v>
      </c>
      <c r="H235" s="1" t="s">
        <v>59</v>
      </c>
      <c r="I235" s="2">
        <v>45762.0</v>
      </c>
      <c r="J235" s="1">
        <v>750000.0</v>
      </c>
      <c r="K235" s="2">
        <v>45748.0</v>
      </c>
      <c r="L235" s="3" t="str">
        <f t="shared" si="1"/>
        <v>SKU-009|Blender Philips HR2157|Home &amp; Living|26|20|2|10|SUP_HM01|2025-04-15|750000|2025-04-01</v>
      </c>
    </row>
    <row r="236">
      <c r="A236" s="1" t="s">
        <v>48</v>
      </c>
      <c r="B236" s="1" t="s">
        <v>49</v>
      </c>
      <c r="C236" s="1" t="s">
        <v>36</v>
      </c>
      <c r="D236" s="1">
        <v>12.0</v>
      </c>
      <c r="E236" s="1">
        <v>120.0</v>
      </c>
      <c r="F236" s="1">
        <v>21.0</v>
      </c>
      <c r="G236" s="1">
        <v>5.0</v>
      </c>
      <c r="H236" s="1" t="s">
        <v>50</v>
      </c>
      <c r="I236" s="2">
        <v>45706.0</v>
      </c>
      <c r="J236" s="1">
        <v>55000.0</v>
      </c>
      <c r="K236" s="2">
        <v>45689.0</v>
      </c>
      <c r="L236" s="3" t="str">
        <f t="shared" si="1"/>
        <v>SKU-020|Snack Granola Mix 500g|Food &amp; Beverage|12|120|21|5|SUP_FB02|2025-02-18|55000|2025-02-01</v>
      </c>
    </row>
    <row r="237">
      <c r="A237" s="1" t="s">
        <v>53</v>
      </c>
      <c r="B237" s="1" t="s">
        <v>54</v>
      </c>
      <c r="C237" s="1" t="s">
        <v>13</v>
      </c>
      <c r="D237" s="1">
        <v>292.0</v>
      </c>
      <c r="E237" s="1">
        <v>60.0</v>
      </c>
      <c r="F237" s="1">
        <v>3.0</v>
      </c>
      <c r="G237" s="1">
        <v>8.0</v>
      </c>
      <c r="H237" s="1" t="s">
        <v>14</v>
      </c>
      <c r="I237" s="2">
        <v>45869.0</v>
      </c>
      <c r="J237" s="1">
        <v>165000.0</v>
      </c>
      <c r="K237" s="2">
        <v>45839.0</v>
      </c>
      <c r="L237" s="3" t="str">
        <f t="shared" si="1"/>
        <v>SKU-015|Foundation Maybelline Fit|Beauty|292|60|3|8|SUP_BT02|2025-07-31|165000|2025-07-01</v>
      </c>
    </row>
    <row r="238">
      <c r="A238" s="1" t="s">
        <v>40</v>
      </c>
      <c r="B238" s="1" t="s">
        <v>41</v>
      </c>
      <c r="C238" s="1" t="s">
        <v>42</v>
      </c>
      <c r="D238" s="1">
        <v>18.0</v>
      </c>
      <c r="E238" s="1">
        <v>15.0</v>
      </c>
      <c r="F238" s="1">
        <v>3.0</v>
      </c>
      <c r="G238" s="1">
        <v>5.0</v>
      </c>
      <c r="H238" s="1" t="s">
        <v>43</v>
      </c>
      <c r="I238" s="2">
        <v>45774.0</v>
      </c>
      <c r="J238" s="1">
        <v>1200000.0</v>
      </c>
      <c r="K238" s="2">
        <v>45748.0</v>
      </c>
      <c r="L238" s="3" t="str">
        <f t="shared" si="1"/>
        <v>SKU-011|Vacuum Cleaner Deerma|Home &amp; Living|18|15|3|5|SUP_HM02|2025-04-27|1200000|2025-04-01</v>
      </c>
    </row>
    <row r="239">
      <c r="A239" s="1" t="s">
        <v>25</v>
      </c>
      <c r="B239" s="1" t="s">
        <v>26</v>
      </c>
      <c r="C239" s="1" t="s">
        <v>17</v>
      </c>
      <c r="D239" s="1">
        <v>29.0</v>
      </c>
      <c r="E239" s="1">
        <v>25.0</v>
      </c>
      <c r="F239" s="1">
        <v>4.0</v>
      </c>
      <c r="G239" s="1">
        <v>11.0</v>
      </c>
      <c r="H239" s="1" t="s">
        <v>27</v>
      </c>
      <c r="I239" s="2">
        <v>45917.0</v>
      </c>
      <c r="J239" s="1">
        <v>4500000.0</v>
      </c>
      <c r="K239" s="2">
        <v>45901.0</v>
      </c>
      <c r="L239" s="3" t="str">
        <f t="shared" si="1"/>
        <v>SKU-002|Smartphone Samsung A54|Electronics|29|25|4|11|SUP_EL02|2025-09-17|4500000|2025-09-01</v>
      </c>
    </row>
    <row r="240">
      <c r="A240" s="1" t="s">
        <v>48</v>
      </c>
      <c r="B240" s="1" t="s">
        <v>49</v>
      </c>
      <c r="C240" s="1" t="s">
        <v>36</v>
      </c>
      <c r="D240" s="1">
        <v>68.0</v>
      </c>
      <c r="E240" s="1">
        <v>120.0</v>
      </c>
      <c r="F240" s="1">
        <v>16.0</v>
      </c>
      <c r="G240" s="1">
        <v>6.0</v>
      </c>
      <c r="H240" s="1" t="s">
        <v>50</v>
      </c>
      <c r="I240" s="2">
        <v>45672.0</v>
      </c>
      <c r="J240" s="1">
        <v>55000.0</v>
      </c>
      <c r="K240" s="2">
        <v>45658.0</v>
      </c>
      <c r="L240" s="3" t="str">
        <f t="shared" si="1"/>
        <v>SKU-020|Snack Granola Mix 500g|Food &amp; Beverage|68|120|16|6|SUP_FB02|2025-01-15|55000|2025-01-01</v>
      </c>
    </row>
    <row r="241">
      <c r="A241" s="1" t="s">
        <v>46</v>
      </c>
      <c r="B241" s="1" t="s">
        <v>47</v>
      </c>
      <c r="C241" s="1" t="s">
        <v>23</v>
      </c>
      <c r="D241" s="1">
        <v>35.0</v>
      </c>
      <c r="E241" s="1">
        <v>40.0</v>
      </c>
      <c r="F241" s="1">
        <v>4.0</v>
      </c>
      <c r="G241" s="1">
        <v>5.0</v>
      </c>
      <c r="H241" s="1" t="s">
        <v>30</v>
      </c>
      <c r="I241" s="2">
        <v>46161.0</v>
      </c>
      <c r="J241" s="1">
        <v>550000.0</v>
      </c>
      <c r="K241" s="2">
        <v>45809.0</v>
      </c>
      <c r="L241" s="3" t="str">
        <f t="shared" si="1"/>
        <v>SKU-008|Tas Ransel Eiger|Fashion|35|40|4|5|SUP_FA02|2026-05-19|550000|2025-06-01</v>
      </c>
    </row>
    <row r="242">
      <c r="A242" s="1" t="s">
        <v>38</v>
      </c>
      <c r="B242" s="1" t="s">
        <v>39</v>
      </c>
      <c r="C242" s="1" t="s">
        <v>23</v>
      </c>
      <c r="D242" s="1">
        <v>15.0</v>
      </c>
      <c r="E242" s="1">
        <v>45.0</v>
      </c>
      <c r="F242" s="1">
        <v>7.0</v>
      </c>
      <c r="G242" s="1">
        <v>4.0</v>
      </c>
      <c r="H242" s="1" t="s">
        <v>24</v>
      </c>
      <c r="I242" s="2">
        <v>45856.0</v>
      </c>
      <c r="J242" s="1">
        <v>450000.0</v>
      </c>
      <c r="K242" s="2">
        <v>45839.0</v>
      </c>
      <c r="L242" s="3" t="str">
        <f t="shared" si="1"/>
        <v>SKU-006|Dress Casual Wanita|Fashion|15|45|7|4|SUP_FA01|2025-07-18|450000|2025-07-01</v>
      </c>
    </row>
    <row r="243">
      <c r="A243" s="1" t="s">
        <v>11</v>
      </c>
      <c r="B243" s="1" t="s">
        <v>12</v>
      </c>
      <c r="C243" s="1" t="s">
        <v>13</v>
      </c>
      <c r="D243" s="1">
        <v>172.0</v>
      </c>
      <c r="E243" s="1">
        <v>50.0</v>
      </c>
      <c r="F243" s="1">
        <v>2.0</v>
      </c>
      <c r="G243" s="1">
        <v>6.0</v>
      </c>
      <c r="H243" s="1" t="s">
        <v>14</v>
      </c>
      <c r="I243" s="2">
        <v>46018.0</v>
      </c>
      <c r="J243" s="1">
        <v>125000.0</v>
      </c>
      <c r="K243" s="2">
        <v>45992.0</v>
      </c>
      <c r="L243" s="3" t="str">
        <f t="shared" si="1"/>
        <v>SKU-016|Parfum EDT Brasov 100ml|Beauty|172|50|2|6|SUP_BT02|2025-12-27|125000|2025-12-01</v>
      </c>
    </row>
    <row r="244">
      <c r="A244" s="1" t="s">
        <v>62</v>
      </c>
      <c r="B244" s="1" t="s">
        <v>63</v>
      </c>
      <c r="C244" s="1" t="s">
        <v>13</v>
      </c>
      <c r="D244" s="1">
        <v>392.0</v>
      </c>
      <c r="E244" s="1">
        <v>80.0</v>
      </c>
      <c r="F244" s="1">
        <v>3.0</v>
      </c>
      <c r="G244" s="1">
        <v>6.0</v>
      </c>
      <c r="H244" s="1" t="s">
        <v>33</v>
      </c>
      <c r="I244" s="2">
        <v>46030.0</v>
      </c>
      <c r="J244" s="1">
        <v>85000.0</v>
      </c>
      <c r="K244" s="2">
        <v>46023.0</v>
      </c>
      <c r="L244" s="3" t="str">
        <f t="shared" si="1"/>
        <v>SKU-014|Lipstik Matte Wardah|Beauty|392|80|3|6|SUP_BT01|2026-01-08|85000|2026-01-01</v>
      </c>
    </row>
    <row r="245">
      <c r="A245" s="1" t="s">
        <v>53</v>
      </c>
      <c r="B245" s="1" t="s">
        <v>54</v>
      </c>
      <c r="C245" s="1" t="s">
        <v>13</v>
      </c>
      <c r="D245" s="1">
        <v>205.0</v>
      </c>
      <c r="E245" s="1">
        <v>60.0</v>
      </c>
      <c r="F245" s="1">
        <v>4.0</v>
      </c>
      <c r="G245" s="1">
        <v>7.0</v>
      </c>
      <c r="H245" s="1" t="s">
        <v>14</v>
      </c>
      <c r="I245" s="2">
        <v>45739.0</v>
      </c>
      <c r="J245" s="1">
        <v>165000.0</v>
      </c>
      <c r="K245" s="2">
        <v>45717.0</v>
      </c>
      <c r="L245" s="3" t="str">
        <f t="shared" si="1"/>
        <v>SKU-015|Foundation Maybelline Fit|Beauty|205|60|4|7|SUP_BT02|2025-03-23|165000|2025-03-01</v>
      </c>
    </row>
    <row r="246">
      <c r="A246" s="1" t="s">
        <v>60</v>
      </c>
      <c r="B246" s="1" t="s">
        <v>61</v>
      </c>
      <c r="C246" s="1" t="s">
        <v>17</v>
      </c>
      <c r="D246" s="1">
        <v>7.0</v>
      </c>
      <c r="E246" s="1">
        <v>20.0</v>
      </c>
      <c r="F246" s="1">
        <v>2.0</v>
      </c>
      <c r="G246" s="1">
        <v>7.0</v>
      </c>
      <c r="H246" s="1" t="s">
        <v>27</v>
      </c>
      <c r="I246" s="2">
        <v>45933.0</v>
      </c>
      <c r="J246" s="1">
        <v>3200000.0</v>
      </c>
      <c r="K246" s="2">
        <v>45931.0</v>
      </c>
      <c r="L246" s="3" t="str">
        <f t="shared" si="1"/>
        <v>SKU-003|Headphone Sony WH-1000|Electronics|7|20|2|7|SUP_EL02|2025-10-03|3200000|2025-10-01</v>
      </c>
    </row>
    <row r="247">
      <c r="A247" s="1" t="s">
        <v>55</v>
      </c>
      <c r="B247" s="1" t="s">
        <v>56</v>
      </c>
      <c r="C247" s="1" t="s">
        <v>36</v>
      </c>
      <c r="D247" s="1">
        <v>60.0</v>
      </c>
      <c r="E247" s="1">
        <v>100.0</v>
      </c>
      <c r="F247" s="1">
        <v>22.0</v>
      </c>
      <c r="G247" s="1">
        <v>5.0</v>
      </c>
      <c r="H247" s="1" t="s">
        <v>37</v>
      </c>
      <c r="I247" s="2">
        <v>46109.0</v>
      </c>
      <c r="J247" s="1">
        <v>85000.0</v>
      </c>
      <c r="K247" s="2">
        <v>46082.0</v>
      </c>
      <c r="L247" s="3" t="str">
        <f t="shared" si="1"/>
        <v>SKU-017|Kopi Arabika 250g Pack|Food &amp; Beverage|60|100|22|5|SUP_FB01|2026-03-28|85000|2026-03-01</v>
      </c>
    </row>
    <row r="248">
      <c r="A248" s="1" t="s">
        <v>11</v>
      </c>
      <c r="B248" s="1" t="s">
        <v>12</v>
      </c>
      <c r="C248" s="1" t="s">
        <v>13</v>
      </c>
      <c r="D248" s="1">
        <v>230.0</v>
      </c>
      <c r="E248" s="1">
        <v>50.0</v>
      </c>
      <c r="F248" s="1">
        <v>1.0</v>
      </c>
      <c r="G248" s="1">
        <v>4.0</v>
      </c>
      <c r="H248" s="1" t="s">
        <v>14</v>
      </c>
      <c r="I248" s="2">
        <v>45939.0</v>
      </c>
      <c r="J248" s="1">
        <v>125000.0</v>
      </c>
      <c r="K248" s="2">
        <v>45931.0</v>
      </c>
      <c r="L248" s="3" t="str">
        <f t="shared" si="1"/>
        <v>SKU-016|Parfum EDT Brasov 100ml|Beauty|230|50|1|4|SUP_BT02|2025-10-09|125000|2025-10-01</v>
      </c>
    </row>
    <row r="249">
      <c r="A249" s="1" t="s">
        <v>34</v>
      </c>
      <c r="B249" s="1" t="s">
        <v>35</v>
      </c>
      <c r="C249" s="1" t="s">
        <v>36</v>
      </c>
      <c r="D249" s="1">
        <v>0.0</v>
      </c>
      <c r="E249" s="1">
        <v>80.0</v>
      </c>
      <c r="F249" s="1">
        <v>17.0</v>
      </c>
      <c r="G249" s="1">
        <v>5.0</v>
      </c>
      <c r="H249" s="1" t="s">
        <v>37</v>
      </c>
      <c r="I249" s="2">
        <v>46012.0</v>
      </c>
      <c r="J249" s="1">
        <v>65000.0</v>
      </c>
      <c r="K249" s="2">
        <v>45992.0</v>
      </c>
      <c r="L249" s="3" t="str">
        <f t="shared" si="1"/>
        <v>SKU-018|Teh Organik Premium Box|Food &amp; Beverage|0|80|17|5|SUP_FB01|2025-12-21|65000|2025-12-01</v>
      </c>
    </row>
    <row r="250">
      <c r="A250" s="1" t="s">
        <v>62</v>
      </c>
      <c r="B250" s="1" t="s">
        <v>63</v>
      </c>
      <c r="C250" s="1" t="s">
        <v>13</v>
      </c>
      <c r="D250" s="1">
        <v>302.0</v>
      </c>
      <c r="E250" s="1">
        <v>80.0</v>
      </c>
      <c r="F250" s="1">
        <v>3.0</v>
      </c>
      <c r="G250" s="1">
        <v>5.0</v>
      </c>
      <c r="H250" s="1" t="s">
        <v>33</v>
      </c>
      <c r="I250" s="2">
        <v>45797.0</v>
      </c>
      <c r="J250" s="1">
        <v>85000.0</v>
      </c>
      <c r="K250" s="2">
        <v>45778.0</v>
      </c>
      <c r="L250" s="3" t="str">
        <f t="shared" si="1"/>
        <v>SKU-014|Lipstik Matte Wardah|Beauty|302|80|3|5|SUP_BT01|2025-05-20|85000|2025-05-01</v>
      </c>
    </row>
    <row r="251">
      <c r="A251" s="1" t="s">
        <v>15</v>
      </c>
      <c r="B251" s="1" t="s">
        <v>16</v>
      </c>
      <c r="C251" s="1" t="s">
        <v>17</v>
      </c>
      <c r="D251" s="1">
        <v>9.0</v>
      </c>
      <c r="E251" s="1">
        <v>15.0</v>
      </c>
      <c r="F251" s="1">
        <v>1.0</v>
      </c>
      <c r="G251" s="1">
        <v>6.0</v>
      </c>
      <c r="H251" s="1" t="s">
        <v>18</v>
      </c>
      <c r="I251" s="2">
        <v>46109.0</v>
      </c>
      <c r="J251" s="1">
        <v>8500000.0</v>
      </c>
      <c r="K251" s="2">
        <v>46082.0</v>
      </c>
      <c r="L251" s="3" t="str">
        <f t="shared" si="1"/>
        <v>SKU-001|Laptop ASUS Vivobook|Electronics|9|15|1|6|SUP_EL01|2026-03-28|8500000|2026-03-01</v>
      </c>
    </row>
    <row r="252">
      <c r="A252" s="1" t="s">
        <v>19</v>
      </c>
      <c r="B252" s="1" t="s">
        <v>20</v>
      </c>
      <c r="C252" s="1" t="s">
        <v>17</v>
      </c>
      <c r="D252" s="1">
        <v>26.0</v>
      </c>
      <c r="E252" s="1">
        <v>30.0</v>
      </c>
      <c r="F252" s="1">
        <v>2.0</v>
      </c>
      <c r="G252" s="1">
        <v>9.0</v>
      </c>
      <c r="H252" s="1" t="s">
        <v>18</v>
      </c>
      <c r="I252" s="2">
        <v>45731.0</v>
      </c>
      <c r="J252" s="1">
        <v>1200000.0</v>
      </c>
      <c r="K252" s="2">
        <v>45717.0</v>
      </c>
      <c r="L252" s="3" t="str">
        <f t="shared" si="1"/>
        <v>SKU-004|Smartwatch Xiaomi Band|Electronics|26|30|2|9|SUP_EL01|2025-03-15|1200000|2025-03-01</v>
      </c>
    </row>
    <row r="253">
      <c r="A253" s="1" t="s">
        <v>28</v>
      </c>
      <c r="B253" s="1" t="s">
        <v>29</v>
      </c>
      <c r="C253" s="1" t="s">
        <v>23</v>
      </c>
      <c r="D253" s="1">
        <v>20.0</v>
      </c>
      <c r="E253" s="1">
        <v>35.0</v>
      </c>
      <c r="F253" s="1">
        <v>5.0</v>
      </c>
      <c r="G253" s="1">
        <v>8.0</v>
      </c>
      <c r="H253" s="1" t="s">
        <v>30</v>
      </c>
      <c r="I253" s="2">
        <v>45784.0</v>
      </c>
      <c r="J253" s="1">
        <v>1250000.0</v>
      </c>
      <c r="K253" s="2">
        <v>45778.0</v>
      </c>
      <c r="L253" s="3" t="str">
        <f t="shared" si="1"/>
        <v>SKU-007|Sepatu Sneakers Nike|Fashion|20|35|5|8|SUP_FA02|2025-05-07|1250000|2025-05-01</v>
      </c>
    </row>
    <row r="254">
      <c r="A254" s="1" t="s">
        <v>51</v>
      </c>
      <c r="B254" s="1" t="s">
        <v>52</v>
      </c>
      <c r="C254" s="1" t="s">
        <v>36</v>
      </c>
      <c r="D254" s="1">
        <v>15.0</v>
      </c>
      <c r="E254" s="1">
        <v>60.0</v>
      </c>
      <c r="F254" s="1">
        <v>7.0</v>
      </c>
      <c r="G254" s="1">
        <v>5.0</v>
      </c>
      <c r="H254" s="1" t="s">
        <v>50</v>
      </c>
      <c r="I254" s="2">
        <v>45827.0</v>
      </c>
      <c r="J254" s="1">
        <v>175000.0</v>
      </c>
      <c r="K254" s="2">
        <v>45809.0</v>
      </c>
      <c r="L254" s="3" t="str">
        <f t="shared" si="1"/>
        <v>SKU-019|Madu Hutan Asli 500ml|Food &amp; Beverage|15|60|7|5|SUP_FB02|2025-06-19|175000|2025-06-01</v>
      </c>
    </row>
    <row r="255">
      <c r="A255" s="1" t="s">
        <v>11</v>
      </c>
      <c r="B255" s="1" t="s">
        <v>12</v>
      </c>
      <c r="C255" s="1" t="s">
        <v>13</v>
      </c>
      <c r="D255" s="1">
        <v>-15.0</v>
      </c>
      <c r="E255" s="1">
        <v>50.0</v>
      </c>
      <c r="F255" s="1">
        <v>3.0</v>
      </c>
      <c r="G255" s="1">
        <v>6.0</v>
      </c>
      <c r="H255" s="1" t="s">
        <v>14</v>
      </c>
      <c r="I255" s="2">
        <v>45734.0</v>
      </c>
      <c r="J255" s="1">
        <v>125000.0</v>
      </c>
      <c r="K255" s="2">
        <v>45717.0</v>
      </c>
      <c r="L255" s="3" t="str">
        <f t="shared" si="1"/>
        <v>SKU-016|Parfum EDT Brasov 100ml|Beauty|-15|50|3|6|SUP_BT02|2025-03-18|125000|2025-03-01</v>
      </c>
    </row>
    <row r="256">
      <c r="A256" s="1" t="s">
        <v>51</v>
      </c>
      <c r="B256" s="1" t="s">
        <v>52</v>
      </c>
      <c r="C256" s="1" t="s">
        <v>36</v>
      </c>
      <c r="D256" s="1">
        <v>0.0</v>
      </c>
      <c r="E256" s="1">
        <v>60.0</v>
      </c>
      <c r="F256" s="1">
        <v>11.0</v>
      </c>
      <c r="G256" s="1">
        <v>5.0</v>
      </c>
      <c r="H256" s="1" t="s">
        <v>50</v>
      </c>
      <c r="I256" s="2">
        <v>46083.0</v>
      </c>
      <c r="J256" s="1">
        <v>175000.0</v>
      </c>
      <c r="K256" s="2">
        <v>46082.0</v>
      </c>
      <c r="L256" s="3" t="str">
        <f t="shared" si="1"/>
        <v>SKU-019|Madu Hutan Asli 500ml|Food &amp; Beverage|0|60|11|5|SUP_FB02|2026-03-02|175000|2026-03-01</v>
      </c>
    </row>
    <row r="257">
      <c r="A257" s="1" t="s">
        <v>62</v>
      </c>
      <c r="B257" s="1" t="s">
        <v>63</v>
      </c>
      <c r="C257" s="1" t="s">
        <v>13</v>
      </c>
      <c r="D257" s="1">
        <v>386.0</v>
      </c>
      <c r="E257" s="1">
        <v>80.0</v>
      </c>
      <c r="F257" s="1">
        <v>3.0</v>
      </c>
      <c r="G257" s="1">
        <v>6.0</v>
      </c>
      <c r="H257" s="1" t="s">
        <v>33</v>
      </c>
      <c r="I257" s="2">
        <v>45852.0</v>
      </c>
      <c r="J257" s="1">
        <v>85000.0</v>
      </c>
      <c r="K257" s="2">
        <v>45839.0</v>
      </c>
      <c r="L257" s="3" t="str">
        <f t="shared" si="1"/>
        <v>SKU-014|Lipstik Matte Wardah|Beauty|386|80|3|6|SUP_BT01|2025-07-14|85000|2025-07-01</v>
      </c>
    </row>
    <row r="258">
      <c r="A258" s="1" t="s">
        <v>40</v>
      </c>
      <c r="B258" s="1" t="s">
        <v>41</v>
      </c>
      <c r="C258" s="1" t="s">
        <v>42</v>
      </c>
      <c r="D258" s="1">
        <v>9.0</v>
      </c>
      <c r="E258" s="1">
        <v>15.0</v>
      </c>
      <c r="F258" s="1">
        <v>1.0</v>
      </c>
      <c r="G258" s="1">
        <v>8.0</v>
      </c>
      <c r="H258" s="1" t="s">
        <v>43</v>
      </c>
      <c r="I258" s="2">
        <v>46014.0</v>
      </c>
      <c r="J258" s="1">
        <v>1200000.0</v>
      </c>
      <c r="K258" s="2">
        <v>45992.0</v>
      </c>
      <c r="L258" s="3" t="str">
        <f t="shared" si="1"/>
        <v>SKU-011|Vacuum Cleaner Deerma|Home &amp; Living|9|15|1|8|SUP_HM02|2025-12-23|1200000|2025-12-01</v>
      </c>
    </row>
    <row r="259">
      <c r="A259" s="1" t="s">
        <v>60</v>
      </c>
      <c r="B259" s="1" t="s">
        <v>61</v>
      </c>
      <c r="C259" s="1" t="s">
        <v>17</v>
      </c>
      <c r="D259" s="1">
        <v>27.0</v>
      </c>
      <c r="E259" s="1">
        <v>20.0</v>
      </c>
      <c r="F259" s="1">
        <v>2.0</v>
      </c>
      <c r="G259" s="1">
        <v>13.0</v>
      </c>
      <c r="H259" s="1" t="s">
        <v>27</v>
      </c>
      <c r="I259" s="2">
        <v>46057.0</v>
      </c>
      <c r="J259" s="1">
        <v>3200000.0</v>
      </c>
      <c r="K259" s="2">
        <v>46054.0</v>
      </c>
      <c r="L259" s="3" t="str">
        <f t="shared" si="1"/>
        <v>SKU-003|Headphone Sony WH-1000|Electronics|27|20|2|13|SUP_EL02|2026-02-04|3200000|2026-02-01</v>
      </c>
    </row>
    <row r="260">
      <c r="A260" s="1" t="s">
        <v>53</v>
      </c>
      <c r="B260" s="1" t="s">
        <v>54</v>
      </c>
      <c r="C260" s="1" t="s">
        <v>13</v>
      </c>
      <c r="D260" s="1">
        <v>292.0</v>
      </c>
      <c r="E260" s="1">
        <v>60.0</v>
      </c>
      <c r="F260" s="1">
        <v>3.0</v>
      </c>
      <c r="G260" s="1">
        <v>6.0</v>
      </c>
      <c r="H260" s="1" t="s">
        <v>14</v>
      </c>
      <c r="I260" s="2">
        <v>45888.0</v>
      </c>
      <c r="J260" s="1">
        <v>165000.0</v>
      </c>
      <c r="K260" s="2">
        <v>45870.0</v>
      </c>
      <c r="L260" s="3" t="str">
        <f t="shared" si="1"/>
        <v>SKU-015|Foundation Maybelline Fit|Beauty|292|60|3|6|SUP_BT02|2025-08-19|165000|2025-08-01</v>
      </c>
    </row>
    <row r="261">
      <c r="A261" s="1" t="s">
        <v>31</v>
      </c>
      <c r="B261" s="1" t="s">
        <v>32</v>
      </c>
      <c r="C261" s="1" t="s">
        <v>13</v>
      </c>
      <c r="D261" s="1">
        <v>186.0</v>
      </c>
      <c r="E261" s="1">
        <v>40.0</v>
      </c>
      <c r="F261" s="1">
        <v>2.0</v>
      </c>
      <c r="G261" s="1">
        <v>4.0</v>
      </c>
      <c r="H261" s="1" t="s">
        <v>33</v>
      </c>
      <c r="I261" s="2">
        <v>45971.0</v>
      </c>
      <c r="J261" s="1">
        <v>550000.0</v>
      </c>
      <c r="K261" s="2">
        <v>45962.0</v>
      </c>
      <c r="L261" s="3" t="str">
        <f t="shared" si="1"/>
        <v>SKU-013|Skincare Set Whitelab|Beauty|186|40|2|4|SUP_BT01|2025-11-10|550000|2025-11-01</v>
      </c>
    </row>
    <row r="262">
      <c r="A262" s="1" t="s">
        <v>34</v>
      </c>
      <c r="B262" s="1" t="s">
        <v>35</v>
      </c>
      <c r="C262" s="1" t="s">
        <v>36</v>
      </c>
      <c r="D262" s="1">
        <v>35.0</v>
      </c>
      <c r="E262" s="1">
        <v>80.0</v>
      </c>
      <c r="F262" s="1">
        <v>13.0</v>
      </c>
      <c r="G262" s="1">
        <v>4.0</v>
      </c>
      <c r="H262" s="1" t="s">
        <v>37</v>
      </c>
      <c r="I262" s="2">
        <v>45800.0</v>
      </c>
      <c r="J262" s="1">
        <v>65000.0</v>
      </c>
      <c r="K262" s="2">
        <v>45778.0</v>
      </c>
      <c r="L262" s="3" t="str">
        <f t="shared" si="1"/>
        <v>SKU-018|Teh Organik Premium Box|Food &amp; Beverage|35|80|13|4|SUP_FB01|2025-05-23|65000|2025-05-01</v>
      </c>
    </row>
    <row r="263">
      <c r="A263" s="1" t="s">
        <v>46</v>
      </c>
      <c r="B263" s="1" t="s">
        <v>47</v>
      </c>
      <c r="C263" s="1" t="s">
        <v>23</v>
      </c>
      <c r="D263" s="1">
        <v>14.0</v>
      </c>
      <c r="E263" s="1">
        <v>40.0</v>
      </c>
      <c r="F263" s="1">
        <v>4.0</v>
      </c>
      <c r="G263" s="1">
        <v>8.0</v>
      </c>
      <c r="H263" s="1" t="s">
        <v>30</v>
      </c>
      <c r="I263" s="2">
        <v>45687.0</v>
      </c>
      <c r="J263" s="1">
        <v>550000.0</v>
      </c>
      <c r="K263" s="2">
        <v>45658.0</v>
      </c>
      <c r="L263" s="3" t="str">
        <f t="shared" si="1"/>
        <v>SKU-008|Tas Ransel Eiger|Fashion|14|40|4|8|SUP_FA02|2025-01-30|550000|2025-01-01</v>
      </c>
    </row>
    <row r="264">
      <c r="A264" s="1" t="s">
        <v>19</v>
      </c>
      <c r="B264" s="1" t="s">
        <v>20</v>
      </c>
      <c r="C264" s="1" t="s">
        <v>17</v>
      </c>
      <c r="D264" s="1">
        <v>31.0</v>
      </c>
      <c r="E264" s="1">
        <v>30.0</v>
      </c>
      <c r="F264" s="1">
        <v>3.0</v>
      </c>
      <c r="G264" s="1">
        <v>8.0</v>
      </c>
      <c r="H264" s="1" t="s">
        <v>18</v>
      </c>
      <c r="I264" s="2">
        <v>45929.0</v>
      </c>
      <c r="J264" s="1">
        <v>1200000.0</v>
      </c>
      <c r="K264" s="2">
        <v>45901.0</v>
      </c>
      <c r="L264" s="3" t="str">
        <f t="shared" si="1"/>
        <v>SKU-004|Smartwatch Xiaomi Band|Electronics|31|30|3|8|SUP_EL01|2025-09-29|1200000|2025-09-01</v>
      </c>
    </row>
    <row r="265">
      <c r="A265" s="1" t="s">
        <v>15</v>
      </c>
      <c r="B265" s="1" t="s">
        <v>16</v>
      </c>
      <c r="C265" s="1" t="s">
        <v>17</v>
      </c>
      <c r="D265" s="1">
        <v>13.0</v>
      </c>
      <c r="E265" s="1">
        <v>15.0</v>
      </c>
      <c r="F265" s="1">
        <v>1.0</v>
      </c>
      <c r="G265" s="1">
        <v>5.0</v>
      </c>
      <c r="H265" s="1" t="s">
        <v>18</v>
      </c>
      <c r="I265" s="2">
        <v>45710.0</v>
      </c>
      <c r="J265" s="1">
        <v>8500000.0</v>
      </c>
      <c r="K265" s="2">
        <v>45689.0</v>
      </c>
      <c r="L265" s="3" t="str">
        <f t="shared" si="1"/>
        <v>SKU-001|Laptop ASUS Vivobook|Electronics|13|15|1|5|SUP_EL01|2025-02-22|8500000|2025-02-01</v>
      </c>
    </row>
    <row r="266">
      <c r="A266" s="1" t="s">
        <v>19</v>
      </c>
      <c r="B266" s="1" t="s">
        <v>20</v>
      </c>
      <c r="C266" s="1" t="s">
        <v>17</v>
      </c>
      <c r="D266" s="1">
        <v>26.0</v>
      </c>
      <c r="E266" s="1">
        <v>30.0</v>
      </c>
      <c r="F266" s="1">
        <v>4.0</v>
      </c>
      <c r="G266" s="1">
        <v>8.0</v>
      </c>
      <c r="H266" s="1" t="s">
        <v>18</v>
      </c>
      <c r="I266" s="2">
        <v>45803.0</v>
      </c>
      <c r="J266" s="1">
        <v>1200000.0</v>
      </c>
      <c r="K266" s="2">
        <v>45778.0</v>
      </c>
      <c r="L266" s="3" t="str">
        <f t="shared" si="1"/>
        <v>SKU-004|Smartwatch Xiaomi Band|Electronics|26|30|4|8|SUP_EL01|2025-05-26|1200000|2025-05-01</v>
      </c>
    </row>
    <row r="267">
      <c r="A267" s="1" t="s">
        <v>38</v>
      </c>
      <c r="B267" s="1" t="s">
        <v>39</v>
      </c>
      <c r="C267" s="1" t="s">
        <v>23</v>
      </c>
      <c r="D267" s="1">
        <v>36.0</v>
      </c>
      <c r="E267" s="1">
        <v>45.0</v>
      </c>
      <c r="F267" s="1">
        <v>4.0</v>
      </c>
      <c r="G267" s="1">
        <v>3.0</v>
      </c>
      <c r="H267" s="1" t="s">
        <v>24</v>
      </c>
      <c r="I267" s="2">
        <v>45812.0</v>
      </c>
      <c r="J267" s="1">
        <v>450000.0</v>
      </c>
      <c r="K267" s="2">
        <v>45809.0</v>
      </c>
      <c r="L267" s="3" t="str">
        <f t="shared" si="1"/>
        <v>SKU-006|Dress Casual Wanita|Fashion|36|45|4|3|SUP_FA01|2025-06-04|450000|2025-06-01</v>
      </c>
    </row>
    <row r="268">
      <c r="A268" s="1" t="s">
        <v>62</v>
      </c>
      <c r="B268" s="1" t="s">
        <v>63</v>
      </c>
      <c r="C268" s="1" t="s">
        <v>13</v>
      </c>
      <c r="D268" s="1">
        <v>264.0</v>
      </c>
      <c r="E268" s="1">
        <v>80.0</v>
      </c>
      <c r="F268" s="1">
        <v>3.0</v>
      </c>
      <c r="G268" s="1">
        <v>5.0</v>
      </c>
      <c r="H268" s="1" t="s">
        <v>33</v>
      </c>
      <c r="I268" s="2">
        <v>45984.0</v>
      </c>
      <c r="J268" s="1">
        <v>85000.0</v>
      </c>
      <c r="K268" s="2">
        <v>45962.0</v>
      </c>
      <c r="L268" s="3" t="str">
        <f t="shared" si="1"/>
        <v>SKU-014|Lipstik Matte Wardah|Beauty|264|80|3|5|SUP_BT01|2025-11-23|85000|2025-11-01</v>
      </c>
    </row>
    <row r="269">
      <c r="A269" s="1" t="s">
        <v>60</v>
      </c>
      <c r="B269" s="1" t="s">
        <v>61</v>
      </c>
      <c r="C269" s="1" t="s">
        <v>17</v>
      </c>
      <c r="D269" s="1">
        <v>38.0</v>
      </c>
      <c r="E269" s="1">
        <v>20.0</v>
      </c>
      <c r="F269" s="1">
        <v>2.0</v>
      </c>
      <c r="G269" s="1">
        <v>11.0</v>
      </c>
      <c r="H269" s="1" t="s">
        <v>27</v>
      </c>
      <c r="I269" s="2">
        <v>45782.0</v>
      </c>
      <c r="J269" s="1">
        <v>3200000.0</v>
      </c>
      <c r="K269" s="2">
        <v>45778.0</v>
      </c>
      <c r="L269" s="3" t="str">
        <f t="shared" si="1"/>
        <v>SKU-003|Headphone Sony WH-1000|Electronics|38|20|2|11|SUP_EL02|2025-05-05|3200000|2025-05-01</v>
      </c>
    </row>
    <row r="270">
      <c r="A270" s="1" t="s">
        <v>34</v>
      </c>
      <c r="B270" s="1" t="s">
        <v>35</v>
      </c>
      <c r="C270" s="1" t="s">
        <v>36</v>
      </c>
      <c r="D270" s="1">
        <v>46.0</v>
      </c>
      <c r="E270" s="1">
        <v>80.0</v>
      </c>
      <c r="F270" s="1">
        <v>13.0</v>
      </c>
      <c r="G270" s="1">
        <v>5.0</v>
      </c>
      <c r="H270" s="1" t="s">
        <v>37</v>
      </c>
      <c r="I270" s="2">
        <v>45924.0</v>
      </c>
      <c r="J270" s="1">
        <v>65000.0</v>
      </c>
      <c r="K270" s="2">
        <v>45901.0</v>
      </c>
      <c r="L270" s="3" t="str">
        <f t="shared" si="1"/>
        <v>SKU-018|Teh Organik Premium Box|Food &amp; Beverage|46|80|13|5|SUP_FB01|2025-09-24|65000|2025-09-01</v>
      </c>
    </row>
    <row r="271">
      <c r="A271" s="1" t="s">
        <v>28</v>
      </c>
      <c r="B271" s="1" t="s">
        <v>29</v>
      </c>
      <c r="C271" s="1" t="s">
        <v>23</v>
      </c>
      <c r="D271" s="1">
        <v>27.0</v>
      </c>
      <c r="E271" s="1">
        <v>35.0</v>
      </c>
      <c r="F271" s="1">
        <v>5.0</v>
      </c>
      <c r="G271" s="1">
        <v>3.0</v>
      </c>
      <c r="H271" s="1" t="s">
        <v>30</v>
      </c>
      <c r="I271" s="2">
        <v>45701.0</v>
      </c>
      <c r="J271" s="1">
        <v>1250000.0</v>
      </c>
      <c r="K271" s="2">
        <v>45689.0</v>
      </c>
      <c r="L271" s="3" t="str">
        <f t="shared" si="1"/>
        <v>SKU-007|Sepatu Sneakers Nike|Fashion|27|35|5|3|SUP_FA02|2025-02-13|1250000|2025-02-01</v>
      </c>
    </row>
    <row r="272">
      <c r="A272" s="1" t="s">
        <v>19</v>
      </c>
      <c r="B272" s="1" t="s">
        <v>20</v>
      </c>
      <c r="C272" s="1" t="s">
        <v>17</v>
      </c>
      <c r="D272" s="1">
        <v>44.0</v>
      </c>
      <c r="E272" s="1">
        <v>30.0</v>
      </c>
      <c r="F272" s="1">
        <v>4.0</v>
      </c>
      <c r="G272" s="1">
        <v>8.0</v>
      </c>
      <c r="H272" s="1" t="s">
        <v>18</v>
      </c>
      <c r="I272" s="2">
        <v>45885.0</v>
      </c>
      <c r="J272" s="1">
        <v>1200000.0</v>
      </c>
      <c r="K272" s="2">
        <v>45870.0</v>
      </c>
      <c r="L272" s="3" t="str">
        <f t="shared" si="1"/>
        <v>SKU-004|Smartwatch Xiaomi Band|Electronics|44|30|4|8|SUP_EL01|2025-08-16|1200000|2025-08-01</v>
      </c>
    </row>
    <row r="273">
      <c r="A273" s="1" t="s">
        <v>34</v>
      </c>
      <c r="B273" s="1" t="s">
        <v>35</v>
      </c>
      <c r="C273" s="1" t="s">
        <v>36</v>
      </c>
      <c r="D273" s="1">
        <v>34.0</v>
      </c>
      <c r="E273" s="1">
        <v>80.0</v>
      </c>
      <c r="F273" s="1">
        <v>9.0</v>
      </c>
      <c r="G273" s="1">
        <v>3.0</v>
      </c>
      <c r="H273" s="1" t="s">
        <v>37</v>
      </c>
      <c r="I273" s="2">
        <v>45950.0</v>
      </c>
      <c r="J273" s="1">
        <v>65000.0</v>
      </c>
      <c r="K273" s="2">
        <v>45931.0</v>
      </c>
      <c r="L273" s="3" t="str">
        <f t="shared" si="1"/>
        <v>SKU-018|Teh Organik Premium Box|Food &amp; Beverage|34|80|9|3|SUP_FB01|2025-10-20|65000|2025-10-01</v>
      </c>
    </row>
    <row r="274">
      <c r="A274" s="1" t="s">
        <v>55</v>
      </c>
      <c r="B274" s="1" t="s">
        <v>56</v>
      </c>
      <c r="C274" s="1" t="s">
        <v>36</v>
      </c>
      <c r="D274" s="1">
        <v>145.0</v>
      </c>
      <c r="E274" s="1">
        <v>100.0</v>
      </c>
      <c r="F274" s="1">
        <v>17.0</v>
      </c>
      <c r="G274" s="1">
        <v>4.0</v>
      </c>
      <c r="H274" s="1" t="s">
        <v>37</v>
      </c>
      <c r="I274" s="2">
        <v>45711.0</v>
      </c>
      <c r="J274" s="1">
        <v>85000.0</v>
      </c>
      <c r="K274" s="2">
        <v>45689.0</v>
      </c>
      <c r="L274" s="3" t="str">
        <f t="shared" si="1"/>
        <v>SKU-017|Kopi Arabika 250g Pack|Food &amp; Beverage|145|100|17|4|SUP_FB01|2025-02-23|85000|2025-02-01</v>
      </c>
    </row>
    <row r="275">
      <c r="A275" s="1" t="s">
        <v>15</v>
      </c>
      <c r="B275" s="1" t="s">
        <v>16</v>
      </c>
      <c r="C275" s="1" t="s">
        <v>17</v>
      </c>
      <c r="D275" s="1">
        <v>15.0</v>
      </c>
      <c r="E275" s="1">
        <v>15.0</v>
      </c>
      <c r="F275" s="1">
        <v>1.0</v>
      </c>
      <c r="G275" s="1">
        <v>5.0</v>
      </c>
      <c r="H275" s="1" t="s">
        <v>18</v>
      </c>
      <c r="I275" s="2">
        <v>46055.0</v>
      </c>
      <c r="J275" s="1">
        <v>8500000.0</v>
      </c>
      <c r="K275" s="2">
        <v>46054.0</v>
      </c>
      <c r="L275" s="3" t="str">
        <f t="shared" si="1"/>
        <v>SKU-001|Laptop ASUS Vivobook|Electronics|15|15|1|5|SUP_EL01|2026-02-02|8500000|2026-02-01</v>
      </c>
    </row>
    <row r="276">
      <c r="A276" s="1" t="s">
        <v>38</v>
      </c>
      <c r="B276" s="1" t="s">
        <v>39</v>
      </c>
      <c r="C276" s="1" t="s">
        <v>23</v>
      </c>
      <c r="D276" s="1">
        <v>12.0</v>
      </c>
      <c r="E276" s="1">
        <v>45.0</v>
      </c>
      <c r="F276" s="1">
        <v>8.0</v>
      </c>
      <c r="G276" s="1">
        <v>6.0</v>
      </c>
      <c r="H276" s="1" t="s">
        <v>24</v>
      </c>
      <c r="I276" s="2">
        <v>46054.0</v>
      </c>
      <c r="J276" s="1">
        <v>450000.0</v>
      </c>
      <c r="K276" s="2">
        <v>46054.0</v>
      </c>
      <c r="L276" s="3" t="str">
        <f t="shared" si="1"/>
        <v>SKU-006|Dress Casual Wanita|Fashion|12|45|8|6|SUP_FA01|2026-02-01|450000|2026-02-01</v>
      </c>
    </row>
    <row r="277">
      <c r="A277" s="1" t="s">
        <v>51</v>
      </c>
      <c r="B277" s="1" t="s">
        <v>52</v>
      </c>
      <c r="C277" s="1" t="s">
        <v>36</v>
      </c>
      <c r="D277" s="1">
        <v>19.0</v>
      </c>
      <c r="E277" s="1">
        <v>60.0</v>
      </c>
      <c r="F277" s="1">
        <v>6.0</v>
      </c>
      <c r="G277" s="1">
        <v>6.0</v>
      </c>
      <c r="H277" s="1" t="s">
        <v>50</v>
      </c>
      <c r="I277" s="2">
        <v>45775.0</v>
      </c>
      <c r="J277" s="1">
        <v>175000.0</v>
      </c>
      <c r="K277" s="2">
        <v>45748.0</v>
      </c>
      <c r="L277" s="3" t="str">
        <f t="shared" si="1"/>
        <v>SKU-019|Madu Hutan Asli 500ml|Food &amp; Beverage|19|60|6|6|SUP_FB02|2025-04-28|175000|2025-04-01</v>
      </c>
    </row>
    <row r="278">
      <c r="A278" s="1" t="s">
        <v>44</v>
      </c>
      <c r="B278" s="1" t="s">
        <v>45</v>
      </c>
      <c r="C278" s="1" t="s">
        <v>42</v>
      </c>
      <c r="D278" s="1">
        <v>22.0</v>
      </c>
      <c r="E278" s="1">
        <v>30.0</v>
      </c>
      <c r="F278" s="1">
        <v>6.0</v>
      </c>
      <c r="H278" s="1" t="s">
        <v>43</v>
      </c>
      <c r="I278" s="2">
        <v>45702.0</v>
      </c>
      <c r="J278" s="1">
        <v>350000.0</v>
      </c>
      <c r="K278" s="2">
        <v>45689.0</v>
      </c>
      <c r="L278" s="3" t="str">
        <f t="shared" si="1"/>
        <v>SKU-012|Kipas Angin Cosmos 16in|Home &amp; Living|22|30|6|SUP_HM02|2025-02-14|350000|2025-02-01</v>
      </c>
    </row>
    <row r="279">
      <c r="A279" s="1" t="s">
        <v>44</v>
      </c>
      <c r="B279" s="1" t="s">
        <v>45</v>
      </c>
      <c r="C279" s="1" t="s">
        <v>42</v>
      </c>
      <c r="D279" s="1">
        <v>59.0</v>
      </c>
      <c r="E279" s="1">
        <v>30.0</v>
      </c>
      <c r="F279" s="1">
        <v>3.0</v>
      </c>
      <c r="G279" s="1">
        <v>6.0</v>
      </c>
      <c r="H279" s="1" t="s">
        <v>43</v>
      </c>
      <c r="I279" s="2">
        <v>45880.0</v>
      </c>
      <c r="J279" s="1">
        <v>350000.0</v>
      </c>
      <c r="K279" s="2">
        <v>45870.0</v>
      </c>
      <c r="L279" s="3" t="str">
        <f t="shared" si="1"/>
        <v>SKU-012|Kipas Angin Cosmos 16in|Home &amp; Living|59|30|3|6|SUP_HM02|2025-08-11|350000|2025-08-01</v>
      </c>
    </row>
    <row r="280">
      <c r="A280" s="1" t="s">
        <v>64</v>
      </c>
      <c r="B280" s="1" t="s">
        <v>65</v>
      </c>
      <c r="C280" s="1" t="s">
        <v>42</v>
      </c>
      <c r="D280" s="1">
        <v>41.0</v>
      </c>
      <c r="E280" s="1">
        <v>20.0</v>
      </c>
      <c r="F280" s="1">
        <v>3.0</v>
      </c>
      <c r="G280" s="1">
        <v>9.0</v>
      </c>
      <c r="H280" s="1" t="s">
        <v>59</v>
      </c>
      <c r="I280" s="2">
        <v>46092.0</v>
      </c>
      <c r="J280" s="1">
        <v>750000.0</v>
      </c>
      <c r="K280" s="2">
        <v>46082.0</v>
      </c>
      <c r="L280" s="3" t="str">
        <f t="shared" si="1"/>
        <v>SKU-009|Blender Philips HR2157|Home &amp; Living|41|20|3|9|SUP_HM01|2026-03-11|750000|2026-03-01</v>
      </c>
    </row>
    <row r="281">
      <c r="A281" s="1" t="s">
        <v>48</v>
      </c>
      <c r="B281" s="1" t="s">
        <v>49</v>
      </c>
      <c r="C281" s="1" t="s">
        <v>36</v>
      </c>
      <c r="D281" s="1">
        <v>121.0</v>
      </c>
      <c r="E281" s="1">
        <v>120.0</v>
      </c>
      <c r="F281" s="1">
        <v>27.0</v>
      </c>
      <c r="H281" s="1" t="s">
        <v>50</v>
      </c>
      <c r="I281" s="2">
        <v>46095.0</v>
      </c>
      <c r="J281" s="1">
        <v>55000.0</v>
      </c>
      <c r="K281" s="2">
        <v>46082.0</v>
      </c>
      <c r="L281" s="3" t="str">
        <f t="shared" si="1"/>
        <v>SKU-020|Snack Granola Mix 500g|Food &amp; Beverage|121|120|27|SUP_FB02|2026-03-14|55000|2026-03-01</v>
      </c>
    </row>
    <row r="282">
      <c r="A282" s="1" t="s">
        <v>55</v>
      </c>
      <c r="B282" s="1" t="s">
        <v>56</v>
      </c>
      <c r="C282" s="1" t="s">
        <v>36</v>
      </c>
      <c r="D282" s="1">
        <v>125.0</v>
      </c>
      <c r="E282" s="1">
        <v>100.0</v>
      </c>
      <c r="F282" s="1">
        <v>14.0</v>
      </c>
      <c r="G282" s="1">
        <v>4.0</v>
      </c>
      <c r="H282" s="1" t="s">
        <v>37</v>
      </c>
      <c r="I282" s="2">
        <v>45775.0</v>
      </c>
      <c r="J282" s="1">
        <v>85000.0</v>
      </c>
      <c r="K282" s="2">
        <v>45748.0</v>
      </c>
      <c r="L282" s="3" t="str">
        <f t="shared" si="1"/>
        <v>SKU-017|Kopi Arabika 250g Pack|Food &amp; Beverage|125|100|14|4|SUP_FB01|2025-04-28|85000|2025-04-01</v>
      </c>
    </row>
    <row r="283">
      <c r="A283" s="1" t="s">
        <v>19</v>
      </c>
      <c r="B283" s="1" t="s">
        <v>20</v>
      </c>
      <c r="C283" s="1" t="s">
        <v>17</v>
      </c>
      <c r="D283" s="1">
        <v>42.0</v>
      </c>
      <c r="E283" s="1">
        <v>30.0</v>
      </c>
      <c r="F283" s="1">
        <v>4.0</v>
      </c>
      <c r="G283" s="1">
        <v>7.0</v>
      </c>
      <c r="H283" s="1" t="s">
        <v>18</v>
      </c>
      <c r="I283" s="2">
        <v>45960.0</v>
      </c>
      <c r="J283" s="1">
        <v>1200000.0</v>
      </c>
      <c r="K283" s="2">
        <v>45931.0</v>
      </c>
      <c r="L283" s="3" t="str">
        <f t="shared" si="1"/>
        <v>SKU-004|Smartwatch Xiaomi Band|Electronics|42|30|4|7|SUP_EL01|2025-10-30|1200000|2025-10-01</v>
      </c>
    </row>
    <row r="284">
      <c r="A284" s="1" t="s">
        <v>19</v>
      </c>
      <c r="B284" s="1" t="s">
        <v>20</v>
      </c>
      <c r="C284" s="1" t="s">
        <v>17</v>
      </c>
      <c r="D284" s="1">
        <v>21.0</v>
      </c>
      <c r="E284" s="1">
        <v>30.0</v>
      </c>
      <c r="F284" s="1">
        <v>4.0</v>
      </c>
      <c r="G284" s="1">
        <v>9.0</v>
      </c>
      <c r="H284" s="1" t="s">
        <v>18</v>
      </c>
      <c r="I284" s="2">
        <v>46197.0</v>
      </c>
      <c r="J284" s="1">
        <v>1200000.0</v>
      </c>
      <c r="K284" s="2">
        <v>45809.0</v>
      </c>
      <c r="L284" s="3" t="str">
        <f t="shared" si="1"/>
        <v>SKU-004|Smartwatch Xiaomi Band|Electronics|21|30|4|9|SUP_EL01|2026-06-24|1200000|2025-06-01</v>
      </c>
    </row>
    <row r="285">
      <c r="A285" s="1" t="s">
        <v>44</v>
      </c>
      <c r="B285" s="1" t="s">
        <v>45</v>
      </c>
      <c r="C285" s="1" t="s">
        <v>42</v>
      </c>
      <c r="D285" s="1">
        <v>41.0</v>
      </c>
      <c r="E285" s="1">
        <v>30.0</v>
      </c>
      <c r="F285" s="1">
        <v>6.0</v>
      </c>
      <c r="G285" s="1">
        <v>10.0</v>
      </c>
      <c r="H285" s="1" t="s">
        <v>43</v>
      </c>
      <c r="I285" s="2">
        <v>45945.0</v>
      </c>
      <c r="J285" s="1">
        <v>350000.0</v>
      </c>
      <c r="K285" s="2">
        <v>45931.0</v>
      </c>
      <c r="L285" s="3" t="str">
        <f t="shared" si="1"/>
        <v>SKU-012|Kipas Angin Cosmos 16in|Home &amp; Living|41|30|6|10|SUP_HM02|2025-10-15|350000|2025-10-01</v>
      </c>
    </row>
    <row r="286">
      <c r="A286" s="1" t="s">
        <v>31</v>
      </c>
      <c r="B286" s="1" t="s">
        <v>32</v>
      </c>
      <c r="C286" s="1" t="s">
        <v>13</v>
      </c>
      <c r="D286" s="1">
        <v>172.0</v>
      </c>
      <c r="E286" s="1">
        <v>40.0</v>
      </c>
      <c r="F286" s="1">
        <v>2.0</v>
      </c>
      <c r="G286" s="1">
        <v>6.0</v>
      </c>
      <c r="H286" s="1" t="s">
        <v>33</v>
      </c>
      <c r="I286" s="2">
        <v>45955.0</v>
      </c>
      <c r="J286" s="1">
        <v>550000.0</v>
      </c>
      <c r="K286" s="2">
        <v>45931.0</v>
      </c>
      <c r="L286" s="3" t="str">
        <f t="shared" si="1"/>
        <v>SKU-013|Skincare Set Whitelab|Beauty|172|40|2|6|SUP_BT01|2025-10-25|550000|2025-10-01</v>
      </c>
    </row>
    <row r="287">
      <c r="A287" s="1" t="s">
        <v>46</v>
      </c>
      <c r="B287" s="1" t="s">
        <v>47</v>
      </c>
      <c r="C287" s="1" t="s">
        <v>23</v>
      </c>
      <c r="D287" s="1">
        <v>36.0</v>
      </c>
      <c r="E287" s="1">
        <v>40.0</v>
      </c>
      <c r="F287" s="1">
        <v>6.0</v>
      </c>
      <c r="G287" s="1">
        <v>4.0</v>
      </c>
      <c r="H287" s="1" t="s">
        <v>30</v>
      </c>
      <c r="I287" s="2">
        <v>46044.0</v>
      </c>
      <c r="J287" s="1">
        <v>550000.0</v>
      </c>
      <c r="K287" s="2">
        <v>46023.0</v>
      </c>
      <c r="L287" s="3" t="str">
        <f t="shared" si="1"/>
        <v>SKU-008|Tas Ransel Eiger|Fashion|36|40|6|4|SUP_FA02|2026-01-22|550000|2026-01-01</v>
      </c>
    </row>
    <row r="288">
      <c r="A288" s="1" t="s">
        <v>31</v>
      </c>
      <c r="B288" s="1" t="s">
        <v>32</v>
      </c>
      <c r="C288" s="1" t="s">
        <v>13</v>
      </c>
      <c r="D288" s="1">
        <v>160.0</v>
      </c>
      <c r="E288" s="1">
        <v>40.0</v>
      </c>
      <c r="F288" s="1">
        <v>3.0</v>
      </c>
      <c r="G288" s="1">
        <v>6.0</v>
      </c>
      <c r="H288" s="1" t="s">
        <v>33</v>
      </c>
      <c r="I288" s="2">
        <v>45887.0</v>
      </c>
      <c r="J288" s="1">
        <v>550000.0</v>
      </c>
      <c r="K288" s="2">
        <v>45870.0</v>
      </c>
      <c r="L288" s="3" t="str">
        <f t="shared" si="1"/>
        <v>SKU-013|Skincare Set Whitelab|Beauty|160|40|3|6|SUP_BT01|2025-08-18|550000|2025-08-01</v>
      </c>
    </row>
    <row r="289">
      <c r="A289" s="1" t="s">
        <v>44</v>
      </c>
      <c r="B289" s="1" t="s">
        <v>45</v>
      </c>
      <c r="C289" s="1" t="s">
        <v>42</v>
      </c>
      <c r="D289" s="1">
        <v>45.0</v>
      </c>
      <c r="E289" s="1">
        <v>30.0</v>
      </c>
      <c r="F289" s="1">
        <v>5.0</v>
      </c>
      <c r="G289" s="1">
        <v>5.0</v>
      </c>
      <c r="H289" s="1" t="s">
        <v>43</v>
      </c>
      <c r="I289" s="2">
        <v>45801.0</v>
      </c>
      <c r="J289" s="1">
        <v>350000.0</v>
      </c>
      <c r="K289" s="2">
        <v>45778.0</v>
      </c>
      <c r="L289" s="3" t="str">
        <f t="shared" si="1"/>
        <v>SKU-012|Kipas Angin Cosmos 16in|Home &amp; Living|45|30|5|5|SUP_HM02|2025-05-24|350000|2025-05-01</v>
      </c>
    </row>
    <row r="290">
      <c r="A290" s="1" t="s">
        <v>19</v>
      </c>
      <c r="B290" s="1" t="s">
        <v>20</v>
      </c>
      <c r="C290" s="1" t="s">
        <v>17</v>
      </c>
      <c r="D290" s="1">
        <v>52.0</v>
      </c>
      <c r="E290" s="1">
        <v>30.0</v>
      </c>
      <c r="F290" s="1">
        <v>5.0</v>
      </c>
      <c r="G290" s="1">
        <v>5.0</v>
      </c>
      <c r="H290" s="1" t="s">
        <v>18</v>
      </c>
      <c r="I290" s="2">
        <v>46321.0</v>
      </c>
      <c r="J290" s="1">
        <v>1200000.0</v>
      </c>
      <c r="K290" s="2">
        <v>46054.0</v>
      </c>
      <c r="L290" s="3" t="str">
        <f t="shared" si="1"/>
        <v>SKU-004|Smartwatch Xiaomi Band|Electronics|52|30|5|5|SUP_EL01|2026-10-26|1200000|2026-02-01</v>
      </c>
    </row>
    <row r="291">
      <c r="A291" s="1" t="s">
        <v>19</v>
      </c>
      <c r="B291" s="1" t="s">
        <v>20</v>
      </c>
      <c r="C291" s="1" t="s">
        <v>17</v>
      </c>
      <c r="D291" s="1">
        <v>51.0</v>
      </c>
      <c r="E291" s="1">
        <v>30.0</v>
      </c>
      <c r="F291" s="1">
        <v>4.0</v>
      </c>
      <c r="G291" s="1">
        <v>6.0</v>
      </c>
      <c r="H291" s="1" t="s">
        <v>18</v>
      </c>
      <c r="I291" s="2">
        <v>45775.0</v>
      </c>
      <c r="J291" s="1">
        <v>1200000.0</v>
      </c>
      <c r="K291" s="2">
        <v>45748.0</v>
      </c>
      <c r="L291" s="3" t="str">
        <f t="shared" si="1"/>
        <v>SKU-004|Smartwatch Xiaomi Band|Electronics|51|30|4|6|SUP_EL01|2025-04-28|1200000|2025-04-01</v>
      </c>
    </row>
    <row r="292">
      <c r="A292" s="1" t="s">
        <v>11</v>
      </c>
      <c r="B292" s="1" t="s">
        <v>12</v>
      </c>
      <c r="C292" s="1" t="s">
        <v>13</v>
      </c>
      <c r="D292" s="1">
        <v>290.0</v>
      </c>
      <c r="E292" s="1">
        <v>50.0</v>
      </c>
      <c r="F292" s="1">
        <v>3.0</v>
      </c>
      <c r="G292" s="1">
        <v>6.0</v>
      </c>
      <c r="H292" s="1" t="s">
        <v>14</v>
      </c>
      <c r="I292" s="2">
        <v>45991.0</v>
      </c>
      <c r="J292" s="1">
        <v>125000.0</v>
      </c>
      <c r="K292" s="2">
        <v>45962.0</v>
      </c>
      <c r="L292" s="3" t="str">
        <f t="shared" si="1"/>
        <v>SKU-016|Parfum EDT Brasov 100ml|Beauty|290|50|3|6|SUP_BT02|2025-11-30|125000|2025-11-01</v>
      </c>
    </row>
    <row r="293">
      <c r="A293" s="1" t="s">
        <v>55</v>
      </c>
      <c r="B293" s="1" t="s">
        <v>56</v>
      </c>
      <c r="C293" s="1" t="s">
        <v>36</v>
      </c>
      <c r="D293" s="1">
        <v>57.0</v>
      </c>
      <c r="E293" s="1">
        <v>100.0</v>
      </c>
      <c r="F293" s="1">
        <v>15.0</v>
      </c>
      <c r="G293" s="1">
        <v>4.0</v>
      </c>
      <c r="H293" s="1" t="s">
        <v>37</v>
      </c>
      <c r="I293" s="2">
        <v>46034.0</v>
      </c>
      <c r="J293" s="1">
        <v>85000.0</v>
      </c>
      <c r="K293" s="2">
        <v>46023.0</v>
      </c>
      <c r="L293" s="3" t="str">
        <f t="shared" si="1"/>
        <v>SKU-017|Kopi Arabika 250g Pack|Food &amp; Beverage|57|100|15|4|SUP_FB01|2026-01-12|85000|2026-01-01</v>
      </c>
    </row>
    <row r="294">
      <c r="A294" s="1" t="s">
        <v>25</v>
      </c>
      <c r="B294" s="1" t="s">
        <v>26</v>
      </c>
      <c r="C294" s="1" t="s">
        <v>17</v>
      </c>
      <c r="D294" s="1">
        <v>11.0</v>
      </c>
      <c r="E294" s="1">
        <v>25.0</v>
      </c>
      <c r="F294" s="1">
        <v>7.0</v>
      </c>
      <c r="G294" s="1">
        <v>14.0</v>
      </c>
      <c r="H294" s="1" t="s">
        <v>27</v>
      </c>
      <c r="I294" s="2">
        <v>45862.0</v>
      </c>
      <c r="J294" s="1">
        <v>4500000.0</v>
      </c>
      <c r="K294" s="2">
        <v>45839.0</v>
      </c>
      <c r="L294" s="3" t="str">
        <f t="shared" si="1"/>
        <v>SKU-002|Smartphone Samsung A54|Electronics|11|25|7|14|SUP_EL02|2025-07-24|4500000|2025-07-01</v>
      </c>
    </row>
    <row r="295">
      <c r="A295" s="1" t="s">
        <v>40</v>
      </c>
      <c r="B295" s="1" t="s">
        <v>41</v>
      </c>
      <c r="C295" s="1" t="s">
        <v>42</v>
      </c>
      <c r="D295" s="1">
        <v>21.0</v>
      </c>
      <c r="E295" s="1">
        <v>15.0</v>
      </c>
      <c r="F295" s="1">
        <v>1.0</v>
      </c>
      <c r="G295" s="1">
        <v>9.0</v>
      </c>
      <c r="H295" s="1" t="s">
        <v>43</v>
      </c>
      <c r="I295" s="2">
        <v>45968.0</v>
      </c>
      <c r="J295" s="1">
        <v>1200000.0</v>
      </c>
      <c r="K295" s="2">
        <v>45962.0</v>
      </c>
      <c r="L295" s="3" t="str">
        <f t="shared" si="1"/>
        <v>SKU-011|Vacuum Cleaner Deerma|Home &amp; Living|21|15|1|9|SUP_HM02|2025-11-07|1200000|2025-11-01</v>
      </c>
    </row>
    <row r="296">
      <c r="A296" s="1" t="s">
        <v>51</v>
      </c>
      <c r="B296" s="1" t="s">
        <v>52</v>
      </c>
      <c r="C296" s="1" t="s">
        <v>36</v>
      </c>
      <c r="D296" s="1">
        <v>44.0</v>
      </c>
      <c r="E296" s="1">
        <v>60.0</v>
      </c>
      <c r="F296" s="1">
        <v>6.0</v>
      </c>
      <c r="G296" s="1">
        <v>6.0</v>
      </c>
      <c r="H296" s="1" t="s">
        <v>50</v>
      </c>
      <c r="I296" s="2">
        <v>45839.0</v>
      </c>
      <c r="J296" s="1">
        <v>175000.0</v>
      </c>
      <c r="K296" s="2">
        <v>45839.0</v>
      </c>
      <c r="L296" s="3" t="str">
        <f t="shared" si="1"/>
        <v>SKU-019|Madu Hutan Asli 500ml|Food &amp; Beverage|44|60|6|6|SUP_FB02|2025-07-01|175000|2025-07-01</v>
      </c>
    </row>
    <row r="297">
      <c r="A297" s="1" t="s">
        <v>31</v>
      </c>
      <c r="B297" s="1" t="s">
        <v>32</v>
      </c>
      <c r="C297" s="1" t="s">
        <v>13</v>
      </c>
      <c r="D297" s="1">
        <v>127.0</v>
      </c>
      <c r="E297" s="1">
        <v>40.0</v>
      </c>
      <c r="F297" s="1">
        <v>3.0</v>
      </c>
      <c r="G297" s="1">
        <v>4.0</v>
      </c>
      <c r="H297" s="1" t="s">
        <v>33</v>
      </c>
      <c r="I297" s="2">
        <v>46001.0</v>
      </c>
      <c r="J297" s="1">
        <v>550000.0</v>
      </c>
      <c r="K297" s="2">
        <v>45992.0</v>
      </c>
      <c r="L297" s="3" t="str">
        <f t="shared" si="1"/>
        <v>SKU-013|Skincare Set Whitelab|Beauty|127|40|3|4|SUP_BT01|2025-12-10|550000|2025-12-01</v>
      </c>
    </row>
    <row r="298">
      <c r="A298" s="1" t="s">
        <v>48</v>
      </c>
      <c r="B298" s="1" t="s">
        <v>49</v>
      </c>
      <c r="C298" s="1" t="s">
        <v>36</v>
      </c>
      <c r="D298" s="1">
        <v>170.0</v>
      </c>
      <c r="E298" s="1">
        <v>120.0</v>
      </c>
      <c r="F298" s="1">
        <v>17.0</v>
      </c>
      <c r="G298" s="1">
        <v>3.0</v>
      </c>
      <c r="H298" s="1" t="s">
        <v>50</v>
      </c>
      <c r="I298" s="2">
        <v>45905.0</v>
      </c>
      <c r="J298" s="1">
        <v>55000.0</v>
      </c>
      <c r="K298" s="2">
        <v>45901.0</v>
      </c>
      <c r="L298" s="3" t="str">
        <f t="shared" si="1"/>
        <v>SKU-020|Snack Granola Mix 500g|Food &amp; Beverage|170|120|17|3|SUP_FB02|2025-09-05|55000|2025-09-01</v>
      </c>
    </row>
    <row r="299">
      <c r="A299" s="1" t="s">
        <v>34</v>
      </c>
      <c r="B299" s="1" t="s">
        <v>35</v>
      </c>
      <c r="C299" s="1" t="s">
        <v>36</v>
      </c>
      <c r="D299" s="1">
        <v>0.0</v>
      </c>
      <c r="E299" s="1">
        <v>80.0</v>
      </c>
      <c r="F299" s="1">
        <v>18.0</v>
      </c>
      <c r="G299" s="1">
        <v>4.0</v>
      </c>
      <c r="H299" s="1" t="s">
        <v>37</v>
      </c>
      <c r="I299" s="2">
        <v>45745.0</v>
      </c>
      <c r="J299" s="1">
        <v>65000.0</v>
      </c>
      <c r="K299" s="2">
        <v>45717.0</v>
      </c>
      <c r="L299" s="3" t="str">
        <f t="shared" si="1"/>
        <v>SKU-018|Teh Organik Premium Box|Food &amp; Beverage|0|80|18|4|SUP_FB01|2025-03-29|65000|2025-03-01</v>
      </c>
    </row>
    <row r="300">
      <c r="A300" s="1" t="s">
        <v>57</v>
      </c>
      <c r="B300" s="1" t="s">
        <v>58</v>
      </c>
      <c r="C300" s="1" t="s">
        <v>42</v>
      </c>
      <c r="D300" s="1">
        <v>44.0</v>
      </c>
      <c r="E300" s="1">
        <v>25.0</v>
      </c>
      <c r="F300" s="1">
        <v>4.0</v>
      </c>
      <c r="G300" s="1">
        <v>8.0</v>
      </c>
      <c r="H300" s="1" t="s">
        <v>59</v>
      </c>
      <c r="I300" s="2">
        <v>46108.0</v>
      </c>
      <c r="J300" s="1">
        <v>450000.0</v>
      </c>
      <c r="K300" s="2">
        <v>46082.0</v>
      </c>
      <c r="L300" s="3" t="str">
        <f t="shared" si="1"/>
        <v>SKU-010|Rice Cooker Miyako 1.8L|Home &amp; Living|44|25|4|8|SUP_HM01|2026-03-27|450000|2026-03-01</v>
      </c>
    </row>
    <row r="301">
      <c r="A301" s="1" t="s">
        <v>64</v>
      </c>
      <c r="B301" s="1" t="s">
        <v>65</v>
      </c>
      <c r="C301" s="1" t="s">
        <v>42</v>
      </c>
      <c r="D301" s="1">
        <v>27.0</v>
      </c>
      <c r="E301" s="1">
        <v>20.0</v>
      </c>
      <c r="F301" s="1">
        <v>3.0</v>
      </c>
      <c r="G301" s="1">
        <v>8.0</v>
      </c>
      <c r="H301" s="1" t="s">
        <v>59</v>
      </c>
      <c r="I301" s="2">
        <v>45976.0</v>
      </c>
      <c r="J301" s="1">
        <v>750000.0</v>
      </c>
      <c r="K301" s="2">
        <v>45962.0</v>
      </c>
      <c r="L301" s="3" t="str">
        <f t="shared" si="1"/>
        <v>SKU-009|Blender Philips HR2157|Home &amp; Living|27|20|3|8|SUP_HM01|2025-11-15|750000|2025-11-01</v>
      </c>
    </row>
    <row r="302">
      <c r="A302" s="1" t="s">
        <v>40</v>
      </c>
      <c r="B302" s="1" t="s">
        <v>41</v>
      </c>
      <c r="C302" s="1" t="s">
        <v>42</v>
      </c>
      <c r="D302" s="1">
        <v>22.0</v>
      </c>
      <c r="E302" s="1">
        <v>15.0</v>
      </c>
      <c r="F302" s="1">
        <v>2.0</v>
      </c>
      <c r="G302" s="1">
        <v>5.0</v>
      </c>
      <c r="H302" s="1" t="s">
        <v>43</v>
      </c>
      <c r="I302" s="2">
        <v>45709.0</v>
      </c>
      <c r="J302" s="1">
        <v>1200000.0</v>
      </c>
      <c r="K302" s="2">
        <v>45689.0</v>
      </c>
      <c r="L302" s="3" t="str">
        <f t="shared" si="1"/>
        <v>SKU-011|Vacuum Cleaner Deerma|Home &amp; Living|22|15|2|5|SUP_HM02|2025-02-21|1200000|2025-02-01</v>
      </c>
    </row>
    <row r="303">
      <c r="A303" s="1" t="s">
        <v>28</v>
      </c>
      <c r="B303" s="1" t="s">
        <v>29</v>
      </c>
      <c r="C303" s="1" t="s">
        <v>23</v>
      </c>
      <c r="D303" s="1">
        <v>18.0</v>
      </c>
      <c r="E303" s="1">
        <v>35.0</v>
      </c>
      <c r="F303" s="1">
        <v>5.0</v>
      </c>
      <c r="G303" s="1">
        <v>4.0</v>
      </c>
      <c r="H303" s="1" t="s">
        <v>30</v>
      </c>
      <c r="I303" s="2">
        <v>45949.0</v>
      </c>
      <c r="J303" s="1">
        <v>1250000.0</v>
      </c>
      <c r="K303" s="2">
        <v>45931.0</v>
      </c>
      <c r="L303" s="3" t="str">
        <f t="shared" si="1"/>
        <v>SKU-007|Sepatu Sneakers Nike|Fashion|18|35|5|4|SUP_FA02|2025-10-19|1250000|2025-10-01</v>
      </c>
    </row>
    <row r="304">
      <c r="A304" s="1" t="s">
        <v>38</v>
      </c>
      <c r="B304" s="1" t="s">
        <v>39</v>
      </c>
      <c r="C304" s="1" t="s">
        <v>23</v>
      </c>
      <c r="D304" s="1">
        <v>17.0</v>
      </c>
      <c r="E304" s="1">
        <v>45.0</v>
      </c>
      <c r="F304" s="1">
        <v>8.0</v>
      </c>
      <c r="G304" s="1">
        <v>4.0</v>
      </c>
      <c r="H304" s="1" t="s">
        <v>24</v>
      </c>
      <c r="I304" s="2">
        <v>46050.0</v>
      </c>
      <c r="J304" s="1">
        <v>450000.0</v>
      </c>
      <c r="K304" s="2">
        <v>46023.0</v>
      </c>
      <c r="L304" s="3" t="str">
        <f t="shared" si="1"/>
        <v>SKU-006|Dress Casual Wanita|Fashion|17|45|8|4|SUP_FA01|2026-01-28|450000|2026-01-01</v>
      </c>
    </row>
    <row r="305">
      <c r="A305" s="1" t="s">
        <v>53</v>
      </c>
      <c r="B305" s="1" t="s">
        <v>54</v>
      </c>
      <c r="C305" s="1" t="s">
        <v>13</v>
      </c>
      <c r="D305" s="1">
        <v>273.0</v>
      </c>
      <c r="E305" s="1">
        <v>60.0</v>
      </c>
      <c r="F305" s="1">
        <v>1.0</v>
      </c>
      <c r="G305" s="1">
        <v>4.0</v>
      </c>
      <c r="H305" s="1" t="s">
        <v>14</v>
      </c>
      <c r="I305" s="2">
        <v>45806.0</v>
      </c>
      <c r="J305" s="1">
        <v>165000.0</v>
      </c>
      <c r="K305" s="2">
        <v>45778.0</v>
      </c>
      <c r="L305" s="3" t="str">
        <f t="shared" si="1"/>
        <v>SKU-015|Foundation Maybelline Fit|Beauty|273|60|1|4|SUP_BT02|2025-05-29|165000|2025-05-01</v>
      </c>
    </row>
    <row r="306">
      <c r="A306" s="1" t="s">
        <v>64</v>
      </c>
      <c r="B306" s="1" t="s">
        <v>65</v>
      </c>
      <c r="C306" s="1" t="s">
        <v>42</v>
      </c>
      <c r="D306" s="1">
        <v>40.0</v>
      </c>
      <c r="E306" s="1">
        <v>20.0</v>
      </c>
      <c r="F306" s="1">
        <v>1.0</v>
      </c>
      <c r="G306" s="1">
        <v>7.0</v>
      </c>
      <c r="H306" s="1" t="s">
        <v>59</v>
      </c>
      <c r="I306" s="2">
        <v>45693.0</v>
      </c>
      <c r="J306" s="1">
        <v>750000.0</v>
      </c>
      <c r="K306" s="2">
        <v>45689.0</v>
      </c>
      <c r="L306" s="3" t="str">
        <f t="shared" si="1"/>
        <v>SKU-009|Blender Philips HR2157|Home &amp; Living|40|20|1|7|SUP_HM01|2025-02-05|750000|2025-02-01</v>
      </c>
    </row>
    <row r="307">
      <c r="A307" s="1" t="s">
        <v>38</v>
      </c>
      <c r="B307" s="1" t="s">
        <v>39</v>
      </c>
      <c r="C307" s="1" t="s">
        <v>23</v>
      </c>
      <c r="D307" s="1">
        <v>17.0</v>
      </c>
      <c r="E307" s="1">
        <v>45.0</v>
      </c>
      <c r="F307" s="1">
        <v>8.0</v>
      </c>
      <c r="G307" s="1">
        <v>4.0</v>
      </c>
      <c r="H307" s="1" t="s">
        <v>24</v>
      </c>
      <c r="I307" s="2">
        <v>46050.0</v>
      </c>
      <c r="J307" s="1">
        <v>450000.0</v>
      </c>
      <c r="K307" s="2">
        <v>46023.0</v>
      </c>
      <c r="L307" s="3" t="str">
        <f t="shared" si="1"/>
        <v>SKU-006|Dress Casual Wanita|Fashion|17|45|8|4|SUP_FA01|2026-01-28|450000|2026-01-01</v>
      </c>
    </row>
    <row r="308">
      <c r="A308" s="1" t="s">
        <v>25</v>
      </c>
      <c r="B308" s="1" t="s">
        <v>26</v>
      </c>
      <c r="C308" s="1" t="s">
        <v>17</v>
      </c>
      <c r="D308" s="1">
        <v>5.0</v>
      </c>
      <c r="E308" s="1">
        <v>25.0</v>
      </c>
      <c r="F308" s="1">
        <v>7.0</v>
      </c>
      <c r="G308" s="1">
        <v>19.0</v>
      </c>
      <c r="H308" s="1" t="s">
        <v>27</v>
      </c>
      <c r="I308" s="2">
        <v>45837.0</v>
      </c>
      <c r="J308" s="1">
        <v>4500000.0</v>
      </c>
      <c r="K308" s="2">
        <v>45809.0</v>
      </c>
      <c r="L308" s="3" t="str">
        <f t="shared" si="1"/>
        <v>SKU-002|Smartphone Samsung A54|Electronics|5|25|7|19|SUP_EL02|2025-06-29|4500000|2025-06-01</v>
      </c>
    </row>
    <row r="309">
      <c r="A309" s="1" t="s">
        <v>31</v>
      </c>
      <c r="B309" s="1" t="s">
        <v>32</v>
      </c>
      <c r="C309" s="1" t="s">
        <v>13</v>
      </c>
      <c r="D309" s="1">
        <v>129.0</v>
      </c>
      <c r="E309" s="1">
        <v>40.0</v>
      </c>
      <c r="F309" s="1">
        <v>4.0</v>
      </c>
      <c r="G309" s="1">
        <v>6.0</v>
      </c>
      <c r="H309" s="1" t="s">
        <v>33</v>
      </c>
      <c r="I309" s="2">
        <v>45916.0</v>
      </c>
      <c r="J309" s="1">
        <v>550000.0</v>
      </c>
      <c r="K309" s="2">
        <v>45901.0</v>
      </c>
      <c r="L309" s="3" t="str">
        <f t="shared" si="1"/>
        <v>SKU-013|Skincare Set Whitelab|Beauty|129|40|4|6|SUP_BT01|2025-09-16|550000|2025-09-01</v>
      </c>
    </row>
    <row r="310">
      <c r="A310" s="1" t="s">
        <v>21</v>
      </c>
      <c r="B310" s="1" t="s">
        <v>22</v>
      </c>
      <c r="C310" s="1" t="s">
        <v>23</v>
      </c>
      <c r="D310" s="1">
        <v>0.0</v>
      </c>
      <c r="E310" s="1">
        <v>50.0</v>
      </c>
      <c r="F310" s="1">
        <v>14.0</v>
      </c>
      <c r="G310" s="1">
        <v>7.0</v>
      </c>
      <c r="H310" s="1" t="s">
        <v>24</v>
      </c>
      <c r="I310" s="2">
        <v>46014.0</v>
      </c>
      <c r="J310" s="1">
        <v>350000.0</v>
      </c>
      <c r="K310" s="2">
        <v>45992.0</v>
      </c>
      <c r="L310" s="3" t="str">
        <f t="shared" si="1"/>
        <v>SKU-005|Kemeja Formal Pria|Fashion|0|50|14|7|SUP_FA01|2025-12-23|350000|2025-12-01</v>
      </c>
    </row>
    <row r="311">
      <c r="A311" s="1" t="s">
        <v>46</v>
      </c>
      <c r="B311" s="1" t="s">
        <v>47</v>
      </c>
      <c r="C311" s="1" t="s">
        <v>23</v>
      </c>
      <c r="D311" s="1">
        <v>9.0</v>
      </c>
      <c r="E311" s="1">
        <v>40.0</v>
      </c>
      <c r="F311" s="1">
        <v>5.0</v>
      </c>
      <c r="G311" s="1">
        <v>8.0</v>
      </c>
      <c r="H311" s="1" t="s">
        <v>30</v>
      </c>
      <c r="I311" s="2">
        <v>45698.0</v>
      </c>
      <c r="J311" s="1">
        <v>550000.0</v>
      </c>
      <c r="K311" s="2">
        <v>45689.0</v>
      </c>
      <c r="L311" s="3" t="str">
        <f t="shared" si="1"/>
        <v>SKU-008|Tas Ransel Eiger|Fashion|9|40|5|8|SUP_FA02|2025-02-10|550000|2025-02-01</v>
      </c>
    </row>
    <row r="312">
      <c r="A312" s="1" t="s">
        <v>51</v>
      </c>
      <c r="B312" s="1" t="s">
        <v>52</v>
      </c>
      <c r="C312" s="1" t="s">
        <v>36</v>
      </c>
      <c r="D312" s="1">
        <v>20.0</v>
      </c>
      <c r="E312" s="1">
        <v>60.0</v>
      </c>
      <c r="F312" s="1">
        <v>9.0</v>
      </c>
      <c r="G312" s="1">
        <v>5.0</v>
      </c>
      <c r="H312" s="1" t="s">
        <v>50</v>
      </c>
      <c r="I312" s="2">
        <v>45687.0</v>
      </c>
      <c r="J312" s="1">
        <v>175000.0</v>
      </c>
      <c r="K312" s="2">
        <v>45658.0</v>
      </c>
      <c r="L312" s="3" t="str">
        <f t="shared" si="1"/>
        <v>SKU-019|Madu Hutan Asli 500ml|Food &amp; Beverage|20|60|9|5|SUP_FB02|2025-01-30|175000|2025-01-01</v>
      </c>
    </row>
    <row r="313">
      <c r="A313" s="1" t="s">
        <v>28</v>
      </c>
      <c r="B313" s="1" t="s">
        <v>29</v>
      </c>
      <c r="C313" s="1" t="s">
        <v>23</v>
      </c>
      <c r="D313" s="1">
        <v>16.0</v>
      </c>
      <c r="E313" s="1">
        <v>35.0</v>
      </c>
      <c r="F313" s="1">
        <v>7.0</v>
      </c>
      <c r="G313" s="1">
        <v>5.0</v>
      </c>
      <c r="H313" s="1" t="s">
        <v>30</v>
      </c>
      <c r="I313" s="2">
        <v>46024.0</v>
      </c>
      <c r="J313" s="1">
        <v>1250000.0</v>
      </c>
      <c r="K313" s="2">
        <v>46023.0</v>
      </c>
      <c r="L313" s="3" t="str">
        <f t="shared" si="1"/>
        <v>SKU-007|Sepatu Sneakers Nike|Fashion|16|35|7|5|SUP_FA02|2026-01-02|1250000|2026-01-01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67</v>
      </c>
    </row>
    <row r="2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  <c r="L2" s="3" t="str">
        <f t="shared" ref="L2:L313" si="1">TEXTJOIN("|", FALSE, A2:K2)</f>
        <v>SKU-016|Parfum EDT Brasov 100ml|Beauty|271|50|2|4|SUP_BT02|2025-04-01|125000|2025-04-01</v>
      </c>
      <c r="N2" s="3">
        <f>IFERROR(__xludf.DUMMYFUNCTION("counta(A2:A1000)-COUNTUNIQUE(L2:L1000)"),12.0)</f>
        <v>12</v>
      </c>
    </row>
    <row r="3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  <c r="L3" s="3" t="str">
        <f t="shared" si="1"/>
        <v>SKU-001|Laptop ASUS Vivobook|Electronics|21|15|4|5|SUP_EL01|2025-10-12|8500000|2025-10-01</v>
      </c>
    </row>
    <row r="4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  <c r="L4" s="3" t="str">
        <f t="shared" si="1"/>
        <v>SKU-004|Smartwatch Xiaomi Band|Electronics|30|30|2|7|SUP_EL01|2026-01-07|1200000|2026-01-01</v>
      </c>
    </row>
    <row r="5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  <c r="L5" s="3" t="str">
        <f t="shared" si="1"/>
        <v>SKU-005|Kemeja Formal Pria|Fashion|25|50|6|3|SUP_FA01|2025-01-31|350000|2025-01-01</v>
      </c>
    </row>
    <row r="6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  <c r="L6" s="3" t="str">
        <f t="shared" si="1"/>
        <v>SKU-002|Smartphone Samsung A54|Electronics|0|25|7|21|SUP_EL02|2025-11-17|4500000|2025-11-01</v>
      </c>
    </row>
    <row r="7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  <c r="L7" s="3" t="str">
        <f t="shared" si="1"/>
        <v>SKU-005|Kemeja Formal Pria|Fashion|0|50|11|7|SUP_FA01|2025-04-02|350000|2025-04-01</v>
      </c>
    </row>
    <row r="8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  <c r="L8" s="3" t="str">
        <f t="shared" si="1"/>
        <v>SKU-007|Sepatu Sneakers Nike|Fashion|0|35|8|5|SUP_FA02|2025-04-27|1250000|2025-04-01</v>
      </c>
    </row>
    <row r="9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  <c r="L9" s="3" t="str">
        <f t="shared" si="1"/>
        <v>SKU-013|Skincare Set Whitelab|Beauty|220|40|2|5|SUP_BT01|2025-06-23|550000|2025-06-01</v>
      </c>
    </row>
    <row r="10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  <c r="L10" s="3" t="str">
        <f t="shared" si="1"/>
        <v>SKU-018|Teh Organik Premium Box|Food &amp; Beverage|28|80|11|4|SUP_FB01|2025-06-04|65000|2025-06-01</v>
      </c>
    </row>
    <row r="1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  <c r="L11" s="3" t="str">
        <f t="shared" si="1"/>
        <v>SKU-004|Smartwatch Xiaomi Band|Electronics|24|30|3|6|SUP_EL01|2025-02-07|1200000|2025-02-01</v>
      </c>
    </row>
    <row r="12">
      <c r="A12" s="1" t="s">
        <v>38</v>
      </c>
      <c r="B12" s="1" t="s">
        <v>39</v>
      </c>
      <c r="C12" s="1" t="s">
        <v>23</v>
      </c>
      <c r="D12" s="1">
        <v>-28.0</v>
      </c>
      <c r="E12" s="1">
        <v>45.0</v>
      </c>
      <c r="F12" s="1">
        <v>7.0</v>
      </c>
      <c r="G12" s="1">
        <v>5.0</v>
      </c>
      <c r="H12" s="1" t="s">
        <v>24</v>
      </c>
      <c r="I12" s="2">
        <v>45664.0</v>
      </c>
      <c r="J12" s="1">
        <v>450000.0</v>
      </c>
      <c r="K12" s="2">
        <v>45658.0</v>
      </c>
      <c r="L12" s="3" t="str">
        <f t="shared" si="1"/>
        <v>SKU-006|Dress Casual Wanita|Fashion|-28|45|7|5|SUP_FA01|2025-01-07|450000|2025-01-01</v>
      </c>
    </row>
    <row r="13">
      <c r="A13" s="1" t="s">
        <v>40</v>
      </c>
      <c r="B13" s="1" t="s">
        <v>41</v>
      </c>
      <c r="C13" s="1" t="s">
        <v>42</v>
      </c>
      <c r="D13" s="1">
        <v>-18.0</v>
      </c>
      <c r="E13" s="1">
        <v>15.0</v>
      </c>
      <c r="F13" s="1">
        <v>4.0</v>
      </c>
      <c r="G13" s="1">
        <v>6.0</v>
      </c>
      <c r="H13" s="1" t="s">
        <v>43</v>
      </c>
      <c r="I13" s="2">
        <v>46099.0</v>
      </c>
      <c r="J13" s="1">
        <v>1200000.0</v>
      </c>
      <c r="K13" s="2">
        <v>46082.0</v>
      </c>
      <c r="L13" s="3" t="str">
        <f t="shared" si="1"/>
        <v>SKU-011|Vacuum Cleaner Deerma|Home &amp; Living|-18|15|4|6|SUP_HM02|2026-03-18|1200000|2026-03-01</v>
      </c>
    </row>
    <row r="14">
      <c r="A14" s="1" t="s">
        <v>44</v>
      </c>
      <c r="B14" s="1" t="s">
        <v>45</v>
      </c>
      <c r="C14" s="1" t="s">
        <v>42</v>
      </c>
      <c r="D14" s="1">
        <v>54.0</v>
      </c>
      <c r="E14" s="1">
        <v>30.0</v>
      </c>
      <c r="F14" s="1">
        <v>6.0</v>
      </c>
      <c r="G14" s="1">
        <v>8.0</v>
      </c>
      <c r="H14" s="1" t="s">
        <v>43</v>
      </c>
      <c r="I14" s="2">
        <v>45983.0</v>
      </c>
      <c r="J14" s="1">
        <v>350000.0</v>
      </c>
      <c r="K14" s="2">
        <v>45962.0</v>
      </c>
      <c r="L14" s="3" t="str">
        <f t="shared" si="1"/>
        <v>SKU-012|Kipas Angin Cosmos 16in|Home &amp; Living|54|30|6|8|SUP_HM02|2025-11-22|350000|2025-11-01</v>
      </c>
    </row>
    <row r="15">
      <c r="A15" s="1" t="s">
        <v>46</v>
      </c>
      <c r="B15" s="1" t="s">
        <v>47</v>
      </c>
      <c r="C15" s="1" t="s">
        <v>23</v>
      </c>
      <c r="D15" s="1">
        <v>0.0</v>
      </c>
      <c r="E15" s="1">
        <v>40.0</v>
      </c>
      <c r="F15" s="1">
        <v>7.0</v>
      </c>
      <c r="G15" s="1">
        <v>4.0</v>
      </c>
      <c r="H15" s="1" t="s">
        <v>30</v>
      </c>
      <c r="I15" s="2">
        <v>45761.0</v>
      </c>
      <c r="J15" s="1">
        <v>550000.0</v>
      </c>
      <c r="K15" s="2">
        <v>45748.0</v>
      </c>
      <c r="L15" s="3" t="str">
        <f t="shared" si="1"/>
        <v>SKU-008|Tas Ransel Eiger|Fashion|0|40|7|4|SUP_FA02|2025-04-14|550000|2025-04-01</v>
      </c>
    </row>
    <row r="16">
      <c r="A16" s="1" t="s">
        <v>44</v>
      </c>
      <c r="B16" s="1" t="s">
        <v>45</v>
      </c>
      <c r="C16" s="1" t="s">
        <v>42</v>
      </c>
      <c r="D16" s="1">
        <v>41.0</v>
      </c>
      <c r="E16" s="1">
        <v>30.0</v>
      </c>
      <c r="F16" s="1">
        <v>4.0</v>
      </c>
      <c r="G16" s="1">
        <v>10.0</v>
      </c>
      <c r="H16" s="1" t="s">
        <v>43</v>
      </c>
      <c r="I16" s="2">
        <v>45930.0</v>
      </c>
      <c r="J16" s="1">
        <v>350000.0</v>
      </c>
      <c r="K16" s="2">
        <v>45901.0</v>
      </c>
      <c r="L16" s="3" t="str">
        <f t="shared" si="1"/>
        <v>SKU-012|Kipas Angin Cosmos 16in|Home &amp; Living|41|30|4|10|SUP_HM02|2025-09-30|350000|2025-09-01</v>
      </c>
    </row>
    <row r="17">
      <c r="A17" s="1" t="s">
        <v>48</v>
      </c>
      <c r="B17" s="1" t="s">
        <v>49</v>
      </c>
      <c r="C17" s="1" t="s">
        <v>36</v>
      </c>
      <c r="D17" s="1">
        <v>33.0</v>
      </c>
      <c r="E17" s="1">
        <v>120.0</v>
      </c>
      <c r="F17" s="1">
        <v>18.0</v>
      </c>
      <c r="G17" s="1">
        <v>7.0</v>
      </c>
      <c r="H17" s="1" t="s">
        <v>50</v>
      </c>
      <c r="I17" s="2">
        <v>45878.0</v>
      </c>
      <c r="J17" s="1">
        <v>55000.0</v>
      </c>
      <c r="K17" s="2">
        <v>45870.0</v>
      </c>
      <c r="L17" s="3" t="str">
        <f t="shared" si="1"/>
        <v>SKU-020|Snack Granola Mix 500g|Food &amp; Beverage|33|120|18|7|SUP_FB02|2025-08-09|55000|2025-08-01</v>
      </c>
    </row>
    <row r="18">
      <c r="A18" s="1" t="s">
        <v>15</v>
      </c>
      <c r="B18" s="1" t="s">
        <v>16</v>
      </c>
      <c r="C18" s="1" t="s">
        <v>17</v>
      </c>
      <c r="D18" s="1">
        <v>26.0</v>
      </c>
      <c r="E18" s="1">
        <v>15.0</v>
      </c>
      <c r="F18" s="1">
        <v>3.0</v>
      </c>
      <c r="G18" s="1">
        <v>8.0</v>
      </c>
      <c r="H18" s="1" t="s">
        <v>18</v>
      </c>
      <c r="I18" s="2">
        <v>45816.0</v>
      </c>
      <c r="J18" s="1">
        <v>8500000.0</v>
      </c>
      <c r="K18" s="2">
        <v>45809.0</v>
      </c>
      <c r="L18" s="3" t="str">
        <f t="shared" si="1"/>
        <v>SKU-001|Laptop ASUS Vivobook|Electronics|26|15|3|8|SUP_EL01|2025-06-08|8500000|2025-06-01</v>
      </c>
    </row>
    <row r="19">
      <c r="A19" s="1" t="s">
        <v>11</v>
      </c>
      <c r="B19" s="1" t="s">
        <v>12</v>
      </c>
      <c r="C19" s="1" t="s">
        <v>13</v>
      </c>
      <c r="D19" s="1">
        <v>139.0</v>
      </c>
      <c r="E19" s="1">
        <v>50.0</v>
      </c>
      <c r="F19" s="1">
        <v>1.0</v>
      </c>
      <c r="G19" s="1">
        <v>7.0</v>
      </c>
      <c r="H19" s="1" t="s">
        <v>14</v>
      </c>
      <c r="I19" s="2">
        <v>46317.0</v>
      </c>
      <c r="J19" s="1">
        <v>125000.0</v>
      </c>
      <c r="K19" s="2">
        <v>45839.0</v>
      </c>
      <c r="L19" s="3" t="str">
        <f t="shared" si="1"/>
        <v>SKU-016|Parfum EDT Brasov 100ml|Beauty|139|50|1|7|SUP_BT02|2026-10-22|125000|2025-07-01</v>
      </c>
    </row>
    <row r="20">
      <c r="A20" s="1" t="s">
        <v>44</v>
      </c>
      <c r="B20" s="1" t="s">
        <v>45</v>
      </c>
      <c r="C20" s="1" t="s">
        <v>42</v>
      </c>
      <c r="D20" s="1">
        <v>49.0</v>
      </c>
      <c r="E20" s="1">
        <v>30.0</v>
      </c>
      <c r="F20" s="1">
        <v>6.0</v>
      </c>
      <c r="G20" s="1">
        <v>9.0</v>
      </c>
      <c r="H20" s="1" t="s">
        <v>43</v>
      </c>
      <c r="I20" s="2">
        <v>45669.0</v>
      </c>
      <c r="J20" s="1">
        <v>350000.0</v>
      </c>
      <c r="K20" s="2">
        <v>45658.0</v>
      </c>
      <c r="L20" s="3" t="str">
        <f t="shared" si="1"/>
        <v>SKU-012|Kipas Angin Cosmos 16in|Home &amp; Living|49|30|6|9|SUP_HM02|2025-01-12|350000|2025-01-01</v>
      </c>
    </row>
    <row r="21">
      <c r="A21" s="1" t="s">
        <v>48</v>
      </c>
      <c r="B21" s="1" t="s">
        <v>49</v>
      </c>
      <c r="C21" s="1" t="s">
        <v>36</v>
      </c>
      <c r="D21" s="1">
        <v>0.0</v>
      </c>
      <c r="E21" s="1">
        <v>120.0</v>
      </c>
      <c r="F21" s="1">
        <v>27.0</v>
      </c>
      <c r="G21" s="1">
        <v>7.0</v>
      </c>
      <c r="H21" s="1" t="s">
        <v>50</v>
      </c>
      <c r="I21" s="2">
        <v>46010.0</v>
      </c>
      <c r="J21" s="1">
        <v>55000.0</v>
      </c>
      <c r="K21" s="2">
        <v>45992.0</v>
      </c>
      <c r="L21" s="3" t="str">
        <f t="shared" si="1"/>
        <v>SKU-020|Snack Granola Mix 500g|Food &amp; Beverage|0|120|27|7|SUP_FB02|2025-12-19|55000|2025-12-01</v>
      </c>
    </row>
    <row r="22">
      <c r="A22" s="1" t="s">
        <v>21</v>
      </c>
      <c r="B22" s="1" t="s">
        <v>22</v>
      </c>
      <c r="C22" s="1" t="s">
        <v>23</v>
      </c>
      <c r="D22" s="1">
        <v>14.0</v>
      </c>
      <c r="E22" s="1">
        <v>50.0</v>
      </c>
      <c r="F22" s="1">
        <v>11.0</v>
      </c>
      <c r="G22" s="1">
        <v>4.0</v>
      </c>
      <c r="H22" s="1" t="s">
        <v>24</v>
      </c>
      <c r="I22" s="2">
        <v>46062.0</v>
      </c>
      <c r="J22" s="1">
        <v>350000.0</v>
      </c>
      <c r="K22" s="2">
        <v>46054.0</v>
      </c>
      <c r="L22" s="3" t="str">
        <f t="shared" si="1"/>
        <v>SKU-005|Kemeja Formal Pria|Fashion|14|50|11|4|SUP_FA01|2026-02-09|350000|2026-02-01</v>
      </c>
    </row>
    <row r="23">
      <c r="A23" s="1" t="s">
        <v>51</v>
      </c>
      <c r="B23" s="1" t="s">
        <v>52</v>
      </c>
      <c r="C23" s="1" t="s">
        <v>36</v>
      </c>
      <c r="D23" s="1">
        <v>0.0</v>
      </c>
      <c r="E23" s="1">
        <v>60.0</v>
      </c>
      <c r="F23" s="1">
        <v>13.0</v>
      </c>
      <c r="G23" s="1">
        <v>4.0</v>
      </c>
      <c r="H23" s="1" t="s">
        <v>50</v>
      </c>
      <c r="I23" s="2">
        <v>46004.0</v>
      </c>
      <c r="J23" s="1">
        <v>175000.0</v>
      </c>
      <c r="K23" s="2">
        <v>45992.0</v>
      </c>
      <c r="L23" s="3" t="str">
        <f t="shared" si="1"/>
        <v>SKU-019|Madu Hutan Asli 500ml|Food &amp; Beverage|0|60|13|4|SUP_FB02|2025-12-13|175000|2025-12-01</v>
      </c>
    </row>
    <row r="24">
      <c r="A24" s="1" t="s">
        <v>53</v>
      </c>
      <c r="B24" s="1" t="s">
        <v>54</v>
      </c>
      <c r="C24" s="1" t="s">
        <v>13</v>
      </c>
      <c r="D24" s="1">
        <v>191.0</v>
      </c>
      <c r="E24" s="1">
        <v>60.0</v>
      </c>
      <c r="F24" s="1">
        <v>3.0</v>
      </c>
      <c r="G24" s="1">
        <v>8.0</v>
      </c>
      <c r="H24" s="1" t="s">
        <v>14</v>
      </c>
      <c r="I24" s="2">
        <v>45944.0</v>
      </c>
      <c r="J24" s="1">
        <v>165000.0</v>
      </c>
      <c r="K24" s="2">
        <v>45931.0</v>
      </c>
      <c r="L24" s="3" t="str">
        <f t="shared" si="1"/>
        <v>SKU-015|Foundation Maybelline Fit|Beauty|191|60|3|8|SUP_BT02|2025-10-14|165000|2025-10-01</v>
      </c>
    </row>
    <row r="25">
      <c r="A25" s="1" t="s">
        <v>55</v>
      </c>
      <c r="B25" s="1" t="s">
        <v>56</v>
      </c>
      <c r="C25" s="1" t="s">
        <v>36</v>
      </c>
      <c r="D25" s="1">
        <v>0.0</v>
      </c>
      <c r="E25" s="1">
        <v>100.0</v>
      </c>
      <c r="F25" s="1">
        <v>24.0</v>
      </c>
      <c r="G25" s="1">
        <v>4.0</v>
      </c>
      <c r="H25" s="1" t="s">
        <v>37</v>
      </c>
      <c r="I25" s="2">
        <v>45747.0</v>
      </c>
      <c r="J25" s="1">
        <v>85000.0</v>
      </c>
      <c r="K25" s="2">
        <v>45717.0</v>
      </c>
      <c r="L25" s="3" t="str">
        <f t="shared" si="1"/>
        <v>SKU-017|Kopi Arabika 250g Pack|Food &amp; Beverage|0|100|24|4|SUP_FB01|2025-03-31|85000|2025-03-01</v>
      </c>
    </row>
    <row r="26">
      <c r="A26" s="1" t="s">
        <v>38</v>
      </c>
      <c r="B26" s="1" t="s">
        <v>39</v>
      </c>
      <c r="C26" s="1" t="s">
        <v>23</v>
      </c>
      <c r="D26" s="1">
        <v>23.0</v>
      </c>
      <c r="E26" s="1">
        <v>45.0</v>
      </c>
      <c r="F26" s="1">
        <v>6.0</v>
      </c>
      <c r="G26" s="1">
        <v>6.0</v>
      </c>
      <c r="H26" s="1" t="s">
        <v>24</v>
      </c>
      <c r="I26" s="2">
        <v>45697.0</v>
      </c>
      <c r="J26" s="1">
        <v>450000.0</v>
      </c>
      <c r="K26" s="2">
        <v>45689.0</v>
      </c>
      <c r="L26" s="3" t="str">
        <f t="shared" si="1"/>
        <v>SKU-006|Dress Casual Wanita|Fashion|23|45|6|6|SUP_FA01|2025-02-09|450000|2025-02-01</v>
      </c>
    </row>
    <row r="27">
      <c r="A27" s="1" t="s">
        <v>57</v>
      </c>
      <c r="B27" s="1" t="s">
        <v>58</v>
      </c>
      <c r="C27" s="1" t="s">
        <v>42</v>
      </c>
      <c r="D27" s="1">
        <v>50.0</v>
      </c>
      <c r="E27" s="1">
        <v>25.0</v>
      </c>
      <c r="F27" s="1">
        <v>3.0</v>
      </c>
      <c r="G27" s="1">
        <v>7.0</v>
      </c>
      <c r="H27" s="1" t="s">
        <v>59</v>
      </c>
      <c r="I27" s="2">
        <v>45920.0</v>
      </c>
      <c r="J27" s="1">
        <v>450000.0</v>
      </c>
      <c r="K27" s="2">
        <v>45901.0</v>
      </c>
      <c r="L27" s="3" t="str">
        <f t="shared" si="1"/>
        <v>SKU-010|Rice Cooker Miyako 1.8L|Home &amp; Living|50|25|3|7|SUP_HM01|2025-09-20|450000|2025-09-01</v>
      </c>
    </row>
    <row r="28">
      <c r="A28" s="1" t="s">
        <v>57</v>
      </c>
      <c r="B28" s="1" t="s">
        <v>58</v>
      </c>
      <c r="C28" s="1" t="s">
        <v>42</v>
      </c>
      <c r="D28" s="1">
        <v>42.0</v>
      </c>
      <c r="E28" s="1">
        <v>25.0</v>
      </c>
      <c r="F28" s="1">
        <v>3.0</v>
      </c>
      <c r="G28" s="1">
        <v>8.0</v>
      </c>
      <c r="H28" s="1" t="s">
        <v>59</v>
      </c>
      <c r="I28" s="2">
        <v>46078.0</v>
      </c>
      <c r="J28" s="1">
        <v>450000.0</v>
      </c>
      <c r="K28" s="2">
        <v>46054.0</v>
      </c>
      <c r="L28" s="3" t="str">
        <f t="shared" si="1"/>
        <v>SKU-010|Rice Cooker Miyako 1.8L|Home &amp; Living|42|25|3|8|SUP_HM01|2026-02-25|450000|2026-02-01</v>
      </c>
    </row>
    <row r="29">
      <c r="A29" s="1" t="s">
        <v>60</v>
      </c>
      <c r="B29" s="1" t="s">
        <v>61</v>
      </c>
      <c r="C29" s="1" t="s">
        <v>17</v>
      </c>
      <c r="D29" s="1">
        <v>-8.0</v>
      </c>
      <c r="E29" s="1">
        <v>20.0</v>
      </c>
      <c r="F29" s="1">
        <v>2.0</v>
      </c>
      <c r="G29" s="1">
        <v>9.0</v>
      </c>
      <c r="H29" s="1" t="s">
        <v>27</v>
      </c>
      <c r="I29" s="2">
        <v>45750.0</v>
      </c>
      <c r="J29" s="1">
        <v>3200000.0</v>
      </c>
      <c r="K29" s="2">
        <v>45748.0</v>
      </c>
      <c r="L29" s="3" t="str">
        <f t="shared" si="1"/>
        <v>SKU-003|Headphone Sony WH-1000|Electronics|-8|20|2|9|SUP_EL02|2025-04-03|3200000|2025-04-01</v>
      </c>
    </row>
    <row r="30">
      <c r="A30" s="1" t="s">
        <v>51</v>
      </c>
      <c r="B30" s="1" t="s">
        <v>52</v>
      </c>
      <c r="C30" s="1" t="s">
        <v>36</v>
      </c>
      <c r="D30" s="1">
        <v>31.0</v>
      </c>
      <c r="E30" s="1">
        <v>60.0</v>
      </c>
      <c r="F30" s="1">
        <v>8.0</v>
      </c>
      <c r="G30" s="1">
        <v>7.0</v>
      </c>
      <c r="H30" s="1" t="s">
        <v>50</v>
      </c>
      <c r="I30" s="2">
        <v>45880.0</v>
      </c>
      <c r="J30" s="1">
        <v>175000.0</v>
      </c>
      <c r="K30" s="2">
        <v>45870.0</v>
      </c>
      <c r="L30" s="3" t="str">
        <f t="shared" si="1"/>
        <v>SKU-019|Madu Hutan Asli 500ml|Food &amp; Beverage|31|60|8|7|SUP_FB02|2025-08-11|175000|2025-08-01</v>
      </c>
    </row>
    <row r="31">
      <c r="A31" s="1" t="s">
        <v>48</v>
      </c>
      <c r="B31" s="1" t="s">
        <v>49</v>
      </c>
      <c r="C31" s="1" t="s">
        <v>36</v>
      </c>
      <c r="D31" s="1">
        <v>38.0</v>
      </c>
      <c r="E31" s="1">
        <v>120.0</v>
      </c>
      <c r="F31" s="1">
        <v>17.0</v>
      </c>
      <c r="G31" s="1">
        <v>4.0</v>
      </c>
      <c r="H31" s="1" t="s">
        <v>50</v>
      </c>
      <c r="I31" s="2">
        <v>45864.0</v>
      </c>
      <c r="J31" s="1">
        <v>55000.0</v>
      </c>
      <c r="K31" s="2">
        <v>45839.0</v>
      </c>
      <c r="L31" s="3" t="str">
        <f t="shared" si="1"/>
        <v>SKU-020|Snack Granola Mix 500g|Food &amp; Beverage|38|120|17|4|SUP_FB02|2025-07-26|55000|2025-07-01</v>
      </c>
    </row>
    <row r="32">
      <c r="A32" s="1" t="s">
        <v>11</v>
      </c>
      <c r="B32" s="1" t="s">
        <v>12</v>
      </c>
      <c r="C32" s="1" t="s">
        <v>13</v>
      </c>
      <c r="D32" s="1">
        <v>217.0</v>
      </c>
      <c r="E32" s="1">
        <v>50.0</v>
      </c>
      <c r="F32" s="1">
        <v>3.0</v>
      </c>
      <c r="G32" s="1">
        <v>7.0</v>
      </c>
      <c r="H32" s="1" t="s">
        <v>14</v>
      </c>
      <c r="I32" s="2">
        <v>46111.0</v>
      </c>
      <c r="J32" s="1">
        <v>125000.0</v>
      </c>
      <c r="K32" s="2">
        <v>46082.0</v>
      </c>
      <c r="L32" s="3" t="str">
        <f t="shared" si="1"/>
        <v>SKU-016|Parfum EDT Brasov 100ml|Beauty|217|50|3|7|SUP_BT02|2026-03-30|125000|2026-03-01</v>
      </c>
    </row>
    <row r="33">
      <c r="A33" s="1" t="s">
        <v>15</v>
      </c>
      <c r="B33" s="1" t="s">
        <v>16</v>
      </c>
      <c r="C33" s="1" t="s">
        <v>17</v>
      </c>
      <c r="D33" s="1">
        <v>11.0</v>
      </c>
      <c r="E33" s="1">
        <v>15.0</v>
      </c>
      <c r="F33" s="1">
        <v>1.0</v>
      </c>
      <c r="G33" s="1">
        <v>5.0</v>
      </c>
      <c r="H33" s="1" t="s">
        <v>18</v>
      </c>
      <c r="I33" s="2">
        <v>45754.0</v>
      </c>
      <c r="J33" s="1">
        <v>8500000.0</v>
      </c>
      <c r="K33" s="2">
        <v>45748.0</v>
      </c>
      <c r="L33" s="3" t="str">
        <f t="shared" si="1"/>
        <v>SKU-001|Laptop ASUS Vivobook|Electronics|11|15|1|5|SUP_EL01|2025-04-07|8500000|2025-04-01</v>
      </c>
    </row>
    <row r="34">
      <c r="A34" s="1" t="s">
        <v>38</v>
      </c>
      <c r="B34" s="1" t="s">
        <v>39</v>
      </c>
      <c r="C34" s="1" t="s">
        <v>23</v>
      </c>
      <c r="D34" s="1">
        <v>36.0</v>
      </c>
      <c r="E34" s="1">
        <v>45.0</v>
      </c>
      <c r="F34" s="1">
        <v>7.0</v>
      </c>
      <c r="G34" s="1">
        <v>4.0</v>
      </c>
      <c r="H34" s="1" t="s">
        <v>24</v>
      </c>
      <c r="I34" s="2">
        <v>45883.0</v>
      </c>
      <c r="J34" s="1">
        <v>450000.0</v>
      </c>
      <c r="K34" s="2">
        <v>45870.0</v>
      </c>
      <c r="L34" s="3" t="str">
        <f t="shared" si="1"/>
        <v>SKU-006|Dress Casual Wanita|Fashion|36|45|7|4|SUP_FA01|2025-08-14|450000|2025-08-01</v>
      </c>
    </row>
    <row r="35">
      <c r="A35" s="1" t="s">
        <v>48</v>
      </c>
      <c r="B35" s="1" t="s">
        <v>49</v>
      </c>
      <c r="C35" s="1" t="s">
        <v>36</v>
      </c>
      <c r="D35" s="1">
        <v>0.0</v>
      </c>
      <c r="E35" s="1">
        <v>120.0</v>
      </c>
      <c r="F35" s="1">
        <v>28.0</v>
      </c>
      <c r="G35" s="1">
        <v>6.0</v>
      </c>
      <c r="H35" s="1" t="s">
        <v>50</v>
      </c>
      <c r="I35" s="2">
        <v>45725.0</v>
      </c>
      <c r="J35" s="1">
        <v>55000.0</v>
      </c>
      <c r="K35" s="2">
        <v>45717.0</v>
      </c>
      <c r="L35" s="3" t="str">
        <f t="shared" si="1"/>
        <v>SKU-020|Snack Granola Mix 500g|Food &amp; Beverage|0|120|28|6|SUP_FB02|2025-03-09|55000|2025-03-01</v>
      </c>
    </row>
    <row r="36">
      <c r="A36" s="1" t="s">
        <v>55</v>
      </c>
      <c r="B36" s="1" t="s">
        <v>56</v>
      </c>
      <c r="C36" s="1" t="s">
        <v>36</v>
      </c>
      <c r="D36" s="1">
        <v>-18.0</v>
      </c>
      <c r="E36" s="1">
        <v>100.0</v>
      </c>
      <c r="F36" s="1">
        <v>21.0</v>
      </c>
      <c r="G36" s="1">
        <v>3.0</v>
      </c>
      <c r="H36" s="1" t="s">
        <v>37</v>
      </c>
      <c r="I36" s="2">
        <v>46006.0</v>
      </c>
      <c r="J36" s="1">
        <v>85000.0</v>
      </c>
      <c r="K36" s="2">
        <v>45992.0</v>
      </c>
      <c r="L36" s="3" t="str">
        <f t="shared" si="1"/>
        <v>SKU-017|Kopi Arabika 250g Pack|Food &amp; Beverage|-18|100|21|3|SUP_FB01|2025-12-15|85000|2025-12-01</v>
      </c>
    </row>
    <row r="37">
      <c r="A37" s="1" t="s">
        <v>62</v>
      </c>
      <c r="B37" s="1" t="s">
        <v>63</v>
      </c>
      <c r="C37" s="1" t="s">
        <v>13</v>
      </c>
      <c r="D37" s="1">
        <v>375.0</v>
      </c>
      <c r="E37" s="1">
        <v>80.0</v>
      </c>
      <c r="F37" s="1">
        <v>5.0</v>
      </c>
      <c r="G37" s="1">
        <v>6.0</v>
      </c>
      <c r="H37" s="1" t="s">
        <v>33</v>
      </c>
      <c r="I37" s="2">
        <v>45737.0</v>
      </c>
      <c r="J37" s="1">
        <v>85000.0</v>
      </c>
      <c r="K37" s="2">
        <v>45717.0</v>
      </c>
      <c r="L37" s="3" t="str">
        <f t="shared" si="1"/>
        <v>SKU-014|Lipstik Matte Wardah|Beauty|375|80|5|6|SUP_BT01|2025-03-21|85000|2025-03-01</v>
      </c>
    </row>
    <row r="38">
      <c r="A38" s="1" t="s">
        <v>19</v>
      </c>
      <c r="B38" s="1" t="s">
        <v>20</v>
      </c>
      <c r="C38" s="1" t="s">
        <v>17</v>
      </c>
      <c r="D38" s="1">
        <v>24.0</v>
      </c>
      <c r="E38" s="1">
        <v>30.0</v>
      </c>
      <c r="F38" s="1">
        <v>4.0</v>
      </c>
      <c r="G38" s="1">
        <v>5.0</v>
      </c>
      <c r="H38" s="1" t="s">
        <v>18</v>
      </c>
      <c r="I38" s="2">
        <v>45670.0</v>
      </c>
      <c r="J38" s="1">
        <v>1200000.0</v>
      </c>
      <c r="K38" s="2">
        <v>45658.0</v>
      </c>
      <c r="L38" s="3" t="str">
        <f t="shared" si="1"/>
        <v>SKU-004|Smartwatch Xiaomi Band|Electronics|24|30|4|5|SUP_EL01|2025-01-13|1200000|2025-01-01</v>
      </c>
    </row>
    <row r="39">
      <c r="A39" s="1" t="s">
        <v>25</v>
      </c>
      <c r="B39" s="1" t="s">
        <v>26</v>
      </c>
      <c r="C39" s="1" t="s">
        <v>17</v>
      </c>
      <c r="D39" s="1">
        <v>22.0</v>
      </c>
      <c r="E39" s="1">
        <v>25.0</v>
      </c>
      <c r="F39" s="1">
        <v>5.0</v>
      </c>
      <c r="G39" s="1">
        <v>14.0</v>
      </c>
      <c r="H39" s="1" t="s">
        <v>27</v>
      </c>
      <c r="I39" s="2">
        <v>45722.0</v>
      </c>
      <c r="J39" s="1">
        <v>4500000.0</v>
      </c>
      <c r="K39" s="2">
        <v>45717.0</v>
      </c>
      <c r="L39" s="3" t="str">
        <f t="shared" si="1"/>
        <v>SKU-002|Smartphone Samsung A54|Electronics|22|25|5|14|SUP_EL02|2025-03-06|4500000|2025-03-01</v>
      </c>
    </row>
    <row r="40">
      <c r="A40" s="1" t="s">
        <v>44</v>
      </c>
      <c r="B40" s="1" t="s">
        <v>45</v>
      </c>
      <c r="C40" s="1" t="s">
        <v>42</v>
      </c>
      <c r="D40" s="1">
        <v>59.0</v>
      </c>
      <c r="E40" s="1">
        <v>30.0</v>
      </c>
      <c r="F40" s="1">
        <v>3.0</v>
      </c>
      <c r="G40" s="1">
        <v>6.0</v>
      </c>
      <c r="H40" s="1" t="s">
        <v>43</v>
      </c>
      <c r="I40" s="2">
        <v>45880.0</v>
      </c>
      <c r="J40" s="1">
        <v>350000.0</v>
      </c>
      <c r="K40" s="2">
        <v>45870.0</v>
      </c>
      <c r="L40" s="3" t="str">
        <f t="shared" si="1"/>
        <v>SKU-012|Kipas Angin Cosmos 16in|Home &amp; Living|59|30|3|6|SUP_HM02|2025-08-11|350000|2025-08-01</v>
      </c>
    </row>
    <row r="41">
      <c r="A41" s="1" t="s">
        <v>57</v>
      </c>
      <c r="B41" s="1" t="s">
        <v>58</v>
      </c>
      <c r="C41" s="1" t="s">
        <v>42</v>
      </c>
      <c r="D41" s="1">
        <v>22.0</v>
      </c>
      <c r="E41" s="1">
        <v>25.0</v>
      </c>
      <c r="F41" s="1">
        <v>2.0</v>
      </c>
      <c r="G41" s="1">
        <v>6.0</v>
      </c>
      <c r="H41" s="1" t="s">
        <v>59</v>
      </c>
      <c r="I41" s="2">
        <v>46000.0</v>
      </c>
      <c r="J41" s="1">
        <v>450000.0</v>
      </c>
      <c r="K41" s="2">
        <v>45992.0</v>
      </c>
      <c r="L41" s="3" t="str">
        <f t="shared" si="1"/>
        <v>SKU-010|Rice Cooker Miyako 1.8L|Home &amp; Living|22|25|2|6|SUP_HM01|2025-12-09|450000|2025-12-01</v>
      </c>
    </row>
    <row r="42">
      <c r="A42" s="1" t="s">
        <v>60</v>
      </c>
      <c r="B42" s="1" t="s">
        <v>61</v>
      </c>
      <c r="C42" s="1" t="s">
        <v>17</v>
      </c>
      <c r="D42" s="1">
        <v>30.0</v>
      </c>
      <c r="E42" s="1">
        <v>20.0</v>
      </c>
      <c r="F42" s="1">
        <v>1.0</v>
      </c>
      <c r="G42" s="1">
        <v>14.0</v>
      </c>
      <c r="H42" s="1" t="s">
        <v>27</v>
      </c>
      <c r="I42" s="2">
        <v>46048.0</v>
      </c>
      <c r="J42" s="1">
        <v>3200000.0</v>
      </c>
      <c r="K42" s="2">
        <v>46023.0</v>
      </c>
      <c r="L42" s="3" t="str">
        <f t="shared" si="1"/>
        <v>SKU-003|Headphone Sony WH-1000|Electronics|30|20|1|14|SUP_EL02|2026-01-26|3200000|2026-01-01</v>
      </c>
    </row>
    <row r="43">
      <c r="A43" s="1" t="s">
        <v>25</v>
      </c>
      <c r="B43" s="1" t="s">
        <v>26</v>
      </c>
      <c r="C43" s="1" t="s">
        <v>17</v>
      </c>
      <c r="D43" s="1">
        <v>2.0</v>
      </c>
      <c r="E43" s="1">
        <v>25.0</v>
      </c>
      <c r="F43" s="1">
        <v>3.0</v>
      </c>
      <c r="G43" s="1">
        <v>20.0</v>
      </c>
      <c r="H43" s="1" t="s">
        <v>27</v>
      </c>
      <c r="I43" s="2">
        <v>45950.0</v>
      </c>
      <c r="J43" s="1">
        <v>4500000.0</v>
      </c>
      <c r="K43" s="2">
        <v>45931.0</v>
      </c>
      <c r="L43" s="3" t="str">
        <f t="shared" si="1"/>
        <v>SKU-002|Smartphone Samsung A54|Electronics|2|25|3|20|SUP_EL02|2025-10-20|4500000|2025-10-01</v>
      </c>
    </row>
    <row r="44">
      <c r="A44" s="1" t="s">
        <v>31</v>
      </c>
      <c r="B44" s="1" t="s">
        <v>32</v>
      </c>
      <c r="C44" s="1" t="s">
        <v>13</v>
      </c>
      <c r="D44" s="1">
        <v>184.0</v>
      </c>
      <c r="E44" s="1">
        <v>40.0</v>
      </c>
      <c r="F44" s="1">
        <v>3.0</v>
      </c>
      <c r="G44" s="1">
        <v>6.0</v>
      </c>
      <c r="H44" s="1" t="s">
        <v>33</v>
      </c>
      <c r="I44" s="2">
        <v>45682.0</v>
      </c>
      <c r="J44" s="1">
        <v>550000.0</v>
      </c>
      <c r="K44" s="2">
        <v>45658.0</v>
      </c>
      <c r="L44" s="3" t="str">
        <f t="shared" si="1"/>
        <v>SKU-013|Skincare Set Whitelab|Beauty|184|40|3|6|SUP_BT01|2025-01-25|550000|2025-01-01</v>
      </c>
    </row>
    <row r="45">
      <c r="A45" s="1" t="s">
        <v>64</v>
      </c>
      <c r="B45" s="1" t="s">
        <v>65</v>
      </c>
      <c r="C45" s="1" t="s">
        <v>42</v>
      </c>
      <c r="D45" s="1">
        <v>19.0</v>
      </c>
      <c r="E45" s="1">
        <v>20.0</v>
      </c>
      <c r="F45" s="1">
        <v>4.0</v>
      </c>
      <c r="G45" s="1">
        <v>9.0</v>
      </c>
      <c r="H45" s="1" t="s">
        <v>59</v>
      </c>
      <c r="I45" s="2">
        <v>45782.0</v>
      </c>
      <c r="J45" s="1">
        <v>750000.0</v>
      </c>
      <c r="K45" s="2">
        <v>45778.0</v>
      </c>
      <c r="L45" s="3" t="str">
        <f t="shared" si="1"/>
        <v>SKU-009|Blender Philips HR2157|Home &amp; Living|19|20|4|9|SUP_HM01|2025-05-05|750000|2025-05-01</v>
      </c>
    </row>
    <row r="46">
      <c r="A46" s="1" t="s">
        <v>62</v>
      </c>
      <c r="B46" s="1" t="s">
        <v>63</v>
      </c>
      <c r="C46" s="1" t="s">
        <v>13</v>
      </c>
      <c r="D46" s="1">
        <v>268.0</v>
      </c>
      <c r="E46" s="1">
        <v>80.0</v>
      </c>
      <c r="F46" s="1">
        <v>4.0</v>
      </c>
      <c r="G46" s="1">
        <v>4.0</v>
      </c>
      <c r="H46" s="1" t="s">
        <v>33</v>
      </c>
      <c r="I46" s="2">
        <v>46099.0</v>
      </c>
      <c r="J46" s="1">
        <v>85000.0</v>
      </c>
      <c r="K46" s="2">
        <v>46082.0</v>
      </c>
      <c r="L46" s="3" t="str">
        <f t="shared" si="1"/>
        <v>SKU-014|Lipstik Matte Wardah|Beauty|268|80|4|4|SUP_BT01|2026-03-18|85000|2026-03-01</v>
      </c>
    </row>
    <row r="47">
      <c r="A47" s="1" t="s">
        <v>34</v>
      </c>
      <c r="B47" s="1" t="s">
        <v>35</v>
      </c>
      <c r="C47" s="1" t="s">
        <v>36</v>
      </c>
      <c r="D47" s="1">
        <v>31.0</v>
      </c>
      <c r="E47" s="1">
        <v>80.0</v>
      </c>
      <c r="F47" s="1">
        <v>13.0</v>
      </c>
      <c r="G47" s="1">
        <v>4.0</v>
      </c>
      <c r="H47" s="1" t="s">
        <v>37</v>
      </c>
      <c r="I47" s="2">
        <v>45857.0</v>
      </c>
      <c r="J47" s="1">
        <v>65000.0</v>
      </c>
      <c r="K47" s="2">
        <v>45839.0</v>
      </c>
      <c r="L47" s="3" t="str">
        <f t="shared" si="1"/>
        <v>SKU-018|Teh Organik Premium Box|Food &amp; Beverage|31|80|13|4|SUP_FB01|2025-07-19|65000|2025-07-01</v>
      </c>
    </row>
    <row r="48">
      <c r="A48" s="1" t="s">
        <v>55</v>
      </c>
      <c r="B48" s="1" t="s">
        <v>56</v>
      </c>
      <c r="C48" s="1" t="s">
        <v>36</v>
      </c>
      <c r="D48" s="1">
        <v>28.0</v>
      </c>
      <c r="E48" s="1">
        <v>100.0</v>
      </c>
      <c r="F48" s="1">
        <v>17.0</v>
      </c>
      <c r="G48" s="1">
        <v>3.0</v>
      </c>
      <c r="H48" s="1" t="s">
        <v>37</v>
      </c>
      <c r="I48" s="2">
        <v>46070.0</v>
      </c>
      <c r="J48" s="1">
        <v>85000.0</v>
      </c>
      <c r="K48" s="2">
        <v>46054.0</v>
      </c>
      <c r="L48" s="3" t="str">
        <f t="shared" si="1"/>
        <v>SKU-017|Kopi Arabika 250g Pack|Food &amp; Beverage|28|100|17|3|SUP_FB01|2026-02-17|85000|2026-02-01</v>
      </c>
    </row>
    <row r="49">
      <c r="A49" s="1" t="s">
        <v>15</v>
      </c>
      <c r="B49" s="1" t="s">
        <v>16</v>
      </c>
      <c r="C49" s="1" t="s">
        <v>17</v>
      </c>
      <c r="D49" s="1">
        <v>22.0</v>
      </c>
      <c r="E49" s="1">
        <v>15.0</v>
      </c>
      <c r="F49" s="1">
        <v>2.0</v>
      </c>
      <c r="G49" s="1">
        <v>7.0</v>
      </c>
      <c r="H49" s="1" t="s">
        <v>18</v>
      </c>
      <c r="I49" s="2">
        <v>45878.0</v>
      </c>
      <c r="J49" s="1">
        <v>8500000.0</v>
      </c>
      <c r="K49" s="2">
        <v>45870.0</v>
      </c>
      <c r="L49" s="3" t="str">
        <f t="shared" si="1"/>
        <v>SKU-001|Laptop ASUS Vivobook|Electronics|22|15|2|7|SUP_EL01|2025-08-09|8500000|2025-08-01</v>
      </c>
    </row>
    <row r="50">
      <c r="A50" s="1" t="s">
        <v>48</v>
      </c>
      <c r="B50" s="1" t="s">
        <v>49</v>
      </c>
      <c r="C50" s="1" t="s">
        <v>36</v>
      </c>
      <c r="D50" s="1">
        <v>27.0</v>
      </c>
      <c r="E50" s="1">
        <v>120.0</v>
      </c>
      <c r="F50" s="1">
        <v>18.0</v>
      </c>
      <c r="G50" s="1">
        <v>4.0</v>
      </c>
      <c r="H50" s="1" t="s">
        <v>50</v>
      </c>
      <c r="I50" s="2">
        <v>45782.0</v>
      </c>
      <c r="J50" s="1">
        <v>55000.0</v>
      </c>
      <c r="K50" s="2">
        <v>45778.0</v>
      </c>
      <c r="L50" s="3" t="str">
        <f t="shared" si="1"/>
        <v>SKU-020|Snack Granola Mix 500g|Food &amp; Beverage|27|120|18|4|SUP_FB02|2025-05-05|55000|2025-05-01</v>
      </c>
    </row>
    <row r="51">
      <c r="A51" s="1" t="s">
        <v>38</v>
      </c>
      <c r="B51" s="1" t="s">
        <v>39</v>
      </c>
      <c r="C51" s="1" t="s">
        <v>23</v>
      </c>
      <c r="D51" s="1">
        <v>0.0</v>
      </c>
      <c r="E51" s="1">
        <v>45.0</v>
      </c>
      <c r="F51" s="1">
        <v>10.0</v>
      </c>
      <c r="G51" s="1">
        <v>3.0</v>
      </c>
      <c r="H51" s="1" t="s">
        <v>24</v>
      </c>
      <c r="I51" s="2">
        <v>45737.0</v>
      </c>
      <c r="J51" s="1">
        <v>450000.0</v>
      </c>
      <c r="K51" s="2">
        <v>45717.0</v>
      </c>
      <c r="L51" s="3" t="str">
        <f t="shared" si="1"/>
        <v>SKU-006|Dress Casual Wanita|Fashion|0|45|10|3|SUP_FA01|2025-03-21|450000|2025-03-01</v>
      </c>
    </row>
    <row r="52">
      <c r="A52" s="1" t="s">
        <v>46</v>
      </c>
      <c r="B52" s="1" t="s">
        <v>47</v>
      </c>
      <c r="C52" s="1" t="s">
        <v>23</v>
      </c>
      <c r="D52" s="1">
        <v>0.0</v>
      </c>
      <c r="E52" s="1">
        <v>40.0</v>
      </c>
      <c r="F52" s="1">
        <v>8.0</v>
      </c>
      <c r="G52" s="1">
        <v>3.0</v>
      </c>
      <c r="H52" s="1" t="s">
        <v>30</v>
      </c>
      <c r="I52" s="2">
        <v>46018.0</v>
      </c>
      <c r="J52" s="1">
        <v>550000.0</v>
      </c>
      <c r="K52" s="2">
        <v>45992.0</v>
      </c>
      <c r="L52" s="3" t="str">
        <f t="shared" si="1"/>
        <v>SKU-008|Tas Ransel Eiger|Fashion|0|40|8|3|SUP_FA02|2025-12-27|550000|2025-12-01</v>
      </c>
    </row>
    <row r="53">
      <c r="A53" s="1" t="s">
        <v>55</v>
      </c>
      <c r="B53" s="1" t="s">
        <v>56</v>
      </c>
      <c r="C53" s="1" t="s">
        <v>36</v>
      </c>
      <c r="D53" s="1">
        <v>35.0</v>
      </c>
      <c r="E53" s="1">
        <v>100.0</v>
      </c>
      <c r="F53" s="1">
        <v>14.0</v>
      </c>
      <c r="G53" s="1">
        <v>3.0</v>
      </c>
      <c r="H53" s="1" t="s">
        <v>37</v>
      </c>
      <c r="I53" s="2">
        <v>45685.0</v>
      </c>
      <c r="J53" s="1">
        <v>85000.0</v>
      </c>
      <c r="K53" s="2">
        <v>45658.0</v>
      </c>
      <c r="L53" s="3" t="str">
        <f t="shared" si="1"/>
        <v>SKU-017|Kopi Arabika 250g Pack|Food &amp; Beverage|35|100|14|3|SUP_FB01|2025-01-28|85000|2025-01-01</v>
      </c>
    </row>
    <row r="54">
      <c r="A54" s="1" t="s">
        <v>28</v>
      </c>
      <c r="B54" s="1" t="s">
        <v>29</v>
      </c>
      <c r="C54" s="1" t="s">
        <v>23</v>
      </c>
      <c r="D54" s="1">
        <v>0.0</v>
      </c>
      <c r="E54" s="1">
        <v>35.0</v>
      </c>
      <c r="F54" s="1">
        <v>9.0</v>
      </c>
      <c r="G54" s="1">
        <v>5.0</v>
      </c>
      <c r="H54" s="1" t="s">
        <v>30</v>
      </c>
      <c r="I54" s="2">
        <v>46095.0</v>
      </c>
      <c r="J54" s="1">
        <v>1250000.0</v>
      </c>
      <c r="K54" s="2">
        <v>46082.0</v>
      </c>
      <c r="L54" s="3" t="str">
        <f t="shared" si="1"/>
        <v>SKU-007|Sepatu Sneakers Nike|Fashion|0|35|9|5|SUP_FA02|2026-03-14|1250000|2026-03-01</v>
      </c>
    </row>
    <row r="55">
      <c r="A55" s="1" t="s">
        <v>38</v>
      </c>
      <c r="B55" s="1" t="s">
        <v>39</v>
      </c>
      <c r="C55" s="1" t="s">
        <v>23</v>
      </c>
      <c r="D55" s="1">
        <v>40.0</v>
      </c>
      <c r="E55" s="1">
        <v>45.0</v>
      </c>
      <c r="F55" s="1">
        <v>5.0</v>
      </c>
      <c r="G55" s="1">
        <v>3.0</v>
      </c>
      <c r="H55" s="1" t="s">
        <v>24</v>
      </c>
      <c r="I55" s="2">
        <v>45959.0</v>
      </c>
      <c r="J55" s="1">
        <v>450000.0</v>
      </c>
      <c r="K55" s="2">
        <v>45931.0</v>
      </c>
      <c r="L55" s="3" t="str">
        <f t="shared" si="1"/>
        <v>SKU-006|Dress Casual Wanita|Fashion|40|45|5|3|SUP_FA01|2025-10-29|450000|2025-10-01</v>
      </c>
    </row>
    <row r="56">
      <c r="A56" s="1" t="s">
        <v>64</v>
      </c>
      <c r="B56" s="1" t="s">
        <v>65</v>
      </c>
      <c r="C56" s="1" t="s">
        <v>42</v>
      </c>
      <c r="D56" s="1">
        <v>29.0</v>
      </c>
      <c r="E56" s="1">
        <v>20.0</v>
      </c>
      <c r="F56" s="1">
        <v>4.0</v>
      </c>
      <c r="G56" s="1">
        <v>10.0</v>
      </c>
      <c r="H56" s="1" t="s">
        <v>59</v>
      </c>
      <c r="I56" s="2">
        <v>45826.0</v>
      </c>
      <c r="J56" s="1">
        <v>750000.0</v>
      </c>
      <c r="K56" s="2">
        <v>45809.0</v>
      </c>
      <c r="L56" s="3" t="str">
        <f t="shared" si="1"/>
        <v>SKU-009|Blender Philips HR2157|Home &amp; Living|29|20|4|10|SUP_HM01|2025-06-18|750000|2025-06-01</v>
      </c>
    </row>
    <row r="57">
      <c r="A57" s="1" t="s">
        <v>40</v>
      </c>
      <c r="B57" s="1" t="s">
        <v>41</v>
      </c>
      <c r="C57" s="1" t="s">
        <v>42</v>
      </c>
      <c r="D57" s="1">
        <v>30.0</v>
      </c>
      <c r="E57" s="1">
        <v>15.0</v>
      </c>
      <c r="F57" s="1">
        <v>2.0</v>
      </c>
      <c r="G57" s="1">
        <v>9.0</v>
      </c>
      <c r="H57" s="1" t="s">
        <v>43</v>
      </c>
      <c r="I57" s="2">
        <v>45892.0</v>
      </c>
      <c r="J57" s="1">
        <v>1200000.0</v>
      </c>
      <c r="K57" s="2">
        <v>45870.0</v>
      </c>
      <c r="L57" s="3" t="str">
        <f t="shared" si="1"/>
        <v>SKU-011|Vacuum Cleaner Deerma|Home &amp; Living|30|15|2|9|SUP_HM02|2025-08-23|1200000|2025-08-01</v>
      </c>
    </row>
    <row r="58">
      <c r="A58" s="1" t="s">
        <v>31</v>
      </c>
      <c r="B58" s="1" t="s">
        <v>32</v>
      </c>
      <c r="C58" s="1" t="s">
        <v>13</v>
      </c>
      <c r="D58" s="1">
        <v>91.0</v>
      </c>
      <c r="E58" s="1">
        <v>40.0</v>
      </c>
      <c r="F58" s="1">
        <v>3.0</v>
      </c>
      <c r="G58" s="1">
        <v>5.0</v>
      </c>
      <c r="H58" s="1" t="s">
        <v>33</v>
      </c>
      <c r="I58" s="2">
        <v>45724.0</v>
      </c>
      <c r="J58" s="1">
        <v>550000.0</v>
      </c>
      <c r="K58" s="2">
        <v>45717.0</v>
      </c>
      <c r="L58" s="3" t="str">
        <f t="shared" si="1"/>
        <v>SKU-013|Skincare Set Whitelab|Beauty|91|40|3|5|SUP_BT01|2025-03-08|550000|2025-03-01</v>
      </c>
    </row>
    <row r="59">
      <c r="A59" s="1" t="s">
        <v>53</v>
      </c>
      <c r="B59" s="1" t="s">
        <v>54</v>
      </c>
      <c r="C59" s="1" t="s">
        <v>13</v>
      </c>
      <c r="D59" s="1">
        <v>299.0</v>
      </c>
      <c r="E59" s="1">
        <v>60.0</v>
      </c>
      <c r="F59" s="1">
        <v>1.0</v>
      </c>
      <c r="G59" s="1">
        <v>7.0</v>
      </c>
      <c r="H59" s="1" t="s">
        <v>14</v>
      </c>
      <c r="I59" s="2">
        <v>45756.0</v>
      </c>
      <c r="J59" s="1">
        <v>165000.0</v>
      </c>
      <c r="K59" s="2">
        <v>45748.0</v>
      </c>
      <c r="L59" s="3" t="str">
        <f t="shared" si="1"/>
        <v>SKU-015|Foundation Maybelline Fit|Beauty|299|60|1|7|SUP_BT02|2025-04-09|165000|2025-04-01</v>
      </c>
    </row>
    <row r="60">
      <c r="A60" s="1" t="s">
        <v>62</v>
      </c>
      <c r="B60" s="1" t="s">
        <v>63</v>
      </c>
      <c r="C60" s="1" t="s">
        <v>13</v>
      </c>
      <c r="D60" s="1">
        <v>392.0</v>
      </c>
      <c r="E60" s="1">
        <v>80.0</v>
      </c>
      <c r="F60" s="1">
        <v>5.0</v>
      </c>
      <c r="G60" s="1">
        <v>4.0</v>
      </c>
      <c r="H60" s="1" t="s">
        <v>33</v>
      </c>
      <c r="I60" s="2">
        <v>45701.0</v>
      </c>
      <c r="J60" s="1">
        <v>85000.0</v>
      </c>
      <c r="K60" s="2">
        <v>45689.0</v>
      </c>
      <c r="L60" s="3" t="str">
        <f t="shared" si="1"/>
        <v>SKU-014|Lipstik Matte Wardah|Beauty|392|80|5|4|SUP_BT01|2025-02-13|85000|2025-02-01</v>
      </c>
    </row>
    <row r="61">
      <c r="A61" s="1" t="s">
        <v>53</v>
      </c>
      <c r="B61" s="1" t="s">
        <v>54</v>
      </c>
      <c r="C61" s="1" t="s">
        <v>13</v>
      </c>
      <c r="D61" s="1">
        <v>198.0</v>
      </c>
      <c r="E61" s="1">
        <v>60.0</v>
      </c>
      <c r="F61" s="1">
        <v>3.0</v>
      </c>
      <c r="G61" s="1">
        <v>8.0</v>
      </c>
      <c r="H61" s="1" t="s">
        <v>14</v>
      </c>
      <c r="I61" s="2">
        <v>45712.0</v>
      </c>
      <c r="J61" s="1">
        <v>165000.0</v>
      </c>
      <c r="K61" s="2">
        <v>45689.0</v>
      </c>
      <c r="L61" s="3" t="str">
        <f t="shared" si="1"/>
        <v>SKU-015|Foundation Maybelline Fit|Beauty|198|60|3|8|SUP_BT02|2025-02-24|165000|2025-02-01</v>
      </c>
    </row>
    <row r="62">
      <c r="A62" s="1" t="s">
        <v>11</v>
      </c>
      <c r="B62" s="1" t="s">
        <v>12</v>
      </c>
      <c r="C62" s="1" t="s">
        <v>13</v>
      </c>
      <c r="D62" s="1">
        <v>238.0</v>
      </c>
      <c r="E62" s="1">
        <v>50.0</v>
      </c>
      <c r="F62" s="1">
        <v>2.0</v>
      </c>
      <c r="G62" s="1">
        <v>7.0</v>
      </c>
      <c r="H62" s="1" t="s">
        <v>14</v>
      </c>
      <c r="I62" s="2">
        <v>45671.0</v>
      </c>
      <c r="J62" s="1">
        <v>125000.0</v>
      </c>
      <c r="K62" s="2">
        <v>45658.0</v>
      </c>
      <c r="L62" s="3" t="str">
        <f t="shared" si="1"/>
        <v>SKU-016|Parfum EDT Brasov 100ml|Beauty|238|50|2|7|SUP_BT02|2025-01-14|125000|2025-01-01</v>
      </c>
    </row>
    <row r="63">
      <c r="A63" s="1" t="s">
        <v>46</v>
      </c>
      <c r="B63" s="1" t="s">
        <v>47</v>
      </c>
      <c r="C63" s="1" t="s">
        <v>23</v>
      </c>
      <c r="D63" s="1">
        <v>44.0</v>
      </c>
      <c r="E63" s="1">
        <v>40.0</v>
      </c>
      <c r="F63" s="1">
        <v>5.0</v>
      </c>
      <c r="G63" s="1">
        <v>6.0</v>
      </c>
      <c r="H63" s="1" t="s">
        <v>30</v>
      </c>
      <c r="I63" s="2">
        <v>45799.0</v>
      </c>
      <c r="J63" s="1">
        <v>550000.0</v>
      </c>
      <c r="K63" s="2">
        <v>45778.0</v>
      </c>
      <c r="L63" s="3" t="str">
        <f t="shared" si="1"/>
        <v>SKU-008|Tas Ransel Eiger|Fashion|44|40|5|6|SUP_FA02|2025-05-22|550000|2025-05-01</v>
      </c>
    </row>
    <row r="64">
      <c r="A64" s="1" t="s">
        <v>46</v>
      </c>
      <c r="B64" s="1" t="s">
        <v>47</v>
      </c>
      <c r="C64" s="1" t="s">
        <v>23</v>
      </c>
      <c r="D64" s="1">
        <v>28.0</v>
      </c>
      <c r="E64" s="1">
        <v>40.0</v>
      </c>
      <c r="F64" s="1">
        <v>3.0</v>
      </c>
      <c r="G64" s="1">
        <v>6.0</v>
      </c>
      <c r="H64" s="1" t="s">
        <v>30</v>
      </c>
      <c r="I64" s="2">
        <v>45956.0</v>
      </c>
      <c r="J64" s="1">
        <v>550000.0</v>
      </c>
      <c r="K64" s="2">
        <v>45931.0</v>
      </c>
      <c r="L64" s="3" t="str">
        <f t="shared" si="1"/>
        <v>SKU-008|Tas Ransel Eiger|Fashion|28|40|3|6|SUP_FA02|2025-10-26|550000|2025-10-01</v>
      </c>
    </row>
    <row r="65">
      <c r="A65" s="1" t="s">
        <v>46</v>
      </c>
      <c r="B65" s="1" t="s">
        <v>47</v>
      </c>
      <c r="C65" s="1" t="s">
        <v>23</v>
      </c>
      <c r="D65" s="1">
        <v>29.0</v>
      </c>
      <c r="E65" s="1">
        <v>40.0</v>
      </c>
      <c r="F65" s="1">
        <v>4.0</v>
      </c>
      <c r="G65" s="1">
        <v>9.0</v>
      </c>
      <c r="H65" s="1" t="s">
        <v>30</v>
      </c>
      <c r="I65" s="2">
        <v>45839.0</v>
      </c>
      <c r="J65" s="1">
        <v>550000.0</v>
      </c>
      <c r="K65" s="2">
        <v>45839.0</v>
      </c>
      <c r="L65" s="3" t="str">
        <f t="shared" si="1"/>
        <v>SKU-008|Tas Ransel Eiger|Fashion|29|40|4|9|SUP_FA02|2025-07-01|550000|2025-07-01</v>
      </c>
    </row>
    <row r="66">
      <c r="A66" s="1" t="s">
        <v>62</v>
      </c>
      <c r="B66" s="1" t="s">
        <v>63</v>
      </c>
      <c r="C66" s="1" t="s">
        <v>13</v>
      </c>
      <c r="D66" s="1">
        <v>468.0</v>
      </c>
      <c r="E66" s="1">
        <v>80.0</v>
      </c>
      <c r="F66" s="1">
        <v>5.0</v>
      </c>
      <c r="G66" s="1">
        <v>6.0</v>
      </c>
      <c r="H66" s="1" t="s">
        <v>33</v>
      </c>
      <c r="I66" s="2">
        <v>46079.0</v>
      </c>
      <c r="J66" s="1">
        <v>85000.0</v>
      </c>
      <c r="K66" s="2">
        <v>46054.0</v>
      </c>
      <c r="L66" s="3" t="str">
        <f t="shared" si="1"/>
        <v>SKU-014|Lipstik Matte Wardah|Beauty|468|80|5|6|SUP_BT01|2026-02-26|85000|2026-02-01</v>
      </c>
    </row>
    <row r="67">
      <c r="A67" s="1" t="s">
        <v>57</v>
      </c>
      <c r="B67" s="1" t="s">
        <v>58</v>
      </c>
      <c r="C67" s="1" t="s">
        <v>42</v>
      </c>
      <c r="D67" s="1">
        <v>16.0</v>
      </c>
      <c r="E67" s="1">
        <v>25.0</v>
      </c>
      <c r="F67" s="1">
        <v>3.0</v>
      </c>
      <c r="G67" s="1">
        <v>6.0</v>
      </c>
      <c r="H67" s="1" t="s">
        <v>59</v>
      </c>
      <c r="I67" s="2">
        <v>45982.0</v>
      </c>
      <c r="J67" s="1">
        <v>450000.0</v>
      </c>
      <c r="K67" s="2">
        <v>45962.0</v>
      </c>
      <c r="L67" s="3" t="str">
        <f t="shared" si="1"/>
        <v>SKU-010|Rice Cooker Miyako 1.8L|Home &amp; Living|16|25|3|6|SUP_HM01|2025-11-21|450000|2025-11-01</v>
      </c>
    </row>
    <row r="68">
      <c r="A68" s="1" t="s">
        <v>62</v>
      </c>
      <c r="B68" s="1" t="s">
        <v>63</v>
      </c>
      <c r="C68" s="1" t="s">
        <v>13</v>
      </c>
      <c r="D68" s="1">
        <v>320.0</v>
      </c>
      <c r="E68" s="1">
        <v>80.0</v>
      </c>
      <c r="F68" s="1">
        <v>5.0</v>
      </c>
      <c r="G68" s="1">
        <v>4.0</v>
      </c>
      <c r="H68" s="1" t="s">
        <v>33</v>
      </c>
      <c r="I68" s="2">
        <v>45909.0</v>
      </c>
      <c r="J68" s="1">
        <v>85000.0</v>
      </c>
      <c r="K68" s="2">
        <v>45901.0</v>
      </c>
      <c r="L68" s="3" t="str">
        <f t="shared" si="1"/>
        <v>SKU-014|Lipstik Matte Wardah|Beauty|320|80|5|4|SUP_BT01|2025-09-09|85000|2025-09-01</v>
      </c>
    </row>
    <row r="69">
      <c r="A69" s="1" t="s">
        <v>38</v>
      </c>
      <c r="B69" s="1" t="s">
        <v>39</v>
      </c>
      <c r="C69" s="1" t="s">
        <v>23</v>
      </c>
      <c r="D69" s="1">
        <v>0.0</v>
      </c>
      <c r="E69" s="1">
        <v>45.0</v>
      </c>
      <c r="F69" s="1">
        <v>10.0</v>
      </c>
      <c r="G69" s="1">
        <v>4.0</v>
      </c>
      <c r="H69" s="1" t="s">
        <v>24</v>
      </c>
      <c r="I69" s="2">
        <v>45768.0</v>
      </c>
      <c r="J69" s="1">
        <v>450000.0</v>
      </c>
      <c r="K69" s="2">
        <v>45748.0</v>
      </c>
      <c r="L69" s="3" t="str">
        <f t="shared" si="1"/>
        <v>SKU-006|Dress Casual Wanita|Fashion|0|45|10|4|SUP_FA01|2025-04-21|450000|2025-04-01</v>
      </c>
    </row>
    <row r="70">
      <c r="A70" s="1" t="s">
        <v>55</v>
      </c>
      <c r="B70" s="1" t="s">
        <v>56</v>
      </c>
      <c r="C70" s="1" t="s">
        <v>36</v>
      </c>
      <c r="D70" s="1">
        <v>29.0</v>
      </c>
      <c r="E70" s="1">
        <v>100.0</v>
      </c>
      <c r="F70" s="1">
        <v>16.0</v>
      </c>
      <c r="G70" s="1">
        <v>5.0</v>
      </c>
      <c r="H70" s="1" t="s">
        <v>37</v>
      </c>
      <c r="I70" s="2">
        <v>45813.0</v>
      </c>
      <c r="J70" s="1">
        <v>85000.0</v>
      </c>
      <c r="K70" s="2">
        <v>45809.0</v>
      </c>
      <c r="L70" s="3" t="str">
        <f t="shared" si="1"/>
        <v>SKU-017|Kopi Arabika 250g Pack|Food &amp; Beverage|29|100|16|5|SUP_FB01|2025-06-05|85000|2025-06-01</v>
      </c>
    </row>
    <row r="71">
      <c r="A71" s="1" t="s">
        <v>19</v>
      </c>
      <c r="B71" s="1" t="s">
        <v>20</v>
      </c>
      <c r="C71" s="1" t="s">
        <v>17</v>
      </c>
      <c r="D71" s="1">
        <v>34.0</v>
      </c>
      <c r="E71" s="1">
        <v>30.0</v>
      </c>
      <c r="F71" s="1">
        <v>4.0</v>
      </c>
      <c r="G71" s="1">
        <v>5.0</v>
      </c>
      <c r="H71" s="1" t="s">
        <v>18</v>
      </c>
      <c r="I71" s="2">
        <v>46083.0</v>
      </c>
      <c r="J71" s="1">
        <v>1200000.0</v>
      </c>
      <c r="K71" s="2">
        <v>46082.0</v>
      </c>
      <c r="L71" s="3" t="str">
        <f t="shared" si="1"/>
        <v>SKU-004|Smartwatch Xiaomi Band|Electronics|34|30|4|5|SUP_EL01|2026-03-02|1200000|2026-03-01</v>
      </c>
    </row>
    <row r="72">
      <c r="A72" s="1" t="s">
        <v>55</v>
      </c>
      <c r="B72" s="1" t="s">
        <v>56</v>
      </c>
      <c r="C72" s="1" t="s">
        <v>36</v>
      </c>
      <c r="D72" s="1">
        <v>60.0</v>
      </c>
      <c r="E72" s="1">
        <v>100.0</v>
      </c>
      <c r="F72" s="1">
        <v>12.0</v>
      </c>
      <c r="G72" s="1">
        <v>4.0</v>
      </c>
      <c r="H72" s="1" t="s">
        <v>37</v>
      </c>
      <c r="I72" s="2">
        <v>45928.0</v>
      </c>
      <c r="J72" s="1">
        <v>85000.0</v>
      </c>
      <c r="K72" s="2">
        <v>45901.0</v>
      </c>
      <c r="L72" s="3" t="str">
        <f t="shared" si="1"/>
        <v>SKU-017|Kopi Arabika 250g Pack|Food &amp; Beverage|60|100|12|4|SUP_FB01|2025-09-28|85000|2025-09-01</v>
      </c>
    </row>
    <row r="73">
      <c r="A73" s="1" t="s">
        <v>15</v>
      </c>
      <c r="B73" s="1" t="s">
        <v>16</v>
      </c>
      <c r="C73" s="1" t="s">
        <v>17</v>
      </c>
      <c r="D73" s="1">
        <v>1.0</v>
      </c>
      <c r="E73" s="1">
        <v>15.0</v>
      </c>
      <c r="F73" s="1">
        <v>2.0</v>
      </c>
      <c r="G73" s="1">
        <v>6.0</v>
      </c>
      <c r="H73" s="1" t="s">
        <v>18</v>
      </c>
      <c r="I73" s="2">
        <v>45861.0</v>
      </c>
      <c r="J73" s="1">
        <v>8500000.0</v>
      </c>
      <c r="K73" s="2">
        <v>45839.0</v>
      </c>
      <c r="L73" s="3" t="str">
        <f t="shared" si="1"/>
        <v>SKU-001|Laptop ASUS Vivobook|Electronics|1|15|2|6|SUP_EL01|2025-07-23|8500000|2025-07-01</v>
      </c>
    </row>
    <row r="74">
      <c r="A74" s="1" t="s">
        <v>31</v>
      </c>
      <c r="B74" s="1" t="s">
        <v>32</v>
      </c>
      <c r="C74" s="1" t="s">
        <v>13</v>
      </c>
      <c r="D74" s="1">
        <v>177.0</v>
      </c>
      <c r="E74" s="1">
        <v>40.0</v>
      </c>
      <c r="F74" s="1">
        <v>2.0</v>
      </c>
      <c r="G74" s="1">
        <v>4.0</v>
      </c>
      <c r="H74" s="1" t="s">
        <v>33</v>
      </c>
      <c r="I74" s="2">
        <v>45757.0</v>
      </c>
      <c r="J74" s="1">
        <v>550000.0</v>
      </c>
      <c r="K74" s="2">
        <v>45748.0</v>
      </c>
      <c r="L74" s="3" t="str">
        <f t="shared" si="1"/>
        <v>SKU-013|Skincare Set Whitelab|Beauty|177|40|2|4|SUP_BT01|2025-04-10|550000|2025-04-01</v>
      </c>
    </row>
    <row r="75">
      <c r="A75" s="1" t="s">
        <v>60</v>
      </c>
      <c r="B75" s="1" t="s">
        <v>61</v>
      </c>
      <c r="C75" s="1" t="s">
        <v>17</v>
      </c>
      <c r="D75" s="1">
        <v>28.0</v>
      </c>
      <c r="E75" s="1">
        <v>20.0</v>
      </c>
      <c r="F75" s="1">
        <v>1.0</v>
      </c>
      <c r="G75" s="1">
        <v>11.0</v>
      </c>
      <c r="H75" s="1" t="s">
        <v>27</v>
      </c>
      <c r="I75" s="2">
        <v>45669.0</v>
      </c>
      <c r="J75" s="1">
        <v>3200000.0</v>
      </c>
      <c r="K75" s="2">
        <v>45658.0</v>
      </c>
      <c r="L75" s="3" t="str">
        <f t="shared" si="1"/>
        <v>SKU-003|Headphone Sony WH-1000|Electronics|28|20|1|11|SUP_EL02|2025-01-12|3200000|2025-01-01</v>
      </c>
    </row>
    <row r="76">
      <c r="A76" s="1" t="s">
        <v>25</v>
      </c>
      <c r="B76" s="1" t="s">
        <v>26</v>
      </c>
      <c r="C76" s="1" t="s">
        <v>17</v>
      </c>
      <c r="D76" s="1">
        <v>42.0</v>
      </c>
      <c r="E76" s="1">
        <v>25.0</v>
      </c>
      <c r="F76" s="1">
        <v>4.0</v>
      </c>
      <c r="G76" s="1">
        <v>19.0</v>
      </c>
      <c r="H76" s="1" t="s">
        <v>27</v>
      </c>
      <c r="I76" s="2">
        <v>45881.0</v>
      </c>
      <c r="J76" s="1">
        <v>4500000.0</v>
      </c>
      <c r="K76" s="2">
        <v>45870.0</v>
      </c>
      <c r="L76" s="3" t="str">
        <f t="shared" si="1"/>
        <v>SKU-002|Smartphone Samsung A54|Electronics|42|25|4|19|SUP_EL02|2025-08-12|4500000|2025-08-01</v>
      </c>
    </row>
    <row r="77">
      <c r="A77" s="1" t="s">
        <v>51</v>
      </c>
      <c r="B77" s="1" t="s">
        <v>52</v>
      </c>
      <c r="C77" s="1" t="s">
        <v>36</v>
      </c>
      <c r="D77" s="1">
        <v>18.0</v>
      </c>
      <c r="E77" s="1">
        <v>60.0</v>
      </c>
      <c r="F77" s="1">
        <v>8.0</v>
      </c>
      <c r="G77" s="1">
        <v>5.0</v>
      </c>
      <c r="H77" s="1" t="s">
        <v>50</v>
      </c>
      <c r="I77" s="2">
        <v>45712.0</v>
      </c>
      <c r="K77" s="2">
        <v>45689.0</v>
      </c>
      <c r="L77" s="3" t="str">
        <f t="shared" si="1"/>
        <v>SKU-019|Madu Hutan Asli 500ml|Food &amp; Beverage|18|60|8|5|SUP_FB02|2025-02-24||2025-02-01</v>
      </c>
    </row>
    <row r="78">
      <c r="A78" s="1" t="s">
        <v>19</v>
      </c>
      <c r="B78" s="1" t="s">
        <v>20</v>
      </c>
      <c r="C78" s="1" t="s">
        <v>17</v>
      </c>
      <c r="D78" s="1">
        <v>17.0</v>
      </c>
      <c r="E78" s="1">
        <v>30.0</v>
      </c>
      <c r="F78" s="1">
        <v>6.0</v>
      </c>
      <c r="G78" s="1">
        <v>8.0</v>
      </c>
      <c r="H78" s="1" t="s">
        <v>18</v>
      </c>
      <c r="I78" s="2">
        <v>45996.0</v>
      </c>
      <c r="J78" s="1">
        <v>1200000.0</v>
      </c>
      <c r="K78" s="2">
        <v>45992.0</v>
      </c>
      <c r="L78" s="3" t="str">
        <f t="shared" si="1"/>
        <v>SKU-004|Smartwatch Xiaomi Band|Electronics|17|30|6|8|SUP_EL01|2025-12-05|1200000|2025-12-01</v>
      </c>
    </row>
    <row r="79">
      <c r="A79" s="1" t="s">
        <v>11</v>
      </c>
      <c r="B79" s="1" t="s">
        <v>12</v>
      </c>
      <c r="C79" s="1" t="s">
        <v>13</v>
      </c>
      <c r="D79" s="1">
        <v>238.0</v>
      </c>
      <c r="E79" s="1">
        <v>50.0</v>
      </c>
      <c r="F79" s="1">
        <v>2.0</v>
      </c>
      <c r="G79" s="1">
        <v>7.0</v>
      </c>
      <c r="H79" s="1" t="s">
        <v>14</v>
      </c>
      <c r="I79" s="2">
        <v>45671.0</v>
      </c>
      <c r="J79" s="1">
        <v>125000.0</v>
      </c>
      <c r="K79" s="2">
        <v>45658.0</v>
      </c>
      <c r="L79" s="3" t="str">
        <f t="shared" si="1"/>
        <v>SKU-016|Parfum EDT Brasov 100ml|Beauty|238|50|2|7|SUP_BT02|2025-01-14|125000|2025-01-01</v>
      </c>
    </row>
    <row r="80">
      <c r="A80" s="1" t="s">
        <v>46</v>
      </c>
      <c r="B80" s="1" t="s">
        <v>47</v>
      </c>
      <c r="C80" s="1" t="s">
        <v>23</v>
      </c>
      <c r="D80" s="1">
        <v>0.0</v>
      </c>
      <c r="E80" s="1">
        <v>40.0</v>
      </c>
      <c r="F80" s="1">
        <v>10.0</v>
      </c>
      <c r="G80" s="1">
        <v>7.0</v>
      </c>
      <c r="H80" s="1" t="s">
        <v>30</v>
      </c>
      <c r="I80" s="2">
        <v>46109.0</v>
      </c>
      <c r="J80" s="1">
        <v>550000.0</v>
      </c>
      <c r="K80" s="2">
        <v>46082.0</v>
      </c>
      <c r="L80" s="3" t="str">
        <f t="shared" si="1"/>
        <v>SKU-008|Tas Ransel Eiger|Fashion|0|40|10|7|SUP_FA02|2026-03-28|550000|2026-03-01</v>
      </c>
    </row>
    <row r="81">
      <c r="A81" s="1" t="s">
        <v>34</v>
      </c>
      <c r="B81" s="1" t="s">
        <v>35</v>
      </c>
      <c r="C81" s="1" t="s">
        <v>36</v>
      </c>
      <c r="E81" s="1">
        <v>80.0</v>
      </c>
      <c r="F81" s="1">
        <v>11.0</v>
      </c>
      <c r="G81" s="1">
        <v>4.0</v>
      </c>
      <c r="H81" s="1" t="s">
        <v>37</v>
      </c>
      <c r="I81" s="2">
        <v>45766.0</v>
      </c>
      <c r="J81" s="1">
        <v>65000.0</v>
      </c>
      <c r="K81" s="2">
        <v>45748.0</v>
      </c>
      <c r="L81" s="3" t="str">
        <f t="shared" si="1"/>
        <v>SKU-018|Teh Organik Premium Box|Food &amp; Beverage||80|11|4|SUP_FB01|2025-04-19|65000|2025-04-01</v>
      </c>
    </row>
    <row r="82">
      <c r="A82" s="1" t="s">
        <v>55</v>
      </c>
      <c r="B82" s="1" t="s">
        <v>56</v>
      </c>
      <c r="C82" s="1" t="s">
        <v>36</v>
      </c>
      <c r="D82" s="1">
        <v>26.0</v>
      </c>
      <c r="E82" s="1">
        <v>100.0</v>
      </c>
      <c r="F82" s="1">
        <v>16.0</v>
      </c>
      <c r="G82" s="1">
        <v>4.0</v>
      </c>
      <c r="H82" s="1" t="s">
        <v>37</v>
      </c>
      <c r="I82" s="2">
        <v>45778.0</v>
      </c>
      <c r="J82" s="1">
        <v>85000.0</v>
      </c>
      <c r="K82" s="2">
        <v>45778.0</v>
      </c>
      <c r="L82" s="3" t="str">
        <f t="shared" si="1"/>
        <v>SKU-017|Kopi Arabika 250g Pack|Food &amp; Beverage|26|100|16|4|SUP_FB01|2025-05-01|85000|2025-05-01</v>
      </c>
    </row>
    <row r="83">
      <c r="A83" s="1" t="s">
        <v>62</v>
      </c>
      <c r="B83" s="1" t="s">
        <v>63</v>
      </c>
      <c r="C83" s="1" t="s">
        <v>13</v>
      </c>
      <c r="D83" s="1">
        <v>301.0</v>
      </c>
      <c r="E83" s="1">
        <v>80.0</v>
      </c>
      <c r="F83" s="1">
        <v>3.0</v>
      </c>
      <c r="G83" s="1">
        <v>4.0</v>
      </c>
      <c r="H83" s="1" t="s">
        <v>33</v>
      </c>
      <c r="I83" s="2">
        <v>45936.0</v>
      </c>
      <c r="J83" s="1">
        <v>85000.0</v>
      </c>
      <c r="K83" s="2">
        <v>45931.0</v>
      </c>
      <c r="L83" s="3" t="str">
        <f t="shared" si="1"/>
        <v>SKU-014|Lipstik Matte Wardah|Beauty|301|80|3|4|SUP_BT01|2025-10-06|85000|2025-10-01</v>
      </c>
    </row>
    <row r="84">
      <c r="A84" s="1" t="s">
        <v>57</v>
      </c>
      <c r="B84" s="1" t="s">
        <v>58</v>
      </c>
      <c r="C84" s="1" t="s">
        <v>42</v>
      </c>
      <c r="D84" s="1">
        <v>19.0</v>
      </c>
      <c r="E84" s="1">
        <v>25.0</v>
      </c>
      <c r="F84" s="1">
        <v>4.0</v>
      </c>
      <c r="G84" s="1">
        <v>10.0</v>
      </c>
      <c r="H84" s="1" t="s">
        <v>59</v>
      </c>
      <c r="I84" s="2">
        <v>45729.0</v>
      </c>
      <c r="J84" s="1">
        <v>450000.0</v>
      </c>
      <c r="K84" s="2">
        <v>45717.0</v>
      </c>
      <c r="L84" s="3" t="str">
        <f t="shared" si="1"/>
        <v>SKU-010|Rice Cooker Miyako 1.8L|Home &amp; Living|19|25|4|10|SUP_HM01|2025-03-13|450000|2025-03-01</v>
      </c>
    </row>
    <row r="85">
      <c r="A85" s="1" t="s">
        <v>44</v>
      </c>
      <c r="B85" s="1" t="s">
        <v>45</v>
      </c>
      <c r="C85" s="1" t="s">
        <v>42</v>
      </c>
      <c r="D85" s="1">
        <v>51.0</v>
      </c>
      <c r="E85" s="1">
        <v>30.0</v>
      </c>
      <c r="F85" s="1">
        <v>6.0</v>
      </c>
      <c r="G85" s="1">
        <v>9.0</v>
      </c>
      <c r="H85" s="1" t="s">
        <v>43</v>
      </c>
      <c r="I85" s="2">
        <v>45752.0</v>
      </c>
      <c r="J85" s="1">
        <v>350000.0</v>
      </c>
      <c r="K85" s="2">
        <v>45748.0</v>
      </c>
      <c r="L85" s="3" t="str">
        <f t="shared" si="1"/>
        <v>SKU-012|Kipas Angin Cosmos 16in|Home &amp; Living|51|30|6|9|SUP_HM02|2025-04-05|350000|2025-04-01</v>
      </c>
    </row>
    <row r="86">
      <c r="A86" s="1" t="s">
        <v>28</v>
      </c>
      <c r="B86" s="1" t="s">
        <v>29</v>
      </c>
      <c r="C86" s="1" t="s">
        <v>23</v>
      </c>
      <c r="D86" s="1">
        <v>17.0</v>
      </c>
      <c r="E86" s="1">
        <v>35.0</v>
      </c>
      <c r="F86" s="1">
        <v>5.0</v>
      </c>
      <c r="G86" s="1">
        <v>5.0</v>
      </c>
      <c r="H86" s="1" t="s">
        <v>30</v>
      </c>
      <c r="I86" s="2">
        <v>45663.0</v>
      </c>
      <c r="J86" s="1">
        <v>1250000.0</v>
      </c>
      <c r="K86" s="2">
        <v>45658.0</v>
      </c>
      <c r="L86" s="3" t="str">
        <f t="shared" si="1"/>
        <v>SKU-007|Sepatu Sneakers Nike|Fashion|17|35|5|5|SUP_FA02|2025-01-06|1250000|2025-01-01</v>
      </c>
    </row>
    <row r="87">
      <c r="A87" s="1" t="s">
        <v>53</v>
      </c>
      <c r="B87" s="1" t="s">
        <v>54</v>
      </c>
      <c r="C87" s="1" t="s">
        <v>13</v>
      </c>
      <c r="D87" s="1">
        <v>223.0</v>
      </c>
      <c r="E87" s="1">
        <v>60.0</v>
      </c>
      <c r="F87" s="1">
        <v>4.0</v>
      </c>
      <c r="G87" s="1">
        <v>8.0</v>
      </c>
      <c r="H87" s="1" t="s">
        <v>14</v>
      </c>
      <c r="I87" s="2">
        <v>46108.0</v>
      </c>
      <c r="J87" s="1">
        <v>165000.0</v>
      </c>
      <c r="K87" s="2">
        <v>46082.0</v>
      </c>
      <c r="L87" s="3" t="str">
        <f t="shared" si="1"/>
        <v>SKU-015|Foundation Maybelline Fit|Beauty|223|60|4|8|SUP_BT02|2026-03-27|165000|2026-03-01</v>
      </c>
    </row>
    <row r="88">
      <c r="A88" s="1" t="s">
        <v>21</v>
      </c>
      <c r="B88" s="1" t="s">
        <v>22</v>
      </c>
      <c r="C88" s="1" t="s">
        <v>23</v>
      </c>
      <c r="D88" s="1">
        <v>34.0</v>
      </c>
      <c r="E88" s="1">
        <v>50.0</v>
      </c>
      <c r="F88" s="1">
        <v>6.0</v>
      </c>
      <c r="G88" s="1">
        <v>6.0</v>
      </c>
      <c r="H88" s="1" t="s">
        <v>24</v>
      </c>
      <c r="I88" s="2">
        <v>45849.0</v>
      </c>
      <c r="J88" s="1">
        <v>350000.0</v>
      </c>
      <c r="K88" s="2">
        <v>45839.0</v>
      </c>
      <c r="L88" s="3" t="str">
        <f t="shared" si="1"/>
        <v>SKU-005|Kemeja Formal Pria|Fashion|34|50|6|6|SUP_FA01|2025-07-11|350000|2025-07-01</v>
      </c>
    </row>
    <row r="89">
      <c r="A89" s="1" t="s">
        <v>46</v>
      </c>
      <c r="B89" s="1" t="s">
        <v>47</v>
      </c>
      <c r="C89" s="1" t="s">
        <v>23</v>
      </c>
      <c r="D89" s="1">
        <v>10.0</v>
      </c>
      <c r="E89" s="1">
        <v>40.0</v>
      </c>
      <c r="F89" s="1">
        <v>4.0</v>
      </c>
      <c r="G89" s="1">
        <v>3.0</v>
      </c>
      <c r="H89" s="1" t="s">
        <v>30</v>
      </c>
      <c r="I89" s="2">
        <v>46055.0</v>
      </c>
      <c r="J89" s="1">
        <v>550000.0</v>
      </c>
      <c r="K89" s="2">
        <v>46054.0</v>
      </c>
      <c r="L89" s="3" t="str">
        <f t="shared" si="1"/>
        <v>SKU-008|Tas Ransel Eiger|Fashion|10|40|4|3|SUP_FA02|2026-02-02|550000|2026-02-01</v>
      </c>
    </row>
    <row r="90">
      <c r="A90" s="1" t="s">
        <v>62</v>
      </c>
      <c r="B90" s="1" t="s">
        <v>63</v>
      </c>
      <c r="C90" s="1" t="s">
        <v>13</v>
      </c>
      <c r="D90" s="1">
        <v>436.0</v>
      </c>
      <c r="E90" s="1">
        <v>80.0</v>
      </c>
      <c r="F90" s="1">
        <v>4.0</v>
      </c>
      <c r="G90" s="1">
        <v>4.0</v>
      </c>
      <c r="H90" s="1" t="s">
        <v>33</v>
      </c>
      <c r="I90" s="2">
        <v>45755.0</v>
      </c>
      <c r="J90" s="1">
        <v>85000.0</v>
      </c>
      <c r="K90" s="2">
        <v>45748.0</v>
      </c>
      <c r="L90" s="3" t="str">
        <f t="shared" si="1"/>
        <v>SKU-014|Lipstik Matte Wardah|Beauty|436|80|4|4|SUP_BT01|2025-04-08|85000|2025-04-01</v>
      </c>
    </row>
    <row r="91">
      <c r="A91" s="1" t="s">
        <v>25</v>
      </c>
      <c r="B91" s="1" t="s">
        <v>26</v>
      </c>
      <c r="C91" s="1" t="s">
        <v>17</v>
      </c>
      <c r="D91" s="1">
        <v>0.0</v>
      </c>
      <c r="E91" s="1">
        <v>25.0</v>
      </c>
      <c r="F91" s="1">
        <v>8.0</v>
      </c>
      <c r="G91" s="1">
        <v>10.0</v>
      </c>
      <c r="H91" s="1" t="s">
        <v>27</v>
      </c>
      <c r="I91" s="2">
        <v>46013.0</v>
      </c>
      <c r="J91" s="1">
        <v>4500000.0</v>
      </c>
      <c r="K91" s="2">
        <v>45992.0</v>
      </c>
      <c r="L91" s="3" t="str">
        <f t="shared" si="1"/>
        <v>SKU-002|Smartphone Samsung A54|Electronics|0|25|8|10|SUP_EL02|2025-12-22|4500000|2025-12-01</v>
      </c>
    </row>
    <row r="92">
      <c r="A92" s="1" t="s">
        <v>25</v>
      </c>
      <c r="B92" s="1" t="s">
        <v>26</v>
      </c>
      <c r="C92" s="1" t="s">
        <v>17</v>
      </c>
      <c r="D92" s="1">
        <v>20.0</v>
      </c>
      <c r="E92" s="1">
        <v>25.0</v>
      </c>
      <c r="F92" s="1">
        <v>4.0</v>
      </c>
      <c r="G92" s="1">
        <v>19.0</v>
      </c>
      <c r="H92" s="1" t="s">
        <v>27</v>
      </c>
      <c r="I92" s="2">
        <v>45786.0</v>
      </c>
      <c r="J92" s="1">
        <v>4500000.0</v>
      </c>
      <c r="K92" s="2">
        <v>45778.0</v>
      </c>
      <c r="L92" s="3" t="str">
        <f t="shared" si="1"/>
        <v>SKU-002|Smartphone Samsung A54|Electronics|20|25|4|19|SUP_EL02|2025-05-09|4500000|2025-05-01</v>
      </c>
    </row>
    <row r="93">
      <c r="A93" s="1" t="s">
        <v>57</v>
      </c>
      <c r="B93" s="1" t="s">
        <v>58</v>
      </c>
      <c r="C93" s="1" t="s">
        <v>42</v>
      </c>
      <c r="D93" s="1">
        <v>42.0</v>
      </c>
      <c r="E93" s="1">
        <v>25.0</v>
      </c>
      <c r="F93" s="1">
        <v>4.0</v>
      </c>
      <c r="G93" s="1">
        <v>8.0</v>
      </c>
      <c r="H93" s="1" t="s">
        <v>59</v>
      </c>
      <c r="I93" s="2">
        <v>46029.0</v>
      </c>
      <c r="J93" s="1">
        <v>450000.0</v>
      </c>
      <c r="K93" s="2">
        <v>46023.0</v>
      </c>
      <c r="L93" s="3" t="str">
        <f t="shared" si="1"/>
        <v>SKU-010|Rice Cooker Miyako 1.8L|Home &amp; Living|42|25|4|8|SUP_HM01|2026-01-07|450000|2026-01-01</v>
      </c>
    </row>
    <row r="94">
      <c r="A94" s="1" t="s">
        <v>28</v>
      </c>
      <c r="B94" s="1" t="s">
        <v>29</v>
      </c>
      <c r="C94" s="1" t="s">
        <v>23</v>
      </c>
      <c r="D94" s="1">
        <v>0.0</v>
      </c>
      <c r="E94" s="1">
        <v>35.0</v>
      </c>
      <c r="F94" s="1">
        <v>12.0</v>
      </c>
      <c r="G94" s="1">
        <v>9.0</v>
      </c>
      <c r="H94" s="1" t="s">
        <v>30</v>
      </c>
      <c r="I94" s="2">
        <v>45746.0</v>
      </c>
      <c r="J94" s="1">
        <v>1250000.0</v>
      </c>
      <c r="K94" s="2">
        <v>45717.0</v>
      </c>
      <c r="L94" s="3" t="str">
        <f t="shared" si="1"/>
        <v>SKU-007|Sepatu Sneakers Nike|Fashion|0|35|12|9|SUP_FA02|2025-03-30|1250000|2025-03-01</v>
      </c>
    </row>
    <row r="95">
      <c r="A95" s="1" t="s">
        <v>38</v>
      </c>
      <c r="B95" s="1" t="s">
        <v>39</v>
      </c>
      <c r="C95" s="1" t="s">
        <v>23</v>
      </c>
      <c r="D95" s="1">
        <v>34.0</v>
      </c>
      <c r="E95" s="1">
        <v>45.0</v>
      </c>
      <c r="F95" s="1">
        <v>5.0</v>
      </c>
      <c r="G95" s="1">
        <v>4.0</v>
      </c>
      <c r="H95" s="1" t="s">
        <v>24</v>
      </c>
      <c r="I95" s="2">
        <v>45801.0</v>
      </c>
      <c r="J95" s="1">
        <v>450000.0</v>
      </c>
      <c r="K95" s="2">
        <v>45778.0</v>
      </c>
      <c r="L95" s="3" t="str">
        <f t="shared" si="1"/>
        <v>SKU-006|Dress Casual Wanita|Fashion|34|45|5|4|SUP_FA01|2025-05-24|450000|2025-05-01</v>
      </c>
    </row>
    <row r="96">
      <c r="A96" s="1" t="s">
        <v>28</v>
      </c>
      <c r="B96" s="1" t="s">
        <v>29</v>
      </c>
      <c r="C96" s="1" t="s">
        <v>23</v>
      </c>
      <c r="D96" s="1">
        <v>0.0</v>
      </c>
      <c r="E96" s="1">
        <v>35.0</v>
      </c>
      <c r="F96" s="1">
        <v>10.0</v>
      </c>
      <c r="G96" s="1">
        <v>7.0</v>
      </c>
      <c r="H96" s="1" t="s">
        <v>30</v>
      </c>
      <c r="I96" s="2">
        <v>46008.0</v>
      </c>
      <c r="J96" s="1">
        <v>1250000.0</v>
      </c>
      <c r="K96" s="2">
        <v>45992.0</v>
      </c>
      <c r="L96" s="3" t="str">
        <f t="shared" si="1"/>
        <v>SKU-007|Sepatu Sneakers Nike|Fashion|0|35|10|7|SUP_FA02|2025-12-17|1250000|2025-12-01</v>
      </c>
    </row>
    <row r="97">
      <c r="A97" s="1" t="s">
        <v>31</v>
      </c>
      <c r="B97" s="1" t="s">
        <v>32</v>
      </c>
      <c r="C97" s="1" t="s">
        <v>13</v>
      </c>
      <c r="D97" s="1">
        <v>169.0</v>
      </c>
      <c r="E97" s="1">
        <v>40.0</v>
      </c>
      <c r="F97" s="1">
        <v>3.0</v>
      </c>
      <c r="G97" s="1">
        <v>4.0</v>
      </c>
      <c r="H97" s="1" t="s">
        <v>33</v>
      </c>
      <c r="I97" s="2">
        <v>46074.0</v>
      </c>
      <c r="J97" s="1">
        <v>550000.0</v>
      </c>
      <c r="K97" s="2">
        <v>46054.0</v>
      </c>
      <c r="L97" s="3" t="str">
        <f t="shared" si="1"/>
        <v>SKU-013|Skincare Set Whitelab|Beauty|169|40|3|4|SUP_BT01|2026-02-21|550000|2026-02-01</v>
      </c>
    </row>
    <row r="98">
      <c r="A98" s="1" t="s">
        <v>21</v>
      </c>
      <c r="B98" s="1" t="s">
        <v>22</v>
      </c>
      <c r="C98" s="1" t="s">
        <v>23</v>
      </c>
      <c r="D98" s="1">
        <v>15.0</v>
      </c>
      <c r="E98" s="1">
        <v>50.0</v>
      </c>
      <c r="F98" s="1">
        <v>7.0</v>
      </c>
      <c r="G98" s="1">
        <v>7.0</v>
      </c>
      <c r="H98" s="1" t="s">
        <v>24</v>
      </c>
      <c r="I98" s="2">
        <v>46032.0</v>
      </c>
      <c r="J98" s="1">
        <v>350000.0</v>
      </c>
      <c r="K98" s="2">
        <v>46023.0</v>
      </c>
      <c r="L98" s="3" t="str">
        <f t="shared" si="1"/>
        <v>SKU-005|Kemeja Formal Pria|Fashion|15|50|7|7|SUP_FA01|2026-01-10|350000|2026-01-01</v>
      </c>
    </row>
    <row r="99">
      <c r="A99" s="1" t="s">
        <v>48</v>
      </c>
      <c r="B99" s="1" t="s">
        <v>49</v>
      </c>
      <c r="C99" s="1" t="s">
        <v>36</v>
      </c>
      <c r="D99" s="1">
        <v>48.0</v>
      </c>
      <c r="E99" s="1">
        <v>120.0</v>
      </c>
      <c r="F99" s="1">
        <v>18.0</v>
      </c>
      <c r="G99" s="1">
        <v>6.0</v>
      </c>
      <c r="H99" s="1" t="s">
        <v>50</v>
      </c>
      <c r="I99" s="2">
        <v>46074.0</v>
      </c>
      <c r="J99" s="1">
        <v>55000.0</v>
      </c>
      <c r="K99" s="2">
        <v>46054.0</v>
      </c>
      <c r="L99" s="3" t="str">
        <f t="shared" si="1"/>
        <v>SKU-020|Snack Granola Mix 500g|Food &amp; Beverage|48|120|18|6|SUP_FB02|2026-02-21|55000|2026-02-01</v>
      </c>
    </row>
    <row r="100">
      <c r="A100" s="1" t="s">
        <v>25</v>
      </c>
      <c r="B100" s="1" t="s">
        <v>26</v>
      </c>
      <c r="C100" s="1" t="s">
        <v>17</v>
      </c>
      <c r="D100" s="1">
        <v>0.0</v>
      </c>
      <c r="E100" s="1">
        <v>25.0</v>
      </c>
      <c r="F100" s="1">
        <v>3.0</v>
      </c>
      <c r="G100" s="1">
        <v>18.0</v>
      </c>
      <c r="H100" s="1" t="s">
        <v>27</v>
      </c>
      <c r="I100" s="2">
        <v>45663.0</v>
      </c>
      <c r="J100" s="1">
        <v>4500000.0</v>
      </c>
      <c r="K100" s="2">
        <v>45658.0</v>
      </c>
      <c r="L100" s="3" t="str">
        <f t="shared" si="1"/>
        <v>SKU-002|Smartphone Samsung A54|Electronics|0|25|3|18|SUP_EL02|2025-01-06|4500000|2025-01-01</v>
      </c>
    </row>
    <row r="101">
      <c r="A101" s="1" t="s">
        <v>15</v>
      </c>
      <c r="B101" s="1" t="s">
        <v>16</v>
      </c>
      <c r="C101" s="1" t="s">
        <v>17</v>
      </c>
      <c r="D101" s="1">
        <v>0.0</v>
      </c>
      <c r="E101" s="1">
        <v>15.0</v>
      </c>
      <c r="F101" s="1">
        <v>3.0</v>
      </c>
      <c r="G101" s="1">
        <v>8.0</v>
      </c>
      <c r="H101" s="1" t="s">
        <v>18</v>
      </c>
      <c r="I101" s="2">
        <v>45979.0</v>
      </c>
      <c r="J101" s="1">
        <v>8500000.0</v>
      </c>
      <c r="K101" s="2">
        <v>45962.0</v>
      </c>
      <c r="L101" s="3" t="str">
        <f t="shared" si="1"/>
        <v>SKU-001|Laptop ASUS Vivobook|Electronics|0|15|3|8|SUP_EL01|2025-11-18|8500000|2025-11-01</v>
      </c>
    </row>
    <row r="102">
      <c r="A102" s="1" t="s">
        <v>44</v>
      </c>
      <c r="B102" s="1" t="s">
        <v>45</v>
      </c>
      <c r="C102" s="1" t="s">
        <v>42</v>
      </c>
      <c r="D102" s="1">
        <v>53.0</v>
      </c>
      <c r="E102" s="1">
        <v>30.0</v>
      </c>
      <c r="F102" s="1">
        <v>5.0</v>
      </c>
      <c r="G102" s="1">
        <v>4.0</v>
      </c>
      <c r="H102" s="1" t="s">
        <v>43</v>
      </c>
      <c r="I102" s="2">
        <v>45730.0</v>
      </c>
      <c r="J102" s="1">
        <v>350000.0</v>
      </c>
      <c r="K102" s="2">
        <v>45717.0</v>
      </c>
      <c r="L102" s="3" t="str">
        <f t="shared" si="1"/>
        <v>SKU-012|Kipas Angin Cosmos 16in|Home &amp; Living|53|30|5|4|SUP_HM02|2025-03-14|350000|2025-03-01</v>
      </c>
    </row>
    <row r="103">
      <c r="A103" s="1" t="s">
        <v>40</v>
      </c>
      <c r="B103" s="1" t="s">
        <v>41</v>
      </c>
      <c r="C103" s="1" t="s">
        <v>42</v>
      </c>
      <c r="D103" s="1">
        <v>12.0</v>
      </c>
      <c r="E103" s="1">
        <v>15.0</v>
      </c>
      <c r="F103" s="1">
        <v>4.0</v>
      </c>
      <c r="G103" s="1">
        <v>10.0</v>
      </c>
      <c r="H103" s="1" t="s">
        <v>43</v>
      </c>
      <c r="I103" s="2">
        <v>45717.0</v>
      </c>
      <c r="J103" s="1">
        <v>1200000.0</v>
      </c>
      <c r="K103" s="2">
        <v>45717.0</v>
      </c>
      <c r="L103" s="3" t="str">
        <f t="shared" si="1"/>
        <v>SKU-011|Vacuum Cleaner Deerma|Home &amp; Living|12|15|4|10|SUP_HM02|2025-03-01|1200000|2025-03-01</v>
      </c>
    </row>
    <row r="104">
      <c r="A104" s="1" t="s">
        <v>28</v>
      </c>
      <c r="B104" s="1" t="s">
        <v>29</v>
      </c>
      <c r="C104" s="1" t="s">
        <v>23</v>
      </c>
      <c r="D104" s="1">
        <v>31.0</v>
      </c>
      <c r="E104" s="1">
        <v>35.0</v>
      </c>
      <c r="F104" s="1">
        <v>3.0</v>
      </c>
      <c r="G104" s="1">
        <v>6.0</v>
      </c>
      <c r="H104" s="1" t="s">
        <v>30</v>
      </c>
      <c r="I104" s="2">
        <v>45891.0</v>
      </c>
      <c r="J104" s="1">
        <v>1250000.0</v>
      </c>
      <c r="K104" s="2">
        <v>45870.0</v>
      </c>
      <c r="L104" s="3" t="str">
        <f t="shared" si="1"/>
        <v>SKU-007|Sepatu Sneakers Nike|Fashion|31|35|3|6|SUP_FA02|2025-08-22|1250000|2025-08-01</v>
      </c>
    </row>
    <row r="105">
      <c r="A105" s="1" t="s">
        <v>21</v>
      </c>
      <c r="B105" s="1" t="s">
        <v>22</v>
      </c>
      <c r="C105" s="1" t="s">
        <v>23</v>
      </c>
      <c r="D105" s="1">
        <v>21.0</v>
      </c>
      <c r="E105" s="1">
        <v>50.0</v>
      </c>
      <c r="F105" s="1">
        <v>7.0</v>
      </c>
      <c r="G105" s="1">
        <v>3.0</v>
      </c>
      <c r="H105" s="1" t="s">
        <v>24</v>
      </c>
      <c r="I105" s="2">
        <v>45918.0</v>
      </c>
      <c r="J105" s="1">
        <v>350000.0</v>
      </c>
      <c r="K105" s="2">
        <v>45901.0</v>
      </c>
      <c r="L105" s="3" t="str">
        <f t="shared" si="1"/>
        <v>SKU-005|Kemeja Formal Pria|Fashion|21|50|7|3|SUP_FA01|2025-09-18|350000|2025-09-01</v>
      </c>
    </row>
    <row r="106">
      <c r="A106" s="1" t="s">
        <v>11</v>
      </c>
      <c r="B106" s="1" t="s">
        <v>12</v>
      </c>
      <c r="C106" s="1" t="s">
        <v>13</v>
      </c>
      <c r="D106" s="1">
        <v>250.0</v>
      </c>
      <c r="E106" s="1">
        <v>50.0</v>
      </c>
      <c r="F106" s="1">
        <v>1.0</v>
      </c>
      <c r="G106" s="1">
        <v>7.0</v>
      </c>
      <c r="H106" s="1" t="s">
        <v>14</v>
      </c>
      <c r="I106" s="2">
        <v>46050.0</v>
      </c>
      <c r="J106" s="1">
        <v>125000.0</v>
      </c>
      <c r="K106" s="2">
        <v>46023.0</v>
      </c>
      <c r="L106" s="3" t="str">
        <f t="shared" si="1"/>
        <v>SKU-016|Parfum EDT Brasov 100ml|Beauty|250|50|1|7|SUP_BT02|2026-01-28|125000|2026-01-01</v>
      </c>
    </row>
    <row r="107">
      <c r="A107" s="1" t="s">
        <v>60</v>
      </c>
      <c r="B107" s="1" t="s">
        <v>61</v>
      </c>
      <c r="C107" s="1" t="s">
        <v>17</v>
      </c>
      <c r="D107" s="1">
        <v>-19.0</v>
      </c>
      <c r="E107" s="1">
        <v>20.0</v>
      </c>
      <c r="F107" s="1">
        <v>2.0</v>
      </c>
      <c r="G107" s="1">
        <v>18.0</v>
      </c>
      <c r="H107" s="1" t="s">
        <v>27</v>
      </c>
      <c r="I107" s="2">
        <v>45884.0</v>
      </c>
      <c r="J107" s="1">
        <v>3200000.0</v>
      </c>
      <c r="K107" s="2">
        <v>45870.0</v>
      </c>
      <c r="L107" s="3" t="str">
        <f t="shared" si="1"/>
        <v>SKU-003|Headphone Sony WH-1000|Electronics|-19|20|2|18|SUP_EL02|2025-08-15|3200000|2025-08-01</v>
      </c>
    </row>
    <row r="108">
      <c r="A108" s="1" t="s">
        <v>25</v>
      </c>
      <c r="B108" s="1" t="s">
        <v>26</v>
      </c>
      <c r="C108" s="1" t="s">
        <v>17</v>
      </c>
      <c r="D108" s="1">
        <v>32.0</v>
      </c>
      <c r="E108" s="1">
        <v>25.0</v>
      </c>
      <c r="F108" s="1">
        <v>4.0</v>
      </c>
      <c r="G108" s="1">
        <v>9.0</v>
      </c>
      <c r="H108" s="1" t="s">
        <v>27</v>
      </c>
      <c r="I108" s="2">
        <v>45708.0</v>
      </c>
      <c r="J108" s="1">
        <v>4500000.0</v>
      </c>
      <c r="K108" s="2">
        <v>45689.0</v>
      </c>
      <c r="L108" s="3" t="str">
        <f t="shared" si="1"/>
        <v>SKU-002|Smartphone Samsung A54|Electronics|32|25|4|9|SUP_EL02|2025-02-20|4500000|2025-02-01</v>
      </c>
    </row>
    <row r="109">
      <c r="A109" s="1" t="s">
        <v>19</v>
      </c>
      <c r="B109" s="1" t="s">
        <v>20</v>
      </c>
      <c r="C109" s="1" t="s">
        <v>17</v>
      </c>
      <c r="D109" s="1">
        <v>-12.0</v>
      </c>
      <c r="E109" s="1">
        <v>30.0</v>
      </c>
      <c r="F109" s="1">
        <v>6.0</v>
      </c>
      <c r="G109" s="1">
        <v>7.0</v>
      </c>
      <c r="H109" s="1" t="s">
        <v>18</v>
      </c>
      <c r="I109" s="2">
        <v>45975.0</v>
      </c>
      <c r="J109" s="1">
        <v>1200000.0</v>
      </c>
      <c r="K109" s="2">
        <v>45962.0</v>
      </c>
      <c r="L109" s="3" t="str">
        <f t="shared" si="1"/>
        <v>SKU-004|Smartwatch Xiaomi Band|Electronics|-12|30|6|7|SUP_EL01|2025-11-14|1200000|2025-11-01</v>
      </c>
    </row>
    <row r="110">
      <c r="A110" s="1" t="s">
        <v>40</v>
      </c>
      <c r="B110" s="1" t="s">
        <v>41</v>
      </c>
      <c r="C110" s="1" t="s">
        <v>42</v>
      </c>
      <c r="D110" s="1">
        <v>3.0</v>
      </c>
      <c r="E110" s="1">
        <v>15.0</v>
      </c>
      <c r="F110" s="1">
        <v>3.0</v>
      </c>
      <c r="G110" s="1">
        <v>8.0</v>
      </c>
      <c r="H110" s="1" t="s">
        <v>43</v>
      </c>
      <c r="I110" s="2">
        <v>45815.0</v>
      </c>
      <c r="J110" s="1">
        <v>1200000.0</v>
      </c>
      <c r="K110" s="2">
        <v>45809.0</v>
      </c>
      <c r="L110" s="3" t="str">
        <f t="shared" si="1"/>
        <v>SKU-011|Vacuum Cleaner Deerma|Home &amp; Living|3|15|3|8|SUP_HM02|2025-06-07|1200000|2025-06-01</v>
      </c>
    </row>
    <row r="111">
      <c r="A111" s="1" t="s">
        <v>51</v>
      </c>
      <c r="B111" s="1" t="s">
        <v>52</v>
      </c>
      <c r="C111" s="1" t="s">
        <v>36</v>
      </c>
      <c r="D111" s="1">
        <v>0.0</v>
      </c>
      <c r="E111" s="1">
        <v>60.0</v>
      </c>
      <c r="F111" s="1">
        <v>13.0</v>
      </c>
      <c r="G111" s="1">
        <v>4.0</v>
      </c>
      <c r="H111" s="1" t="s">
        <v>50</v>
      </c>
      <c r="I111" s="2">
        <v>46004.0</v>
      </c>
      <c r="J111" s="1">
        <v>175000.0</v>
      </c>
      <c r="K111" s="2">
        <v>45992.0</v>
      </c>
      <c r="L111" s="3" t="str">
        <f t="shared" si="1"/>
        <v>SKU-019|Madu Hutan Asli 500ml|Food &amp; Beverage|0|60|13|4|SUP_FB02|2025-12-13|175000|2025-12-01</v>
      </c>
    </row>
    <row r="112">
      <c r="A112" s="1" t="s">
        <v>21</v>
      </c>
      <c r="B112" s="1" t="s">
        <v>22</v>
      </c>
      <c r="C112" s="1" t="s">
        <v>23</v>
      </c>
      <c r="D112" s="1">
        <v>26.0</v>
      </c>
      <c r="E112" s="1">
        <v>50.0</v>
      </c>
      <c r="F112" s="1">
        <v>8.0</v>
      </c>
      <c r="G112" s="1">
        <v>3.0</v>
      </c>
      <c r="H112" s="1" t="s">
        <v>24</v>
      </c>
      <c r="I112" s="2">
        <v>45884.0</v>
      </c>
      <c r="J112" s="1">
        <v>350000.0</v>
      </c>
      <c r="K112" s="2">
        <v>45870.0</v>
      </c>
      <c r="L112" s="3" t="str">
        <f t="shared" si="1"/>
        <v>SKU-005|Kemeja Formal Pria|Fashion|26|50|8|3|SUP_FA01|2025-08-15|350000|2025-08-01</v>
      </c>
    </row>
    <row r="113">
      <c r="A113" s="1" t="s">
        <v>46</v>
      </c>
      <c r="B113" s="1" t="s">
        <v>47</v>
      </c>
      <c r="C113" s="1" t="s">
        <v>23</v>
      </c>
      <c r="D113" s="1">
        <v>32.0</v>
      </c>
      <c r="E113" s="1">
        <v>40.0</v>
      </c>
      <c r="F113" s="1">
        <v>5.0</v>
      </c>
      <c r="G113" s="1">
        <v>5.0</v>
      </c>
      <c r="H113" s="1" t="s">
        <v>30</v>
      </c>
      <c r="I113" s="2">
        <v>45915.0</v>
      </c>
      <c r="J113" s="1">
        <v>550000.0</v>
      </c>
      <c r="K113" s="2">
        <v>45901.0</v>
      </c>
      <c r="L113" s="3" t="str">
        <f t="shared" si="1"/>
        <v>SKU-008|Tas Ransel Eiger|Fashion|32|40|5|5|SUP_FA02|2025-09-15|550000|2025-09-01</v>
      </c>
    </row>
    <row r="114">
      <c r="A114" s="1" t="s">
        <v>21</v>
      </c>
      <c r="B114" s="1" t="s">
        <v>22</v>
      </c>
      <c r="C114" s="1" t="s">
        <v>23</v>
      </c>
      <c r="D114" s="1">
        <v>28.0</v>
      </c>
      <c r="E114" s="1">
        <v>50.0</v>
      </c>
      <c r="F114" s="1">
        <v>7.0</v>
      </c>
      <c r="G114" s="1">
        <v>7.0</v>
      </c>
      <c r="H114" s="1" t="s">
        <v>24</v>
      </c>
      <c r="I114" s="2">
        <v>45939.0</v>
      </c>
      <c r="J114" s="1">
        <v>350000.0</v>
      </c>
      <c r="K114" s="2">
        <v>45931.0</v>
      </c>
      <c r="L114" s="3" t="str">
        <f t="shared" si="1"/>
        <v>SKU-005|Kemeja Formal Pria|Fashion|28|50|7|7|SUP_FA01|2025-10-09|350000|2025-10-01</v>
      </c>
    </row>
    <row r="115">
      <c r="A115" s="1" t="s">
        <v>60</v>
      </c>
      <c r="B115" s="1" t="s">
        <v>61</v>
      </c>
      <c r="C115" s="1" t="s">
        <v>17</v>
      </c>
      <c r="D115" s="1">
        <v>0.0</v>
      </c>
      <c r="E115" s="1">
        <v>20.0</v>
      </c>
      <c r="F115" s="1">
        <v>1.0</v>
      </c>
      <c r="G115" s="1">
        <v>23.0</v>
      </c>
      <c r="H115" s="1" t="s">
        <v>27</v>
      </c>
      <c r="I115" s="2">
        <v>45689.0</v>
      </c>
      <c r="J115" s="1">
        <v>3200000.0</v>
      </c>
      <c r="K115" s="2">
        <v>45689.0</v>
      </c>
      <c r="L115" s="3" t="str">
        <f t="shared" si="1"/>
        <v>SKU-003|Headphone Sony WH-1000|Electronics|0|20|1|23|SUP_EL02|2025-02-01|3200000|2025-02-01</v>
      </c>
    </row>
    <row r="116">
      <c r="A116" s="1" t="s">
        <v>31</v>
      </c>
      <c r="B116" s="1" t="s">
        <v>32</v>
      </c>
      <c r="C116" s="1" t="s">
        <v>13</v>
      </c>
      <c r="D116" s="1">
        <v>221.0</v>
      </c>
      <c r="E116" s="1">
        <v>40.0</v>
      </c>
      <c r="F116" s="1">
        <v>2.0</v>
      </c>
      <c r="G116" s="1">
        <v>5.0</v>
      </c>
      <c r="H116" s="1" t="s">
        <v>33</v>
      </c>
      <c r="I116" s="2">
        <v>45791.0</v>
      </c>
      <c r="J116" s="1">
        <v>550000.0</v>
      </c>
      <c r="K116" s="2">
        <v>45778.0</v>
      </c>
      <c r="L116" s="3" t="str">
        <f t="shared" si="1"/>
        <v>SKU-013|Skincare Set Whitelab|Beauty|221|40|2|5|SUP_BT01|2025-05-14|550000|2025-05-01</v>
      </c>
    </row>
    <row r="117">
      <c r="A117" s="1" t="s">
        <v>40</v>
      </c>
      <c r="B117" s="1" t="s">
        <v>41</v>
      </c>
      <c r="C117" s="1" t="s">
        <v>42</v>
      </c>
      <c r="D117" s="1">
        <v>22.0</v>
      </c>
      <c r="E117" s="1">
        <v>15.0</v>
      </c>
      <c r="F117" s="1">
        <v>3.0</v>
      </c>
      <c r="G117" s="1">
        <v>4.0</v>
      </c>
      <c r="H117" s="1" t="s">
        <v>43</v>
      </c>
      <c r="I117" s="2">
        <v>45919.0</v>
      </c>
      <c r="J117" s="1">
        <v>1200000.0</v>
      </c>
      <c r="K117" s="2">
        <v>45901.0</v>
      </c>
      <c r="L117" s="3" t="str">
        <f t="shared" si="1"/>
        <v>SKU-011|Vacuum Cleaner Deerma|Home &amp; Living|22|15|3|4|SUP_HM02|2025-09-19|1200000|2025-09-01</v>
      </c>
    </row>
    <row r="118">
      <c r="A118" s="1" t="s">
        <v>11</v>
      </c>
      <c r="B118" s="1" t="s">
        <v>12</v>
      </c>
      <c r="C118" s="1" t="s">
        <v>13</v>
      </c>
      <c r="D118" s="1">
        <v>185.0</v>
      </c>
      <c r="E118" s="1">
        <v>50.0</v>
      </c>
      <c r="F118" s="1">
        <v>2.0</v>
      </c>
      <c r="G118" s="1">
        <v>8.0</v>
      </c>
      <c r="H118" s="1" t="s">
        <v>14</v>
      </c>
      <c r="I118" s="2">
        <v>46078.0</v>
      </c>
      <c r="J118" s="1">
        <v>125000.0</v>
      </c>
      <c r="K118" s="2">
        <v>46054.0</v>
      </c>
      <c r="L118" s="3" t="str">
        <f t="shared" si="1"/>
        <v>SKU-016|Parfum EDT Brasov 100ml|Beauty|185|50|2|8|SUP_BT02|2026-02-25|125000|2026-02-01</v>
      </c>
    </row>
    <row r="119">
      <c r="A119" s="1" t="s">
        <v>64</v>
      </c>
      <c r="B119" s="1" t="s">
        <v>65</v>
      </c>
      <c r="C119" s="1" t="s">
        <v>42</v>
      </c>
      <c r="D119" s="1">
        <v>32.0</v>
      </c>
      <c r="E119" s="1">
        <v>20.0</v>
      </c>
      <c r="F119" s="1">
        <v>2.0</v>
      </c>
      <c r="G119" s="1">
        <v>10.0</v>
      </c>
      <c r="H119" s="1" t="s">
        <v>59</v>
      </c>
      <c r="I119" s="2">
        <v>45865.0</v>
      </c>
      <c r="J119" s="1">
        <v>750000.0</v>
      </c>
      <c r="K119" s="2">
        <v>45839.0</v>
      </c>
      <c r="L119" s="3" t="str">
        <f t="shared" si="1"/>
        <v>SKU-009|Blender Philips HR2157|Home &amp; Living|32|20|2|10|SUP_HM01|2025-07-27|750000|2025-07-01</v>
      </c>
    </row>
    <row r="120">
      <c r="A120" s="1" t="s">
        <v>25</v>
      </c>
      <c r="B120" s="1" t="s">
        <v>26</v>
      </c>
      <c r="C120" s="1" t="s">
        <v>17</v>
      </c>
      <c r="D120" s="1">
        <v>32.0</v>
      </c>
      <c r="E120" s="1">
        <v>25.0</v>
      </c>
      <c r="F120" s="1">
        <v>3.0</v>
      </c>
      <c r="G120" s="1">
        <v>8.0</v>
      </c>
      <c r="H120" s="1" t="s">
        <v>27</v>
      </c>
      <c r="I120" s="2">
        <v>45755.0</v>
      </c>
      <c r="J120" s="1">
        <v>4500000.0</v>
      </c>
      <c r="K120" s="2">
        <v>45748.0</v>
      </c>
      <c r="L120" s="3" t="str">
        <f t="shared" si="1"/>
        <v>SKU-002|Smartphone Samsung A54|Electronics|32|25|3|8|SUP_EL02|2025-04-08|4500000|2025-04-01</v>
      </c>
    </row>
    <row r="121">
      <c r="A121" s="1" t="s">
        <v>48</v>
      </c>
      <c r="B121" s="1" t="s">
        <v>49</v>
      </c>
      <c r="C121" s="1" t="s">
        <v>36</v>
      </c>
      <c r="D121" s="1">
        <v>154.0</v>
      </c>
      <c r="E121" s="1">
        <v>120.0</v>
      </c>
      <c r="F121" s="1">
        <v>19.0</v>
      </c>
      <c r="G121" s="1">
        <v>6.0</v>
      </c>
      <c r="H121" s="1" t="s">
        <v>50</v>
      </c>
      <c r="I121" s="2">
        <v>45978.0</v>
      </c>
      <c r="J121" s="1">
        <v>55000.0</v>
      </c>
      <c r="K121" s="2">
        <v>45962.0</v>
      </c>
      <c r="L121" s="3" t="str">
        <f t="shared" si="1"/>
        <v>SKU-020|Snack Granola Mix 500g|Food &amp; Beverage|154|120|19|6|SUP_FB02|2025-11-17|55000|2025-11-01</v>
      </c>
    </row>
    <row r="122">
      <c r="A122" s="1" t="s">
        <v>28</v>
      </c>
      <c r="B122" s="1" t="s">
        <v>29</v>
      </c>
      <c r="C122" s="1" t="s">
        <v>23</v>
      </c>
      <c r="D122" s="1">
        <v>18.0</v>
      </c>
      <c r="E122" s="1">
        <v>35.0</v>
      </c>
      <c r="F122" s="1">
        <v>7.0</v>
      </c>
      <c r="G122" s="1">
        <v>5.0</v>
      </c>
      <c r="H122" s="1" t="s">
        <v>30</v>
      </c>
      <c r="I122" s="2">
        <v>45859.0</v>
      </c>
      <c r="J122" s="1">
        <v>1250000.0</v>
      </c>
      <c r="K122" s="2">
        <v>45839.0</v>
      </c>
      <c r="L122" s="3" t="str">
        <f t="shared" si="1"/>
        <v>SKU-007|Sepatu Sneakers Nike|Fashion|18|35|7|5|SUP_FA02|2025-07-21|1250000|2025-07-01</v>
      </c>
    </row>
    <row r="123">
      <c r="A123" s="1" t="s">
        <v>57</v>
      </c>
      <c r="B123" s="1" t="s">
        <v>58</v>
      </c>
      <c r="C123" s="1" t="s">
        <v>42</v>
      </c>
      <c r="D123" s="1">
        <v>14.0</v>
      </c>
      <c r="E123" s="1">
        <v>25.0</v>
      </c>
      <c r="F123" s="1">
        <v>5.0</v>
      </c>
      <c r="G123" s="1">
        <v>9.0</v>
      </c>
      <c r="H123" s="1" t="s">
        <v>59</v>
      </c>
      <c r="I123" s="2">
        <v>45816.0</v>
      </c>
      <c r="K123" s="2">
        <v>45809.0</v>
      </c>
      <c r="L123" s="3" t="str">
        <f t="shared" si="1"/>
        <v>SKU-010|Rice Cooker Miyako 1.8L|Home &amp; Living|14|25|5|9|SUP_HM01|2025-06-08||2025-06-01</v>
      </c>
    </row>
    <row r="124">
      <c r="A124" s="1" t="s">
        <v>44</v>
      </c>
      <c r="B124" s="1" t="s">
        <v>45</v>
      </c>
      <c r="C124" s="1" t="s">
        <v>42</v>
      </c>
      <c r="D124" s="1">
        <v>34.0</v>
      </c>
      <c r="E124" s="1">
        <v>30.0</v>
      </c>
      <c r="F124" s="1">
        <v>5.0</v>
      </c>
      <c r="G124" s="1">
        <v>5.0</v>
      </c>
      <c r="H124" s="1" t="s">
        <v>43</v>
      </c>
      <c r="I124" s="2">
        <v>46007.0</v>
      </c>
      <c r="J124" s="1">
        <v>350000.0</v>
      </c>
      <c r="K124" s="2">
        <v>45992.0</v>
      </c>
      <c r="L124" s="3" t="str">
        <f t="shared" si="1"/>
        <v>SKU-012|Kipas Angin Cosmos 16in|Home &amp; Living|34|30|5|5|SUP_HM02|2025-12-16|350000|2025-12-01</v>
      </c>
    </row>
    <row r="125">
      <c r="A125" s="1" t="s">
        <v>38</v>
      </c>
      <c r="B125" s="1" t="s">
        <v>39</v>
      </c>
      <c r="C125" s="1" t="s">
        <v>23</v>
      </c>
      <c r="D125" s="1">
        <v>0.0</v>
      </c>
      <c r="E125" s="1">
        <v>45.0</v>
      </c>
      <c r="F125" s="1">
        <v>13.0</v>
      </c>
      <c r="G125" s="1">
        <v>7.0</v>
      </c>
      <c r="H125" s="1" t="s">
        <v>24</v>
      </c>
      <c r="I125" s="2">
        <v>46015.0</v>
      </c>
      <c r="J125" s="1">
        <v>450000.0</v>
      </c>
      <c r="K125" s="2">
        <v>45992.0</v>
      </c>
      <c r="L125" s="3" t="str">
        <f t="shared" si="1"/>
        <v>SKU-006|Dress Casual Wanita|Fashion|0|45|13|7|SUP_FA01|2025-12-24|450000|2025-12-01</v>
      </c>
    </row>
    <row r="126">
      <c r="A126" s="1" t="s">
        <v>34</v>
      </c>
      <c r="B126" s="1" t="s">
        <v>35</v>
      </c>
      <c r="C126" s="1" t="s">
        <v>36</v>
      </c>
      <c r="D126" s="1">
        <v>17.0</v>
      </c>
      <c r="E126" s="1">
        <v>80.0</v>
      </c>
      <c r="F126" s="1">
        <v>11.0</v>
      </c>
      <c r="G126" s="1">
        <v>5.0</v>
      </c>
      <c r="H126" s="1" t="s">
        <v>37</v>
      </c>
      <c r="I126" s="2">
        <v>45882.0</v>
      </c>
      <c r="J126" s="1">
        <v>65000.0</v>
      </c>
      <c r="K126" s="2">
        <v>45870.0</v>
      </c>
      <c r="L126" s="3" t="str">
        <f t="shared" si="1"/>
        <v>SKU-018|Teh Organik Premium Box|Food &amp; Beverage|17|80|11|5|SUP_FB01|2025-08-13|65000|2025-08-01</v>
      </c>
    </row>
    <row r="127">
      <c r="A127" s="1" t="s">
        <v>51</v>
      </c>
      <c r="B127" s="1" t="s">
        <v>52</v>
      </c>
      <c r="C127" s="1" t="s">
        <v>36</v>
      </c>
      <c r="D127" s="1">
        <v>0.0</v>
      </c>
      <c r="E127" s="1">
        <v>60.0</v>
      </c>
      <c r="F127" s="1">
        <v>14.0</v>
      </c>
      <c r="G127" s="1">
        <v>4.0</v>
      </c>
      <c r="H127" s="1" t="s">
        <v>50</v>
      </c>
      <c r="I127" s="2">
        <v>45741.0</v>
      </c>
      <c r="J127" s="1">
        <v>175000.0</v>
      </c>
      <c r="K127" s="2">
        <v>45717.0</v>
      </c>
      <c r="L127" s="3" t="str">
        <f t="shared" si="1"/>
        <v>SKU-019|Madu Hutan Asli 500ml|Food &amp; Beverage|0|60|14|4|SUP_FB02|2025-03-25|175000|2025-03-01</v>
      </c>
    </row>
    <row r="128">
      <c r="A128" s="1" t="s">
        <v>40</v>
      </c>
      <c r="B128" s="1" t="s">
        <v>41</v>
      </c>
      <c r="C128" s="1" t="s">
        <v>42</v>
      </c>
      <c r="D128" s="1">
        <v>13.0</v>
      </c>
      <c r="E128" s="1">
        <v>15.0</v>
      </c>
      <c r="F128" s="1">
        <v>2.0</v>
      </c>
      <c r="G128" s="1">
        <v>7.0</v>
      </c>
      <c r="H128" s="1" t="s">
        <v>43</v>
      </c>
      <c r="I128" s="2">
        <v>45799.0</v>
      </c>
      <c r="J128" s="1">
        <v>1200000.0</v>
      </c>
      <c r="K128" s="2">
        <v>45778.0</v>
      </c>
      <c r="L128" s="3" t="str">
        <f t="shared" si="1"/>
        <v>SKU-011|Vacuum Cleaner Deerma|Home &amp; Living|13|15|2|7|SUP_HM02|2025-05-22|1200000|2025-05-01</v>
      </c>
    </row>
    <row r="129">
      <c r="A129" s="1" t="s">
        <v>34</v>
      </c>
      <c r="B129" s="1" t="s">
        <v>35</v>
      </c>
      <c r="C129" s="1" t="s">
        <v>36</v>
      </c>
      <c r="D129" s="1">
        <v>9.0</v>
      </c>
      <c r="E129" s="1">
        <v>80.0</v>
      </c>
      <c r="F129" s="1">
        <v>11.0</v>
      </c>
      <c r="G129" s="1">
        <v>4.0</v>
      </c>
      <c r="H129" s="1" t="s">
        <v>37</v>
      </c>
      <c r="I129" s="2">
        <v>46077.0</v>
      </c>
      <c r="J129" s="1">
        <v>65000.0</v>
      </c>
      <c r="K129" s="2">
        <v>46054.0</v>
      </c>
      <c r="L129" s="3" t="str">
        <f t="shared" si="1"/>
        <v>SKU-018|Teh Organik Premium Box|Food &amp; Beverage|9|80|11|4|SUP_FB01|2026-02-24|65000|2026-02-01</v>
      </c>
    </row>
    <row r="130">
      <c r="A130" s="1" t="s">
        <v>53</v>
      </c>
      <c r="B130" s="1" t="s">
        <v>54</v>
      </c>
      <c r="C130" s="1" t="s">
        <v>13</v>
      </c>
      <c r="D130" s="1">
        <v>202.0</v>
      </c>
      <c r="E130" s="1">
        <v>60.0</v>
      </c>
      <c r="F130" s="1">
        <v>2.0</v>
      </c>
      <c r="G130" s="1">
        <v>4.0</v>
      </c>
      <c r="H130" s="1" t="s">
        <v>14</v>
      </c>
      <c r="I130" s="2">
        <v>46019.0</v>
      </c>
      <c r="J130" s="1">
        <v>165000.0</v>
      </c>
      <c r="K130" s="2">
        <v>45992.0</v>
      </c>
      <c r="L130" s="3" t="str">
        <f t="shared" si="1"/>
        <v>SKU-015|Foundation Maybelline Fit|Beauty|202|60|2|4|SUP_BT02|2025-12-28|165000|2025-12-01</v>
      </c>
    </row>
    <row r="131">
      <c r="A131" s="1" t="s">
        <v>53</v>
      </c>
      <c r="B131" s="1" t="s">
        <v>54</v>
      </c>
      <c r="C131" s="1" t="s">
        <v>13</v>
      </c>
      <c r="D131" s="1">
        <v>252.0</v>
      </c>
      <c r="E131" s="1">
        <v>60.0</v>
      </c>
      <c r="F131" s="1">
        <v>4.0</v>
      </c>
      <c r="G131" s="1">
        <v>7.0</v>
      </c>
      <c r="H131" s="1" t="s">
        <v>14</v>
      </c>
      <c r="I131" s="2">
        <v>45930.0</v>
      </c>
      <c r="J131" s="1">
        <v>165000.0</v>
      </c>
      <c r="K131" s="2">
        <v>45901.0</v>
      </c>
      <c r="L131" s="3" t="str">
        <f t="shared" si="1"/>
        <v>SKU-015|Foundation Maybelline Fit|Beauty|252|60|4|7|SUP_BT02|2025-09-30|165000|2025-09-01</v>
      </c>
    </row>
    <row r="132">
      <c r="A132" s="1" t="s">
        <v>64</v>
      </c>
      <c r="B132" s="1" t="s">
        <v>65</v>
      </c>
      <c r="C132" s="1" t="s">
        <v>42</v>
      </c>
      <c r="D132" s="1">
        <v>20.0</v>
      </c>
      <c r="E132" s="1">
        <v>20.0</v>
      </c>
      <c r="F132" s="1">
        <v>2.0</v>
      </c>
      <c r="G132" s="1">
        <v>7.0</v>
      </c>
      <c r="H132" s="1" t="s">
        <v>59</v>
      </c>
      <c r="I132" s="2">
        <v>46027.0</v>
      </c>
      <c r="J132" s="1">
        <v>750000.0</v>
      </c>
      <c r="K132" s="2">
        <v>46023.0</v>
      </c>
      <c r="L132" s="3" t="str">
        <f t="shared" si="1"/>
        <v>SKU-009|Blender Philips HR2157|Home &amp; Living|20|20|2|7|SUP_HM01|2026-01-05|750000|2026-01-01</v>
      </c>
    </row>
    <row r="133">
      <c r="A133" s="1" t="s">
        <v>31</v>
      </c>
      <c r="B133" s="1" t="s">
        <v>32</v>
      </c>
      <c r="C133" s="1" t="s">
        <v>13</v>
      </c>
      <c r="D133" s="1">
        <v>153.0</v>
      </c>
      <c r="E133" s="1">
        <v>40.0</v>
      </c>
      <c r="F133" s="1">
        <v>4.0</v>
      </c>
      <c r="G133" s="1">
        <v>5.0</v>
      </c>
      <c r="H133" s="1" t="s">
        <v>33</v>
      </c>
      <c r="I133" s="2">
        <v>46097.0</v>
      </c>
      <c r="J133" s="1">
        <v>550000.0</v>
      </c>
      <c r="K133" s="2">
        <v>46082.0</v>
      </c>
      <c r="L133" s="3" t="str">
        <f t="shared" si="1"/>
        <v>SKU-013|Skincare Set Whitelab|Beauty|153|40|4|5|SUP_BT01|2026-03-16|550000|2026-03-01</v>
      </c>
    </row>
    <row r="134">
      <c r="A134" s="1" t="s">
        <v>57</v>
      </c>
      <c r="B134" s="1" t="s">
        <v>58</v>
      </c>
      <c r="C134" s="1" t="s">
        <v>42</v>
      </c>
      <c r="D134" s="1">
        <v>41.0</v>
      </c>
      <c r="E134" s="1">
        <v>25.0</v>
      </c>
      <c r="F134" s="1">
        <v>4.0</v>
      </c>
      <c r="G134" s="1">
        <v>10.0</v>
      </c>
      <c r="H134" s="1" t="s">
        <v>59</v>
      </c>
      <c r="I134" s="2">
        <v>45801.0</v>
      </c>
      <c r="J134" s="1">
        <v>450000.0</v>
      </c>
      <c r="K134" s="2">
        <v>45778.0</v>
      </c>
      <c r="L134" s="3" t="str">
        <f t="shared" si="1"/>
        <v>SKU-010|Rice Cooker Miyako 1.8L|Home &amp; Living|41|25|4|10|SUP_HM01|2025-05-24|450000|2025-05-01</v>
      </c>
    </row>
    <row r="135">
      <c r="A135" s="1" t="s">
        <v>62</v>
      </c>
      <c r="B135" s="1" t="s">
        <v>63</v>
      </c>
      <c r="C135" s="1" t="s">
        <v>13</v>
      </c>
      <c r="D135" s="1">
        <v>405.0</v>
      </c>
      <c r="E135" s="1">
        <v>80.0</v>
      </c>
      <c r="G135" s="1">
        <v>5.0</v>
      </c>
      <c r="H135" s="1" t="s">
        <v>33</v>
      </c>
      <c r="I135" s="2">
        <v>45663.0</v>
      </c>
      <c r="J135" s="1">
        <v>85000.0</v>
      </c>
      <c r="K135" s="2">
        <v>45658.0</v>
      </c>
      <c r="L135" s="3" t="str">
        <f t="shared" si="1"/>
        <v>SKU-014|Lipstik Matte Wardah|Beauty|405|80||5|SUP_BT01|2025-01-06|85000|2025-01-01</v>
      </c>
    </row>
    <row r="136">
      <c r="A136" s="1" t="s">
        <v>64</v>
      </c>
      <c r="B136" s="1" t="s">
        <v>65</v>
      </c>
      <c r="C136" s="1" t="s">
        <v>42</v>
      </c>
      <c r="D136" s="1">
        <v>32.0</v>
      </c>
      <c r="E136" s="1">
        <v>20.0</v>
      </c>
      <c r="F136" s="1">
        <v>1.0</v>
      </c>
      <c r="G136" s="1">
        <v>8.0</v>
      </c>
      <c r="H136" s="1" t="s">
        <v>59</v>
      </c>
      <c r="I136" s="2">
        <v>45955.0</v>
      </c>
      <c r="J136" s="1">
        <v>750000.0</v>
      </c>
      <c r="K136" s="2">
        <v>45931.0</v>
      </c>
      <c r="L136" s="3" t="str">
        <f t="shared" si="1"/>
        <v>SKU-009|Blender Philips HR2157|Home &amp; Living|32|20|1|8|SUP_HM01|2025-10-25|750000|2025-10-01</v>
      </c>
    </row>
    <row r="137">
      <c r="A137" s="1" t="s">
        <v>60</v>
      </c>
      <c r="B137" s="1" t="s">
        <v>61</v>
      </c>
      <c r="C137" s="1" t="s">
        <v>17</v>
      </c>
      <c r="D137" s="1">
        <v>0.0</v>
      </c>
      <c r="E137" s="1">
        <v>20.0</v>
      </c>
      <c r="F137" s="1">
        <v>3.0</v>
      </c>
      <c r="G137" s="1">
        <v>7.0</v>
      </c>
      <c r="H137" s="1" t="s">
        <v>27</v>
      </c>
      <c r="I137" s="2">
        <v>45919.0</v>
      </c>
      <c r="J137" s="1">
        <v>3200000.0</v>
      </c>
      <c r="K137" s="2">
        <v>45901.0</v>
      </c>
      <c r="L137" s="3" t="str">
        <f t="shared" si="1"/>
        <v>SKU-003|Headphone Sony WH-1000|Electronics|0|20|3|7|SUP_EL02|2025-09-19|3200000|2025-09-01</v>
      </c>
    </row>
    <row r="138">
      <c r="A138" s="1" t="s">
        <v>62</v>
      </c>
      <c r="B138" s="1" t="s">
        <v>63</v>
      </c>
      <c r="C138" s="1" t="s">
        <v>13</v>
      </c>
      <c r="D138" s="1">
        <v>255.0</v>
      </c>
      <c r="E138" s="1">
        <v>80.0</v>
      </c>
      <c r="F138" s="1">
        <v>4.0</v>
      </c>
      <c r="G138" s="1">
        <v>6.0</v>
      </c>
      <c r="H138" s="1" t="s">
        <v>33</v>
      </c>
      <c r="I138" s="2">
        <v>46001.0</v>
      </c>
      <c r="J138" s="1">
        <v>85000.0</v>
      </c>
      <c r="K138" s="2">
        <v>45992.0</v>
      </c>
      <c r="L138" s="3" t="str">
        <f t="shared" si="1"/>
        <v>SKU-014|Lipstik Matte Wardah|Beauty|255|80|4|6|SUP_BT01|2025-12-10|85000|2025-12-01</v>
      </c>
    </row>
    <row r="139">
      <c r="A139" s="1" t="s">
        <v>31</v>
      </c>
      <c r="B139" s="1" t="s">
        <v>32</v>
      </c>
      <c r="C139" s="1" t="s">
        <v>13</v>
      </c>
      <c r="D139" s="1">
        <v>168.0</v>
      </c>
      <c r="E139" s="1">
        <v>40.0</v>
      </c>
      <c r="F139" s="1">
        <v>3.0</v>
      </c>
      <c r="G139" s="1">
        <v>5.0</v>
      </c>
      <c r="H139" s="1" t="s">
        <v>33</v>
      </c>
      <c r="I139" s="2">
        <v>45709.0</v>
      </c>
      <c r="J139" s="1">
        <v>550000.0</v>
      </c>
      <c r="K139" s="2">
        <v>45689.0</v>
      </c>
      <c r="L139" s="3" t="str">
        <f t="shared" si="1"/>
        <v>SKU-013|Skincare Set Whitelab|Beauty|168|40|3|5|SUP_BT01|2025-02-21|550000|2025-02-01</v>
      </c>
    </row>
    <row r="140">
      <c r="A140" s="1" t="s">
        <v>57</v>
      </c>
      <c r="B140" s="1" t="s">
        <v>58</v>
      </c>
      <c r="C140" s="1" t="s">
        <v>42</v>
      </c>
      <c r="D140" s="1">
        <v>58.0</v>
      </c>
      <c r="E140" s="1">
        <v>25.0</v>
      </c>
      <c r="F140" s="1">
        <v>1.0</v>
      </c>
      <c r="G140" s="1">
        <v>10.0</v>
      </c>
      <c r="H140" s="1" t="s">
        <v>59</v>
      </c>
      <c r="I140" s="2">
        <v>45952.0</v>
      </c>
      <c r="J140" s="1">
        <v>450000.0</v>
      </c>
      <c r="K140" s="2">
        <v>45931.0</v>
      </c>
      <c r="L140" s="3" t="str">
        <f t="shared" si="1"/>
        <v>SKU-010|Rice Cooker Miyako 1.8L|Home &amp; Living|58|25|1|10|SUP_HM01|2025-10-22|450000|2025-10-01</v>
      </c>
    </row>
    <row r="141">
      <c r="A141" s="1" t="s">
        <v>46</v>
      </c>
      <c r="B141" s="1" t="s">
        <v>47</v>
      </c>
      <c r="C141" s="1" t="s">
        <v>23</v>
      </c>
      <c r="D141" s="1">
        <v>42.0</v>
      </c>
      <c r="E141" s="1">
        <v>40.0</v>
      </c>
      <c r="F141" s="1">
        <v>4.0</v>
      </c>
      <c r="G141" s="1">
        <v>7.0</v>
      </c>
      <c r="H141" s="1" t="s">
        <v>30</v>
      </c>
      <c r="I141" s="2">
        <v>45889.0</v>
      </c>
      <c r="J141" s="1">
        <v>550000.0</v>
      </c>
      <c r="K141" s="2">
        <v>45870.0</v>
      </c>
      <c r="L141" s="3" t="str">
        <f t="shared" si="1"/>
        <v>SKU-008|Tas Ransel Eiger|Fashion|42|40|4|7|SUP_FA02|2025-08-20|550000|2025-08-01</v>
      </c>
    </row>
    <row r="142">
      <c r="A142" s="1" t="s">
        <v>44</v>
      </c>
      <c r="B142" s="1" t="s">
        <v>45</v>
      </c>
      <c r="C142" s="1" t="s">
        <v>42</v>
      </c>
      <c r="D142" s="1">
        <v>35.0</v>
      </c>
      <c r="E142" s="1">
        <v>30.0</v>
      </c>
      <c r="F142" s="1">
        <v>5.0</v>
      </c>
      <c r="G142" s="1">
        <v>6.0</v>
      </c>
      <c r="H142" s="1" t="s">
        <v>43</v>
      </c>
      <c r="I142" s="2">
        <v>46048.0</v>
      </c>
      <c r="J142" s="1">
        <v>350000.0</v>
      </c>
      <c r="K142" s="2">
        <v>46023.0</v>
      </c>
      <c r="L142" s="3" t="str">
        <f t="shared" si="1"/>
        <v>SKU-012|Kipas Angin Cosmos 16in|Home &amp; Living|35|30|5|6|SUP_HM02|2026-01-26|350000|2026-01-01</v>
      </c>
    </row>
    <row r="143">
      <c r="A143" s="1" t="s">
        <v>46</v>
      </c>
      <c r="B143" s="1" t="s">
        <v>47</v>
      </c>
      <c r="C143" s="1" t="s">
        <v>23</v>
      </c>
      <c r="D143" s="1">
        <v>36.0</v>
      </c>
      <c r="E143" s="1">
        <v>40.0</v>
      </c>
      <c r="F143" s="1">
        <v>6.0</v>
      </c>
      <c r="G143" s="1">
        <v>4.0</v>
      </c>
      <c r="H143" s="1" t="s">
        <v>30</v>
      </c>
      <c r="I143" s="2">
        <v>46044.0</v>
      </c>
      <c r="J143" s="1">
        <v>550000.0</v>
      </c>
      <c r="K143" s="2">
        <v>46023.0</v>
      </c>
      <c r="L143" s="3" t="str">
        <f t="shared" si="1"/>
        <v>SKU-008|Tas Ransel Eiger|Fashion|36|40|6|4|SUP_FA02|2026-01-22|550000|2026-01-01</v>
      </c>
    </row>
    <row r="144">
      <c r="A144" s="1" t="s">
        <v>48</v>
      </c>
      <c r="B144" s="1" t="s">
        <v>49</v>
      </c>
      <c r="C144" s="1" t="s">
        <v>36</v>
      </c>
      <c r="D144" s="1">
        <v>87.0</v>
      </c>
      <c r="E144" s="1">
        <v>120.0</v>
      </c>
      <c r="F144" s="1">
        <v>18.0</v>
      </c>
      <c r="G144" s="1">
        <v>7.0</v>
      </c>
      <c r="H144" s="1" t="s">
        <v>50</v>
      </c>
      <c r="I144" s="2">
        <v>45748.0</v>
      </c>
      <c r="J144" s="1">
        <v>55000.0</v>
      </c>
      <c r="K144" s="2">
        <v>45748.0</v>
      </c>
      <c r="L144" s="3" t="str">
        <f t="shared" si="1"/>
        <v>SKU-020|Snack Granola Mix 500g|Food &amp; Beverage|87|120|18|7|SUP_FB02|2025-04-01|55000|2025-04-01</v>
      </c>
    </row>
    <row r="145">
      <c r="A145" s="1" t="s">
        <v>51</v>
      </c>
      <c r="B145" s="1" t="s">
        <v>52</v>
      </c>
      <c r="C145" s="1" t="s">
        <v>36</v>
      </c>
      <c r="D145" s="1">
        <v>35.0</v>
      </c>
      <c r="E145" s="1">
        <v>60.0</v>
      </c>
      <c r="F145" s="1">
        <v>6.0</v>
      </c>
      <c r="G145" s="1">
        <v>7.0</v>
      </c>
      <c r="H145" s="1" t="s">
        <v>50</v>
      </c>
      <c r="I145" s="2">
        <v>46221.0</v>
      </c>
      <c r="J145" s="1">
        <v>175000.0</v>
      </c>
      <c r="K145" s="2">
        <v>46023.0</v>
      </c>
      <c r="L145" s="3" t="str">
        <f t="shared" si="1"/>
        <v>SKU-019|Madu Hutan Asli 500ml|Food &amp; Beverage|35|60|6|7|SUP_FB02|2026-07-18|175000|2026-01-01</v>
      </c>
    </row>
    <row r="146">
      <c r="A146" s="1" t="s">
        <v>40</v>
      </c>
      <c r="B146" s="1" t="s">
        <v>41</v>
      </c>
      <c r="C146" s="1" t="s">
        <v>42</v>
      </c>
      <c r="D146" s="1">
        <v>32.0</v>
      </c>
      <c r="E146" s="1">
        <v>15.0</v>
      </c>
      <c r="F146" s="1">
        <v>1.0</v>
      </c>
      <c r="G146" s="1">
        <v>8.0</v>
      </c>
      <c r="H146" s="1" t="s">
        <v>43</v>
      </c>
      <c r="I146" s="2">
        <v>46079.0</v>
      </c>
      <c r="J146" s="1">
        <v>1200000.0</v>
      </c>
      <c r="K146" s="2">
        <v>46054.0</v>
      </c>
      <c r="L146" s="3" t="str">
        <f t="shared" si="1"/>
        <v>SKU-011|Vacuum Cleaner Deerma|Home &amp; Living|32|15|1|8|SUP_HM02|2026-02-26|1200000|2026-02-01</v>
      </c>
    </row>
    <row r="147">
      <c r="A147" s="1" t="s">
        <v>31</v>
      </c>
      <c r="B147" s="1" t="s">
        <v>32</v>
      </c>
      <c r="C147" s="1" t="s">
        <v>13</v>
      </c>
      <c r="D147" s="1">
        <v>139.0</v>
      </c>
      <c r="E147" s="1">
        <v>40.0</v>
      </c>
      <c r="F147" s="1">
        <v>2.0</v>
      </c>
      <c r="G147" s="1">
        <v>6.0</v>
      </c>
      <c r="H147" s="1" t="s">
        <v>33</v>
      </c>
      <c r="I147" s="2">
        <v>45845.0</v>
      </c>
      <c r="J147" s="1">
        <v>550000.0</v>
      </c>
      <c r="K147" s="2">
        <v>45839.0</v>
      </c>
      <c r="L147" s="3" t="str">
        <f t="shared" si="1"/>
        <v>SKU-013|Skincare Set Whitelab|Beauty|139|40|2|6|SUP_BT01|2025-07-07|550000|2025-07-01</v>
      </c>
    </row>
    <row r="148">
      <c r="A148" s="1" t="s">
        <v>31</v>
      </c>
      <c r="B148" s="1" t="s">
        <v>32</v>
      </c>
      <c r="C148" s="1" t="s">
        <v>13</v>
      </c>
      <c r="D148" s="1">
        <v>169.0</v>
      </c>
      <c r="E148" s="1">
        <v>40.0</v>
      </c>
      <c r="F148" s="1">
        <v>3.0</v>
      </c>
      <c r="G148" s="1">
        <v>4.0</v>
      </c>
      <c r="H148" s="1" t="s">
        <v>33</v>
      </c>
      <c r="I148" s="2">
        <v>46074.0</v>
      </c>
      <c r="J148" s="1">
        <v>550000.0</v>
      </c>
      <c r="K148" s="2">
        <v>46054.0</v>
      </c>
      <c r="L148" s="3" t="str">
        <f t="shared" si="1"/>
        <v>SKU-013|Skincare Set Whitelab|Beauty|169|40|3|4|SUP_BT01|2026-02-21|550000|2026-02-01</v>
      </c>
    </row>
    <row r="149">
      <c r="A149" s="1" t="s">
        <v>15</v>
      </c>
      <c r="B149" s="1" t="s">
        <v>16</v>
      </c>
      <c r="C149" s="1" t="s">
        <v>17</v>
      </c>
      <c r="D149" s="1">
        <v>25.0</v>
      </c>
      <c r="E149" s="1">
        <v>15.0</v>
      </c>
      <c r="F149" s="1">
        <v>2.0</v>
      </c>
      <c r="G149" s="1">
        <v>8.0</v>
      </c>
      <c r="H149" s="1" t="s">
        <v>18</v>
      </c>
      <c r="I149" s="2">
        <v>45718.0</v>
      </c>
      <c r="J149" s="1">
        <v>8500000.0</v>
      </c>
      <c r="K149" s="2">
        <v>45717.0</v>
      </c>
      <c r="L149" s="3" t="str">
        <f t="shared" si="1"/>
        <v>SKU-001|Laptop ASUS Vivobook|Electronics|25|15|2|8|SUP_EL01|2025-03-02|8500000|2025-03-01</v>
      </c>
    </row>
    <row r="150">
      <c r="A150" s="1" t="s">
        <v>46</v>
      </c>
      <c r="B150" s="1" t="s">
        <v>47</v>
      </c>
      <c r="C150" s="1" t="s">
        <v>23</v>
      </c>
      <c r="D150" s="1">
        <v>0.0</v>
      </c>
      <c r="E150" s="1">
        <v>40.0</v>
      </c>
      <c r="F150" s="1">
        <v>8.0</v>
      </c>
      <c r="G150" s="1">
        <v>8.0</v>
      </c>
      <c r="H150" s="1" t="s">
        <v>30</v>
      </c>
      <c r="I150" s="2">
        <v>45964.0</v>
      </c>
      <c r="J150" s="1">
        <v>550000.0</v>
      </c>
      <c r="K150" s="2">
        <v>45962.0</v>
      </c>
      <c r="L150" s="3" t="str">
        <f t="shared" si="1"/>
        <v>SKU-008|Tas Ransel Eiger|Fashion|0|40|8|8|SUP_FA02|2025-11-03|550000|2025-11-01</v>
      </c>
    </row>
    <row r="151">
      <c r="A151" s="1" t="s">
        <v>21</v>
      </c>
      <c r="B151" s="1" t="s">
        <v>22</v>
      </c>
      <c r="C151" s="1" t="s">
        <v>23</v>
      </c>
      <c r="D151" s="1">
        <v>28.0</v>
      </c>
      <c r="E151" s="1">
        <v>50.0</v>
      </c>
      <c r="F151" s="1">
        <v>7.0</v>
      </c>
      <c r="G151" s="1">
        <v>7.0</v>
      </c>
      <c r="H151" s="1" t="s">
        <v>24</v>
      </c>
      <c r="I151" s="2">
        <v>45939.0</v>
      </c>
      <c r="J151" s="1">
        <v>350000.0</v>
      </c>
      <c r="K151" s="2">
        <v>45931.0</v>
      </c>
      <c r="L151" s="3" t="str">
        <f t="shared" si="1"/>
        <v>SKU-005|Kemeja Formal Pria|Fashion|28|50|7|7|SUP_FA01|2025-10-09|350000|2025-10-01</v>
      </c>
    </row>
    <row r="152">
      <c r="A152" s="1" t="s">
        <v>11</v>
      </c>
      <c r="B152" s="1" t="s">
        <v>12</v>
      </c>
      <c r="C152" s="1" t="s">
        <v>13</v>
      </c>
      <c r="D152" s="1">
        <v>230.0</v>
      </c>
      <c r="E152" s="1">
        <v>50.0</v>
      </c>
      <c r="F152" s="1">
        <v>1.0</v>
      </c>
      <c r="G152" s="1">
        <v>4.0</v>
      </c>
      <c r="H152" s="1" t="s">
        <v>14</v>
      </c>
      <c r="I152" s="2">
        <v>45939.0</v>
      </c>
      <c r="J152" s="1">
        <v>125000.0</v>
      </c>
      <c r="K152" s="2">
        <v>45931.0</v>
      </c>
      <c r="L152" s="3" t="str">
        <f t="shared" si="1"/>
        <v>SKU-016|Parfum EDT Brasov 100ml|Beauty|230|50|1|4|SUP_BT02|2025-10-09|125000|2025-10-01</v>
      </c>
    </row>
    <row r="153">
      <c r="A153" s="1" t="s">
        <v>64</v>
      </c>
      <c r="B153" s="1" t="s">
        <v>65</v>
      </c>
      <c r="C153" s="1" t="s">
        <v>42</v>
      </c>
      <c r="D153" s="1">
        <v>27.0</v>
      </c>
      <c r="E153" s="1">
        <v>20.0</v>
      </c>
      <c r="F153" s="1">
        <v>3.0</v>
      </c>
      <c r="G153" s="1">
        <v>9.0</v>
      </c>
      <c r="H153" s="1" t="s">
        <v>59</v>
      </c>
      <c r="I153" s="2">
        <v>45673.0</v>
      </c>
      <c r="J153" s="1">
        <v>750000.0</v>
      </c>
      <c r="K153" s="2">
        <v>45658.0</v>
      </c>
      <c r="L153" s="3" t="str">
        <f t="shared" si="1"/>
        <v>SKU-009|Blender Philips HR2157|Home &amp; Living|27|20|3|9|SUP_HM01|2025-01-16|750000|2025-01-01</v>
      </c>
    </row>
    <row r="154">
      <c r="A154" s="1" t="s">
        <v>53</v>
      </c>
      <c r="B154" s="1" t="s">
        <v>54</v>
      </c>
      <c r="C154" s="1" t="s">
        <v>13</v>
      </c>
      <c r="D154" s="1">
        <v>305.0</v>
      </c>
      <c r="E154" s="1">
        <v>60.0</v>
      </c>
      <c r="F154" s="1">
        <v>4.0</v>
      </c>
      <c r="G154" s="1">
        <v>4.0</v>
      </c>
      <c r="H154" s="1" t="s">
        <v>14</v>
      </c>
      <c r="I154" s="2">
        <v>46068.0</v>
      </c>
      <c r="J154" s="1">
        <v>165000.0</v>
      </c>
      <c r="K154" s="2">
        <v>46054.0</v>
      </c>
      <c r="L154" s="3" t="str">
        <f t="shared" si="1"/>
        <v>SKU-015|Foundation Maybelline Fit|Beauty|305|60|4|4|SUP_BT02|2026-02-15|165000|2026-02-01</v>
      </c>
    </row>
    <row r="155">
      <c r="A155" s="1" t="s">
        <v>34</v>
      </c>
      <c r="B155" s="1" t="s">
        <v>35</v>
      </c>
      <c r="C155" s="1" t="s">
        <v>36</v>
      </c>
      <c r="D155" s="1">
        <v>56.0</v>
      </c>
      <c r="E155" s="1">
        <v>80.0</v>
      </c>
      <c r="F155" s="1">
        <v>18.0</v>
      </c>
      <c r="G155" s="1">
        <v>5.0</v>
      </c>
      <c r="H155" s="1" t="s">
        <v>37</v>
      </c>
      <c r="I155" s="2">
        <v>46110.0</v>
      </c>
      <c r="J155" s="1">
        <v>65000.0</v>
      </c>
      <c r="K155" s="2">
        <v>46082.0</v>
      </c>
      <c r="L155" s="3" t="str">
        <f t="shared" si="1"/>
        <v>SKU-018|Teh Organik Premium Box|Food &amp; Beverage|56|80|18|5|SUP_FB01|2026-03-29|65000|2026-03-01</v>
      </c>
    </row>
    <row r="156">
      <c r="A156" s="1" t="s">
        <v>64</v>
      </c>
      <c r="B156" s="1" t="s">
        <v>65</v>
      </c>
      <c r="C156" s="1" t="s">
        <v>42</v>
      </c>
      <c r="D156" s="1">
        <v>42.0</v>
      </c>
      <c r="E156" s="1">
        <v>20.0</v>
      </c>
      <c r="F156" s="1">
        <v>1.0</v>
      </c>
      <c r="G156" s="1">
        <v>10.0</v>
      </c>
      <c r="H156" s="1" t="s">
        <v>59</v>
      </c>
      <c r="I156" s="2">
        <v>45884.0</v>
      </c>
      <c r="J156" s="1">
        <v>750000.0</v>
      </c>
      <c r="K156" s="2">
        <v>45870.0</v>
      </c>
      <c r="L156" s="3" t="str">
        <f t="shared" si="1"/>
        <v>SKU-009|Blender Philips HR2157|Home &amp; Living|42|20|1|10|SUP_HM01|2025-08-15|750000|2025-08-01</v>
      </c>
    </row>
    <row r="157">
      <c r="A157" s="1" t="s">
        <v>21</v>
      </c>
      <c r="B157" s="1" t="s">
        <v>22</v>
      </c>
      <c r="C157" s="1" t="s">
        <v>23</v>
      </c>
      <c r="D157" s="1">
        <v>0.0</v>
      </c>
      <c r="E157" s="1">
        <v>50.0</v>
      </c>
      <c r="F157" s="1">
        <v>14.0</v>
      </c>
      <c r="G157" s="1">
        <v>5.0</v>
      </c>
      <c r="H157" s="1" t="s">
        <v>24</v>
      </c>
      <c r="I157" s="2">
        <v>46101.0</v>
      </c>
      <c r="J157" s="1">
        <v>350000.0</v>
      </c>
      <c r="K157" s="2">
        <v>46082.0</v>
      </c>
      <c r="L157" s="3" t="str">
        <f t="shared" si="1"/>
        <v>SKU-005|Kemeja Formal Pria|Fashion|0|50|14|5|SUP_FA01|2026-03-20|350000|2026-03-01</v>
      </c>
    </row>
    <row r="158">
      <c r="A158" s="1" t="s">
        <v>25</v>
      </c>
      <c r="B158" s="1" t="s">
        <v>26</v>
      </c>
      <c r="C158" s="1" t="s">
        <v>17</v>
      </c>
      <c r="D158" s="1">
        <v>23.0</v>
      </c>
      <c r="E158" s="1">
        <v>25.0</v>
      </c>
      <c r="F158" s="1">
        <v>6.0</v>
      </c>
      <c r="G158" s="1">
        <v>10.0</v>
      </c>
      <c r="H158" s="1" t="s">
        <v>27</v>
      </c>
      <c r="I158" s="2">
        <v>46109.0</v>
      </c>
      <c r="J158" s="1">
        <v>4500000.0</v>
      </c>
      <c r="K158" s="2">
        <v>46082.0</v>
      </c>
      <c r="L158" s="3" t="str">
        <f t="shared" si="1"/>
        <v>SKU-002|Smartphone Samsung A54|Electronics|23|25|6|10|SUP_EL02|2026-03-28|4500000|2026-03-01</v>
      </c>
    </row>
    <row r="159">
      <c r="A159" s="1" t="s">
        <v>38</v>
      </c>
      <c r="B159" s="1" t="s">
        <v>39</v>
      </c>
      <c r="C159" s="1" t="s">
        <v>23</v>
      </c>
      <c r="D159" s="1">
        <v>17.0</v>
      </c>
      <c r="E159" s="1">
        <v>45.0</v>
      </c>
      <c r="F159" s="1">
        <v>7.0</v>
      </c>
      <c r="G159" s="1">
        <v>3.0</v>
      </c>
      <c r="H159" s="1" t="s">
        <v>24</v>
      </c>
      <c r="I159" s="2">
        <v>45910.0</v>
      </c>
      <c r="J159" s="1">
        <v>450000.0</v>
      </c>
      <c r="K159" s="2">
        <v>45901.0</v>
      </c>
      <c r="L159" s="3" t="str">
        <f t="shared" si="1"/>
        <v>SKU-006|Dress Casual Wanita|Fashion|17|45|7|3|SUP_FA01|2025-09-10|450000|2025-09-01</v>
      </c>
    </row>
    <row r="160">
      <c r="A160" s="1" t="s">
        <v>48</v>
      </c>
      <c r="B160" s="1" t="s">
        <v>49</v>
      </c>
      <c r="C160" s="1" t="s">
        <v>36</v>
      </c>
      <c r="D160" s="1">
        <v>30.0</v>
      </c>
      <c r="E160" s="1">
        <v>120.0</v>
      </c>
      <c r="F160" s="1">
        <v>18.0</v>
      </c>
      <c r="G160" s="1">
        <v>4.0</v>
      </c>
      <c r="H160" s="1" t="s">
        <v>50</v>
      </c>
      <c r="I160" s="2">
        <v>46053.0</v>
      </c>
      <c r="J160" s="1">
        <v>55000.0</v>
      </c>
      <c r="K160" s="2">
        <v>46023.0</v>
      </c>
      <c r="L160" s="3" t="str">
        <f t="shared" si="1"/>
        <v>SKU-020|Snack Granola Mix 500g|Food &amp; Beverage|30|120|18|4|SUP_FB02|2026-01-31|55000|2026-01-01</v>
      </c>
    </row>
    <row r="161">
      <c r="A161" s="1" t="s">
        <v>46</v>
      </c>
      <c r="B161" s="1" t="s">
        <v>47</v>
      </c>
      <c r="C161" s="1" t="s">
        <v>23</v>
      </c>
      <c r="D161" s="1">
        <v>0.0</v>
      </c>
      <c r="E161" s="1">
        <v>40.0</v>
      </c>
      <c r="F161" s="1">
        <v>9.0</v>
      </c>
      <c r="G161" s="1">
        <v>8.0</v>
      </c>
      <c r="H161" s="1" t="s">
        <v>30</v>
      </c>
      <c r="I161" s="2">
        <v>45730.0</v>
      </c>
      <c r="J161" s="1">
        <v>550000.0</v>
      </c>
      <c r="K161" s="2">
        <v>45717.0</v>
      </c>
      <c r="L161" s="3" t="str">
        <f t="shared" si="1"/>
        <v>SKU-008|Tas Ransel Eiger|Fashion|0|40|9|8|SUP_FA02|2025-03-14|550000|2025-03-01</v>
      </c>
    </row>
    <row r="162">
      <c r="A162" s="1" t="s">
        <v>55</v>
      </c>
      <c r="B162" s="1" t="s">
        <v>56</v>
      </c>
      <c r="C162" s="1" t="s">
        <v>36</v>
      </c>
      <c r="D162" s="1">
        <v>92.0</v>
      </c>
      <c r="E162" s="1">
        <v>100.0</v>
      </c>
      <c r="F162" s="1">
        <v>15.0</v>
      </c>
      <c r="G162" s="1">
        <v>5.0</v>
      </c>
      <c r="H162" s="1" t="s">
        <v>37</v>
      </c>
      <c r="I162" s="2">
        <v>45897.0</v>
      </c>
      <c r="J162" s="1">
        <v>85000.0</v>
      </c>
      <c r="K162" s="2">
        <v>45870.0</v>
      </c>
      <c r="L162" s="3" t="str">
        <f t="shared" si="1"/>
        <v>SKU-017|Kopi Arabika 250g Pack|Food &amp; Beverage|92|100|15|5|SUP_FB01|2025-08-28|85000|2025-08-01</v>
      </c>
    </row>
    <row r="163">
      <c r="A163" s="1" t="s">
        <v>48</v>
      </c>
      <c r="B163" s="1" t="s">
        <v>49</v>
      </c>
      <c r="C163" s="1" t="s">
        <v>36</v>
      </c>
      <c r="D163" s="1">
        <v>39.0</v>
      </c>
      <c r="E163" s="1">
        <v>120.0</v>
      </c>
      <c r="F163" s="1">
        <v>19.0</v>
      </c>
      <c r="G163" s="1">
        <v>3.0</v>
      </c>
      <c r="H163" s="1" t="s">
        <v>50</v>
      </c>
      <c r="I163" s="2">
        <v>45936.0</v>
      </c>
      <c r="J163" s="1">
        <v>55000.0</v>
      </c>
      <c r="K163" s="2">
        <v>45931.0</v>
      </c>
      <c r="L163" s="3" t="str">
        <f t="shared" si="1"/>
        <v>SKU-020|Snack Granola Mix 500g|Food &amp; Beverage|39|120|19|3|SUP_FB02|2025-10-06|55000|2025-10-01</v>
      </c>
    </row>
    <row r="164">
      <c r="A164" s="1" t="s">
        <v>64</v>
      </c>
      <c r="B164" s="1" t="s">
        <v>65</v>
      </c>
      <c r="C164" s="1" t="s">
        <v>42</v>
      </c>
      <c r="D164" s="1">
        <v>29.0</v>
      </c>
      <c r="E164" s="1">
        <v>20.0</v>
      </c>
      <c r="F164" s="1">
        <v>3.0</v>
      </c>
      <c r="G164" s="1">
        <v>9.0</v>
      </c>
      <c r="H164" s="1" t="s">
        <v>59</v>
      </c>
      <c r="I164" s="2">
        <v>46076.0</v>
      </c>
      <c r="J164" s="1">
        <v>750000.0</v>
      </c>
      <c r="K164" s="2">
        <v>46054.0</v>
      </c>
      <c r="L164" s="3" t="str">
        <f t="shared" si="1"/>
        <v>SKU-009|Blender Philips HR2157|Home &amp; Living|29|20|3|9|SUP_HM01|2026-02-23|750000|2026-02-01</v>
      </c>
    </row>
    <row r="165">
      <c r="A165" s="1" t="s">
        <v>34</v>
      </c>
      <c r="B165" s="1" t="s">
        <v>35</v>
      </c>
      <c r="C165" s="1" t="s">
        <v>36</v>
      </c>
      <c r="D165" s="1">
        <v>40.0</v>
      </c>
      <c r="E165" s="1">
        <v>80.0</v>
      </c>
      <c r="F165" s="1">
        <v>12.0</v>
      </c>
      <c r="G165" s="1">
        <v>3.0</v>
      </c>
      <c r="H165" s="1" t="s">
        <v>37</v>
      </c>
      <c r="I165" s="2">
        <v>45673.0</v>
      </c>
      <c r="J165" s="1">
        <v>65000.0</v>
      </c>
      <c r="K165" s="2">
        <v>45658.0</v>
      </c>
      <c r="L165" s="3" t="str">
        <f t="shared" si="1"/>
        <v>SKU-018|Teh Organik Premium Box|Food &amp; Beverage|40|80|12|3|SUP_FB01|2025-01-16|65000|2025-01-01</v>
      </c>
    </row>
    <row r="166">
      <c r="A166" s="1" t="s">
        <v>11</v>
      </c>
      <c r="B166" s="1" t="s">
        <v>12</v>
      </c>
      <c r="C166" s="1" t="s">
        <v>13</v>
      </c>
      <c r="D166" s="1">
        <v>261.0</v>
      </c>
      <c r="E166" s="1">
        <v>50.0</v>
      </c>
      <c r="F166" s="1">
        <v>2.0</v>
      </c>
      <c r="G166" s="1">
        <v>5.0</v>
      </c>
      <c r="H166" s="1" t="s">
        <v>14</v>
      </c>
      <c r="I166" s="2">
        <v>45787.0</v>
      </c>
      <c r="J166" s="1">
        <v>125000.0</v>
      </c>
      <c r="K166" s="2">
        <v>45778.0</v>
      </c>
      <c r="L166" s="3" t="str">
        <f t="shared" si="1"/>
        <v>SKU-016|Parfum EDT Brasov 100ml|Beauty|261|50|2|5|SUP_BT02|2025-05-10|125000|2025-05-01</v>
      </c>
    </row>
    <row r="167">
      <c r="A167" s="1" t="s">
        <v>21</v>
      </c>
      <c r="B167" s="1" t="s">
        <v>22</v>
      </c>
      <c r="C167" s="1" t="s">
        <v>23</v>
      </c>
      <c r="D167" s="1">
        <v>42.0</v>
      </c>
      <c r="E167" s="1">
        <v>50.0</v>
      </c>
      <c r="F167" s="1">
        <v>6.0</v>
      </c>
      <c r="G167" s="1">
        <v>4.0</v>
      </c>
      <c r="H167" s="1" t="s">
        <v>24</v>
      </c>
      <c r="I167" s="2">
        <v>45817.0</v>
      </c>
      <c r="J167" s="1">
        <v>350000.0</v>
      </c>
      <c r="K167" s="2">
        <v>45809.0</v>
      </c>
      <c r="L167" s="3" t="str">
        <f t="shared" si="1"/>
        <v>SKU-005|Kemeja Formal Pria|Fashion|42|50|6|4|SUP_FA01|2025-06-09|350000|2025-06-01</v>
      </c>
    </row>
    <row r="168">
      <c r="A168" s="1" t="s">
        <v>53</v>
      </c>
      <c r="B168" s="1" t="s">
        <v>54</v>
      </c>
      <c r="C168" s="1" t="s">
        <v>13</v>
      </c>
      <c r="D168" s="1">
        <v>188.0</v>
      </c>
      <c r="E168" s="1">
        <v>60.0</v>
      </c>
      <c r="F168" s="1">
        <v>3.0</v>
      </c>
      <c r="G168" s="1">
        <v>4.0</v>
      </c>
      <c r="H168" s="1" t="s">
        <v>14</v>
      </c>
      <c r="I168" s="2">
        <v>45659.0</v>
      </c>
      <c r="J168" s="1">
        <v>165000.0</v>
      </c>
      <c r="K168" s="2">
        <v>45658.0</v>
      </c>
      <c r="L168" s="3" t="str">
        <f t="shared" si="1"/>
        <v>SKU-015|Foundation Maybelline Fit|Beauty|188|60|3|4|SUP_BT02|2025-01-02|165000|2025-01-01</v>
      </c>
    </row>
    <row r="169">
      <c r="A169" s="1" t="s">
        <v>38</v>
      </c>
      <c r="B169" s="1" t="s">
        <v>39</v>
      </c>
      <c r="C169" s="1" t="s">
        <v>23</v>
      </c>
      <c r="D169" s="1">
        <v>0.0</v>
      </c>
      <c r="E169" s="1">
        <v>45.0</v>
      </c>
      <c r="F169" s="1">
        <v>12.0</v>
      </c>
      <c r="G169" s="1">
        <v>4.0</v>
      </c>
      <c r="H169" s="1" t="s">
        <v>24</v>
      </c>
      <c r="I169" s="2">
        <v>45983.0</v>
      </c>
      <c r="J169" s="1">
        <v>450000.0</v>
      </c>
      <c r="K169" s="2">
        <v>45962.0</v>
      </c>
      <c r="L169" s="3" t="str">
        <f t="shared" si="1"/>
        <v>SKU-006|Dress Casual Wanita|Fashion|0|45|12|4|SUP_FA01|2025-11-22|450000|2025-11-01</v>
      </c>
    </row>
    <row r="170">
      <c r="A170" s="1" t="s">
        <v>11</v>
      </c>
      <c r="B170" s="1" t="s">
        <v>12</v>
      </c>
      <c r="C170" s="1" t="s">
        <v>13</v>
      </c>
      <c r="D170" s="1">
        <v>252.0</v>
      </c>
      <c r="E170" s="1">
        <v>50.0</v>
      </c>
      <c r="F170" s="1">
        <v>3.0</v>
      </c>
      <c r="G170" s="1">
        <v>7.0</v>
      </c>
      <c r="H170" s="1" t="s">
        <v>14</v>
      </c>
      <c r="I170" s="2">
        <v>45713.0</v>
      </c>
      <c r="J170" s="1">
        <v>125000.0</v>
      </c>
      <c r="K170" s="2">
        <v>45689.0</v>
      </c>
      <c r="L170" s="3" t="str">
        <f t="shared" si="1"/>
        <v>SKU-016|Parfum EDT Brasov 100ml|Beauty|252|50|3|7|SUP_BT02|2025-02-25|125000|2025-02-01</v>
      </c>
    </row>
    <row r="171">
      <c r="A171" s="1" t="s">
        <v>40</v>
      </c>
      <c r="B171" s="1" t="s">
        <v>41</v>
      </c>
      <c r="C171" s="1" t="s">
        <v>42</v>
      </c>
      <c r="D171" s="1">
        <v>13.0</v>
      </c>
      <c r="E171" s="1">
        <v>15.0</v>
      </c>
      <c r="F171" s="1">
        <v>3.0</v>
      </c>
      <c r="G171" s="1">
        <v>6.0</v>
      </c>
      <c r="H171" s="1" t="s">
        <v>43</v>
      </c>
      <c r="I171" s="2">
        <v>45949.0</v>
      </c>
      <c r="J171" s="1">
        <v>1200000.0</v>
      </c>
      <c r="K171" s="2">
        <v>45931.0</v>
      </c>
      <c r="L171" s="3" t="str">
        <f t="shared" si="1"/>
        <v>SKU-011|Vacuum Cleaner Deerma|Home &amp; Living|13|15|3|6|SUP_HM02|2025-10-19|1200000|2025-10-01</v>
      </c>
    </row>
    <row r="172">
      <c r="A172" s="1" t="s">
        <v>15</v>
      </c>
      <c r="B172" s="1" t="s">
        <v>16</v>
      </c>
      <c r="C172" s="1" t="s">
        <v>17</v>
      </c>
      <c r="D172" s="1">
        <v>28.0</v>
      </c>
      <c r="E172" s="1">
        <v>15.0</v>
      </c>
      <c r="F172" s="1">
        <v>1.0</v>
      </c>
      <c r="G172" s="1">
        <v>7.0</v>
      </c>
      <c r="H172" s="1" t="s">
        <v>18</v>
      </c>
      <c r="I172" s="2">
        <v>46041.0</v>
      </c>
      <c r="J172" s="1">
        <v>8500000.0</v>
      </c>
      <c r="K172" s="2">
        <v>46023.0</v>
      </c>
      <c r="L172" s="3" t="str">
        <f t="shared" si="1"/>
        <v>SKU-001|Laptop ASUS Vivobook|Electronics|28|15|1|7|SUP_EL01|2026-01-19|8500000|2026-01-01</v>
      </c>
    </row>
    <row r="173">
      <c r="A173" s="1" t="s">
        <v>60</v>
      </c>
      <c r="B173" s="1" t="s">
        <v>61</v>
      </c>
      <c r="C173" s="1" t="s">
        <v>17</v>
      </c>
      <c r="D173" s="1">
        <v>33.0</v>
      </c>
      <c r="E173" s="1">
        <v>20.0</v>
      </c>
      <c r="F173" s="1">
        <v>1.0</v>
      </c>
      <c r="G173" s="1">
        <v>12.0</v>
      </c>
      <c r="H173" s="1" t="s">
        <v>27</v>
      </c>
      <c r="I173" s="2">
        <v>45817.0</v>
      </c>
      <c r="J173" s="1">
        <v>3200000.0</v>
      </c>
      <c r="K173" s="2">
        <v>45809.0</v>
      </c>
      <c r="L173" s="3" t="str">
        <f t="shared" si="1"/>
        <v>SKU-003|Headphone Sony WH-1000|Electronics|33|20|1|12|SUP_EL02|2025-06-09|3200000|2025-06-01</v>
      </c>
    </row>
    <row r="174">
      <c r="A174" s="1" t="s">
        <v>25</v>
      </c>
      <c r="B174" s="1" t="s">
        <v>26</v>
      </c>
      <c r="C174" s="1" t="s">
        <v>17</v>
      </c>
      <c r="D174" s="1">
        <v>15.0</v>
      </c>
      <c r="E174" s="1">
        <v>25.0</v>
      </c>
      <c r="F174" s="1">
        <v>4.0</v>
      </c>
      <c r="G174" s="1">
        <v>15.0</v>
      </c>
      <c r="H174" s="1" t="s">
        <v>27</v>
      </c>
      <c r="I174" s="2">
        <v>46070.0</v>
      </c>
      <c r="J174" s="1">
        <v>4500000.0</v>
      </c>
      <c r="K174" s="2">
        <v>46054.0</v>
      </c>
      <c r="L174" s="3" t="str">
        <f t="shared" si="1"/>
        <v>SKU-002|Smartphone Samsung A54|Electronics|15|25|4|15|SUP_EL02|2026-02-17|4500000|2026-02-01</v>
      </c>
    </row>
    <row r="175">
      <c r="A175" s="1" t="s">
        <v>44</v>
      </c>
      <c r="B175" s="1" t="s">
        <v>45</v>
      </c>
      <c r="C175" s="1" t="s">
        <v>42</v>
      </c>
      <c r="D175" s="1">
        <v>39.0</v>
      </c>
      <c r="E175" s="1">
        <v>30.0</v>
      </c>
      <c r="F175" s="1">
        <v>6.0</v>
      </c>
      <c r="G175" s="1">
        <v>10.0</v>
      </c>
      <c r="H175" s="1" t="s">
        <v>43</v>
      </c>
      <c r="I175" s="2">
        <v>45838.0</v>
      </c>
      <c r="J175" s="1">
        <v>350000.0</v>
      </c>
      <c r="K175" s="2">
        <v>45809.0</v>
      </c>
      <c r="L175" s="3" t="str">
        <f t="shared" si="1"/>
        <v>SKU-012|Kipas Angin Cosmos 16in|Home &amp; Living|39|30|6|10|SUP_HM02|2025-06-30|350000|2025-06-01</v>
      </c>
    </row>
    <row r="176">
      <c r="A176" s="1" t="s">
        <v>57</v>
      </c>
      <c r="B176" s="1" t="s">
        <v>58</v>
      </c>
      <c r="C176" s="1" t="s">
        <v>42</v>
      </c>
      <c r="D176" s="1">
        <v>43.0</v>
      </c>
      <c r="E176" s="1">
        <v>25.0</v>
      </c>
      <c r="F176" s="1">
        <v>4.0</v>
      </c>
      <c r="G176" s="1">
        <v>7.0</v>
      </c>
      <c r="H176" s="1" t="s">
        <v>59</v>
      </c>
      <c r="I176" s="2">
        <v>45896.0</v>
      </c>
      <c r="J176" s="1">
        <v>450000.0</v>
      </c>
      <c r="K176" s="2">
        <v>45870.0</v>
      </c>
      <c r="L176" s="3" t="str">
        <f t="shared" si="1"/>
        <v>SKU-010|Rice Cooker Miyako 1.8L|Home &amp; Living|43|25|4|7|SUP_HM01|2025-08-27|450000|2025-08-01</v>
      </c>
    </row>
    <row r="177">
      <c r="A177" s="1" t="s">
        <v>62</v>
      </c>
      <c r="B177" s="1" t="s">
        <v>63</v>
      </c>
      <c r="C177" s="1" t="s">
        <v>13</v>
      </c>
      <c r="D177" s="1">
        <v>472.0</v>
      </c>
      <c r="E177" s="1">
        <v>80.0</v>
      </c>
      <c r="F177" s="1">
        <v>3.0</v>
      </c>
      <c r="G177" s="1">
        <v>4.0</v>
      </c>
      <c r="H177" s="1" t="s">
        <v>33</v>
      </c>
      <c r="I177" s="2">
        <v>45900.0</v>
      </c>
      <c r="J177" s="1">
        <v>85000.0</v>
      </c>
      <c r="K177" s="2">
        <v>45870.0</v>
      </c>
      <c r="L177" s="3" t="str">
        <f t="shared" si="1"/>
        <v>SKU-014|Lipstik Matte Wardah|Beauty|472|80|3|4|SUP_BT01|2025-08-31|85000|2025-08-01</v>
      </c>
    </row>
    <row r="178">
      <c r="A178" s="1" t="s">
        <v>64</v>
      </c>
      <c r="B178" s="1" t="s">
        <v>65</v>
      </c>
      <c r="C178" s="1" t="s">
        <v>42</v>
      </c>
      <c r="D178" s="1">
        <v>14.0</v>
      </c>
      <c r="E178" s="1">
        <v>20.0</v>
      </c>
      <c r="F178" s="1">
        <v>2.0</v>
      </c>
      <c r="G178" s="1">
        <v>8.0</v>
      </c>
      <c r="H178" s="1" t="s">
        <v>59</v>
      </c>
      <c r="I178" s="2">
        <v>45999.0</v>
      </c>
      <c r="J178" s="1">
        <v>750000.0</v>
      </c>
      <c r="K178" s="2">
        <v>45992.0</v>
      </c>
      <c r="L178" s="3" t="str">
        <f t="shared" si="1"/>
        <v>SKU-009|Blender Philips HR2157|Home &amp; Living|14|20|2|8|SUP_HM01|2025-12-08|750000|2025-12-01</v>
      </c>
    </row>
    <row r="179">
      <c r="A179" s="1" t="s">
        <v>44</v>
      </c>
      <c r="B179" s="1" t="s">
        <v>45</v>
      </c>
      <c r="C179" s="1" t="s">
        <v>42</v>
      </c>
      <c r="D179" s="1">
        <v>57.0</v>
      </c>
      <c r="E179" s="1">
        <v>30.0</v>
      </c>
      <c r="F179" s="1">
        <v>5.0</v>
      </c>
      <c r="G179" s="1">
        <v>4.0</v>
      </c>
      <c r="H179" s="1" t="s">
        <v>43</v>
      </c>
      <c r="I179" s="2">
        <v>46098.0</v>
      </c>
      <c r="J179" s="1">
        <v>350000.0</v>
      </c>
      <c r="K179" s="2">
        <v>46082.0</v>
      </c>
      <c r="L179" s="3" t="str">
        <f t="shared" si="1"/>
        <v>SKU-012|Kipas Angin Cosmos 16in|Home &amp; Living|57|30|5|4|SUP_HM02|2026-03-17|350000|2026-03-01</v>
      </c>
    </row>
    <row r="180">
      <c r="A180" s="1" t="s">
        <v>19</v>
      </c>
      <c r="B180" s="1" t="s">
        <v>20</v>
      </c>
      <c r="C180" s="1" t="s">
        <v>17</v>
      </c>
      <c r="D180" s="1">
        <v>1.0</v>
      </c>
      <c r="E180" s="1">
        <v>30.0</v>
      </c>
      <c r="F180" s="1">
        <v>4.0</v>
      </c>
      <c r="G180" s="1">
        <v>5.0</v>
      </c>
      <c r="H180" s="1" t="s">
        <v>18</v>
      </c>
      <c r="I180" s="2">
        <v>45868.0</v>
      </c>
      <c r="J180" s="1">
        <v>1200000.0</v>
      </c>
      <c r="K180" s="2">
        <v>45839.0</v>
      </c>
      <c r="L180" s="3" t="str">
        <f t="shared" si="1"/>
        <v>SKU-004|Smartwatch Xiaomi Band|Electronics|1|30|4|5|SUP_EL01|2025-07-30|1200000|2025-07-01</v>
      </c>
    </row>
    <row r="181">
      <c r="A181" s="1" t="s">
        <v>28</v>
      </c>
      <c r="B181" s="1" t="s">
        <v>29</v>
      </c>
      <c r="C181" s="1" t="s">
        <v>23</v>
      </c>
      <c r="D181" s="1">
        <v>27.0</v>
      </c>
      <c r="E181" s="1">
        <v>35.0</v>
      </c>
      <c r="F181" s="1">
        <v>4.0</v>
      </c>
      <c r="G181" s="1">
        <v>5.0</v>
      </c>
      <c r="H181" s="1" t="s">
        <v>30</v>
      </c>
      <c r="I181" s="2">
        <v>45817.0</v>
      </c>
      <c r="J181" s="1">
        <v>1250000.0</v>
      </c>
      <c r="K181" s="2">
        <v>45809.0</v>
      </c>
      <c r="L181" s="3" t="str">
        <f t="shared" si="1"/>
        <v>SKU-007|Sepatu Sneakers Nike|Fashion|27|35|4|5|SUP_FA02|2025-06-09|1250000|2025-06-01</v>
      </c>
    </row>
    <row r="182">
      <c r="A182" s="1" t="s">
        <v>53</v>
      </c>
      <c r="B182" s="1" t="s">
        <v>54</v>
      </c>
      <c r="C182" s="1" t="s">
        <v>13</v>
      </c>
      <c r="D182" s="1">
        <v>240.0</v>
      </c>
      <c r="E182" s="1">
        <v>60.0</v>
      </c>
      <c r="F182" s="1">
        <v>2.0</v>
      </c>
      <c r="G182" s="1">
        <v>6.0</v>
      </c>
      <c r="H182" s="1" t="s">
        <v>14</v>
      </c>
      <c r="I182" s="2">
        <v>46187.0</v>
      </c>
      <c r="J182" s="1">
        <v>165000.0</v>
      </c>
      <c r="K182" s="2">
        <v>45962.0</v>
      </c>
      <c r="L182" s="3" t="str">
        <f t="shared" si="1"/>
        <v>SKU-015|Foundation Maybelline Fit|Beauty|240|60|2|6|SUP_BT02|2026-06-14|165000|2025-11-01</v>
      </c>
    </row>
    <row r="183">
      <c r="A183" s="1" t="s">
        <v>44</v>
      </c>
      <c r="B183" s="1" t="s">
        <v>45</v>
      </c>
      <c r="C183" s="1" t="s">
        <v>42</v>
      </c>
      <c r="D183" s="1">
        <v>60.0</v>
      </c>
      <c r="E183" s="1">
        <v>30.0</v>
      </c>
      <c r="F183" s="1">
        <v>4.0</v>
      </c>
      <c r="G183" s="1">
        <v>9.0</v>
      </c>
      <c r="H183" s="1" t="s">
        <v>43</v>
      </c>
      <c r="I183" s="2">
        <v>46062.0</v>
      </c>
      <c r="J183" s="1">
        <v>350000.0</v>
      </c>
      <c r="K183" s="2">
        <v>46054.0</v>
      </c>
      <c r="L183" s="3" t="str">
        <f t="shared" si="1"/>
        <v>SKU-012|Kipas Angin Cosmos 16in|Home &amp; Living|60|30|4|9|SUP_HM02|2026-02-09|350000|2026-02-01</v>
      </c>
    </row>
    <row r="184">
      <c r="A184" s="1" t="s">
        <v>11</v>
      </c>
      <c r="B184" s="1" t="s">
        <v>12</v>
      </c>
      <c r="C184" s="1" t="s">
        <v>13</v>
      </c>
      <c r="D184" s="1">
        <v>216.0</v>
      </c>
      <c r="E184" s="1">
        <v>50.0</v>
      </c>
      <c r="F184" s="1">
        <v>1.0</v>
      </c>
      <c r="G184" s="1">
        <v>8.0</v>
      </c>
      <c r="H184" s="1" t="s">
        <v>14</v>
      </c>
      <c r="I184" s="2">
        <v>45905.0</v>
      </c>
      <c r="J184" s="1">
        <v>125000.0</v>
      </c>
      <c r="K184" s="2">
        <v>45901.0</v>
      </c>
      <c r="L184" s="3" t="str">
        <f t="shared" si="1"/>
        <v>SKU-016|Parfum EDT Brasov 100ml|Beauty|216|50|1|8|SUP_BT02|2025-09-05|125000|2025-09-01</v>
      </c>
    </row>
    <row r="185">
      <c r="A185" s="1" t="s">
        <v>60</v>
      </c>
      <c r="B185" s="1" t="s">
        <v>61</v>
      </c>
      <c r="C185" s="1" t="s">
        <v>17</v>
      </c>
      <c r="D185" s="1">
        <v>-17.0</v>
      </c>
      <c r="E185" s="1">
        <v>20.0</v>
      </c>
      <c r="F185" s="1">
        <v>5.0</v>
      </c>
      <c r="G185" s="1">
        <v>22.0</v>
      </c>
      <c r="H185" s="1" t="s">
        <v>27</v>
      </c>
      <c r="I185" s="2">
        <v>45998.0</v>
      </c>
      <c r="J185" s="1">
        <v>3200000.0</v>
      </c>
      <c r="K185" s="2">
        <v>45992.0</v>
      </c>
      <c r="L185" s="3" t="str">
        <f t="shared" si="1"/>
        <v>SKU-003|Headphone Sony WH-1000|Electronics|-17|20|5|22|SUP_EL02|2025-12-07|3200000|2025-12-01</v>
      </c>
    </row>
    <row r="186">
      <c r="A186" s="1" t="s">
        <v>38</v>
      </c>
      <c r="B186" s="1" t="s">
        <v>39</v>
      </c>
      <c r="C186" s="1" t="s">
        <v>23</v>
      </c>
      <c r="D186" s="1">
        <v>0.0</v>
      </c>
      <c r="E186" s="1">
        <v>45.0</v>
      </c>
      <c r="F186" s="1">
        <v>14.0</v>
      </c>
      <c r="G186" s="1">
        <v>6.0</v>
      </c>
      <c r="H186" s="1" t="s">
        <v>24</v>
      </c>
      <c r="I186" s="2">
        <v>46107.0</v>
      </c>
      <c r="J186" s="1">
        <v>450000.0</v>
      </c>
      <c r="K186" s="2">
        <v>46082.0</v>
      </c>
      <c r="L186" s="3" t="str">
        <f t="shared" si="1"/>
        <v>SKU-006|Dress Casual Wanita|Fashion|0|45|14|6|SUP_FA01|2026-03-26|450000|2026-03-01</v>
      </c>
    </row>
    <row r="187">
      <c r="A187" s="1" t="s">
        <v>11</v>
      </c>
      <c r="B187" s="1" t="s">
        <v>12</v>
      </c>
      <c r="C187" s="1" t="s">
        <v>13</v>
      </c>
      <c r="D187" s="1">
        <v>157.0</v>
      </c>
      <c r="E187" s="1">
        <v>50.0</v>
      </c>
      <c r="F187" s="1">
        <v>1.0</v>
      </c>
      <c r="G187" s="1">
        <v>4.0</v>
      </c>
      <c r="H187" s="1" t="s">
        <v>14</v>
      </c>
      <c r="I187" s="2">
        <v>45823.0</v>
      </c>
      <c r="J187" s="1">
        <v>125000.0</v>
      </c>
      <c r="K187" s="2">
        <v>45809.0</v>
      </c>
      <c r="L187" s="3" t="str">
        <f t="shared" si="1"/>
        <v>SKU-016|Parfum EDT Brasov 100ml|Beauty|157|50|1|4|SUP_BT02|2025-06-15|125000|2025-06-01</v>
      </c>
    </row>
    <row r="188">
      <c r="A188" s="1" t="s">
        <v>57</v>
      </c>
      <c r="B188" s="1" t="s">
        <v>58</v>
      </c>
      <c r="C188" s="1" t="s">
        <v>42</v>
      </c>
      <c r="D188" s="1">
        <v>42.0</v>
      </c>
      <c r="E188" s="1">
        <v>25.0</v>
      </c>
      <c r="F188" s="1">
        <v>5.0</v>
      </c>
      <c r="G188" s="1">
        <v>10.0</v>
      </c>
      <c r="H188" s="1" t="s">
        <v>59</v>
      </c>
      <c r="I188" s="2">
        <v>45711.0</v>
      </c>
      <c r="J188" s="1">
        <v>450000.0</v>
      </c>
      <c r="K188" s="2">
        <v>45689.0</v>
      </c>
      <c r="L188" s="3" t="str">
        <f t="shared" si="1"/>
        <v>SKU-010|Rice Cooker Miyako 1.8L|Home &amp; Living|42|25|5|10|SUP_HM01|2025-02-23|450000|2025-02-01</v>
      </c>
    </row>
    <row r="189">
      <c r="A189" s="1" t="s">
        <v>25</v>
      </c>
      <c r="B189" s="1" t="s">
        <v>26</v>
      </c>
      <c r="C189" s="1" t="s">
        <v>17</v>
      </c>
      <c r="D189" s="1">
        <v>0.0</v>
      </c>
      <c r="E189" s="1">
        <v>25.0</v>
      </c>
      <c r="F189" s="1">
        <v>8.0</v>
      </c>
      <c r="G189" s="1">
        <v>10.0</v>
      </c>
      <c r="H189" s="1" t="s">
        <v>27</v>
      </c>
      <c r="I189" s="2">
        <v>46013.0</v>
      </c>
      <c r="J189" s="1">
        <v>4500000.0</v>
      </c>
      <c r="K189" s="2">
        <v>45992.0</v>
      </c>
      <c r="L189" s="3" t="str">
        <f t="shared" si="1"/>
        <v>SKU-002|Smartphone Samsung A54|Electronics|0|25|8|10|SUP_EL02|2025-12-22|4500000|2025-12-01</v>
      </c>
    </row>
    <row r="190">
      <c r="A190" s="1" t="s">
        <v>40</v>
      </c>
      <c r="B190" s="1" t="s">
        <v>41</v>
      </c>
      <c r="C190" s="1" t="s">
        <v>42</v>
      </c>
      <c r="D190" s="1">
        <v>22.0</v>
      </c>
      <c r="E190" s="1">
        <v>15.0</v>
      </c>
      <c r="F190" s="1">
        <v>3.0</v>
      </c>
      <c r="G190" s="1">
        <v>4.0</v>
      </c>
      <c r="H190" s="1" t="s">
        <v>43</v>
      </c>
      <c r="I190" s="2">
        <v>45919.0</v>
      </c>
      <c r="J190" s="1">
        <v>1200000.0</v>
      </c>
      <c r="K190" s="2">
        <v>45901.0</v>
      </c>
      <c r="L190" s="3" t="str">
        <f t="shared" si="1"/>
        <v>SKU-011|Vacuum Cleaner Deerma|Home &amp; Living|22|15|3|4|SUP_HM02|2025-09-19|1200000|2025-09-01</v>
      </c>
    </row>
    <row r="191">
      <c r="A191" s="1" t="s">
        <v>57</v>
      </c>
      <c r="B191" s="1" t="s">
        <v>58</v>
      </c>
      <c r="C191" s="1" t="s">
        <v>42</v>
      </c>
      <c r="D191" s="1">
        <v>21.0</v>
      </c>
      <c r="E191" s="1">
        <v>25.0</v>
      </c>
      <c r="F191" s="1">
        <v>3.0</v>
      </c>
      <c r="G191" s="1">
        <v>9.0</v>
      </c>
      <c r="H191" s="1" t="s">
        <v>59</v>
      </c>
      <c r="I191" s="2">
        <v>45854.0</v>
      </c>
      <c r="J191" s="1">
        <v>450000.0</v>
      </c>
      <c r="K191" s="2">
        <v>45839.0</v>
      </c>
      <c r="L191" s="3" t="str">
        <f t="shared" si="1"/>
        <v>SKU-010|Rice Cooker Miyako 1.8L|Home &amp; Living|21|25|3|9|SUP_HM01|2025-07-16|450000|2025-07-01</v>
      </c>
    </row>
    <row r="192">
      <c r="A192" s="1" t="s">
        <v>51</v>
      </c>
      <c r="B192" s="1" t="s">
        <v>52</v>
      </c>
      <c r="C192" s="1" t="s">
        <v>36</v>
      </c>
      <c r="D192" s="1">
        <v>12.0</v>
      </c>
      <c r="E192" s="1">
        <v>60.0</v>
      </c>
      <c r="F192" s="1">
        <v>10.0</v>
      </c>
      <c r="H192" s="1" t="s">
        <v>50</v>
      </c>
      <c r="I192" s="2">
        <v>45965.0</v>
      </c>
      <c r="J192" s="1">
        <v>175000.0</v>
      </c>
      <c r="K192" s="2">
        <v>45962.0</v>
      </c>
      <c r="L192" s="3" t="str">
        <f t="shared" si="1"/>
        <v>SKU-019|Madu Hutan Asli 500ml|Food &amp; Beverage|12|60|10||SUP_FB02|2025-11-04|175000|2025-11-01</v>
      </c>
    </row>
    <row r="193">
      <c r="A193" s="1" t="s">
        <v>15</v>
      </c>
      <c r="B193" s="1" t="s">
        <v>16</v>
      </c>
      <c r="C193" s="1" t="s">
        <v>17</v>
      </c>
      <c r="D193" s="1">
        <v>17.0</v>
      </c>
      <c r="E193" s="1">
        <v>15.0</v>
      </c>
      <c r="F193" s="1">
        <v>1.0</v>
      </c>
      <c r="G193" s="1">
        <v>6.0</v>
      </c>
      <c r="H193" s="1" t="s">
        <v>18</v>
      </c>
      <c r="I193" s="2">
        <v>45665.0</v>
      </c>
      <c r="J193" s="1">
        <v>8500000.0</v>
      </c>
      <c r="K193" s="2">
        <v>45658.0</v>
      </c>
      <c r="L193" s="3" t="str">
        <f t="shared" si="1"/>
        <v>SKU-001|Laptop ASUS Vivobook|Electronics|17|15|1|6|SUP_EL01|2025-01-08|8500000|2025-01-01</v>
      </c>
    </row>
    <row r="194">
      <c r="A194" s="1" t="s">
        <v>51</v>
      </c>
      <c r="B194" s="1" t="s">
        <v>52</v>
      </c>
      <c r="C194" s="1" t="s">
        <v>36</v>
      </c>
      <c r="D194" s="1">
        <v>34.0</v>
      </c>
      <c r="E194" s="1">
        <v>60.0</v>
      </c>
      <c r="F194" s="1">
        <v>7.0</v>
      </c>
      <c r="G194" s="1">
        <v>6.0</v>
      </c>
      <c r="H194" s="1" t="s">
        <v>50</v>
      </c>
      <c r="I194" s="2">
        <v>45934.0</v>
      </c>
      <c r="J194" s="1">
        <v>175000.0</v>
      </c>
      <c r="K194" s="2">
        <v>45931.0</v>
      </c>
      <c r="L194" s="3" t="str">
        <f t="shared" si="1"/>
        <v>SKU-019|Madu Hutan Asli 500ml|Food &amp; Beverage|34|60|7|6|SUP_FB02|2025-10-04|175000|2025-10-01</v>
      </c>
    </row>
    <row r="195">
      <c r="A195" s="1" t="s">
        <v>51</v>
      </c>
      <c r="B195" s="1" t="s">
        <v>52</v>
      </c>
      <c r="C195" s="1" t="s">
        <v>36</v>
      </c>
      <c r="D195" s="1">
        <v>21.0</v>
      </c>
      <c r="E195" s="1">
        <v>60.0</v>
      </c>
      <c r="F195" s="1">
        <v>9.0</v>
      </c>
      <c r="G195" s="1">
        <v>4.0</v>
      </c>
      <c r="H195" s="1" t="s">
        <v>50</v>
      </c>
      <c r="I195" s="2">
        <v>46067.0</v>
      </c>
      <c r="J195" s="1">
        <v>175000.0</v>
      </c>
      <c r="K195" s="2">
        <v>46054.0</v>
      </c>
      <c r="L195" s="3" t="str">
        <f t="shared" si="1"/>
        <v>SKU-019|Madu Hutan Asli 500ml|Food &amp; Beverage|21|60|9|4|SUP_FB02|2026-02-14|175000|2026-02-01</v>
      </c>
    </row>
    <row r="196">
      <c r="A196" s="1" t="s">
        <v>28</v>
      </c>
      <c r="B196" s="1" t="s">
        <v>29</v>
      </c>
      <c r="C196" s="1" t="s">
        <v>23</v>
      </c>
      <c r="D196" s="1">
        <v>0.0</v>
      </c>
      <c r="E196" s="1">
        <v>35.0</v>
      </c>
      <c r="F196" s="1">
        <v>9.0</v>
      </c>
      <c r="G196" s="1">
        <v>6.0</v>
      </c>
      <c r="H196" s="1" t="s">
        <v>30</v>
      </c>
      <c r="I196" s="2">
        <v>45973.0</v>
      </c>
      <c r="J196" s="1">
        <v>1250000.0</v>
      </c>
      <c r="K196" s="2">
        <v>45962.0</v>
      </c>
      <c r="L196" s="3" t="str">
        <f t="shared" si="1"/>
        <v>SKU-007|Sepatu Sneakers Nike|Fashion|0|35|9|6|SUP_FA02|2025-11-12|1250000|2025-11-01</v>
      </c>
    </row>
    <row r="197">
      <c r="A197" s="1" t="s">
        <v>31</v>
      </c>
      <c r="B197" s="1" t="s">
        <v>32</v>
      </c>
      <c r="C197" s="1" t="s">
        <v>13</v>
      </c>
      <c r="D197" s="1">
        <v>150.0</v>
      </c>
      <c r="E197" s="1">
        <v>40.0</v>
      </c>
      <c r="F197" s="1">
        <v>4.0</v>
      </c>
      <c r="G197" s="1">
        <v>4.0</v>
      </c>
      <c r="H197" s="1" t="s">
        <v>33</v>
      </c>
      <c r="I197" s="2">
        <v>46040.0</v>
      </c>
      <c r="J197" s="1">
        <v>550000.0</v>
      </c>
      <c r="K197" s="2">
        <v>46023.0</v>
      </c>
      <c r="L197" s="3" t="str">
        <f t="shared" si="1"/>
        <v>SKU-013|Skincare Set Whitelab|Beauty|150|40|4|4|SUP_BT01|2026-01-18|550000|2026-01-01</v>
      </c>
    </row>
    <row r="198">
      <c r="A198" s="1" t="s">
        <v>34</v>
      </c>
      <c r="B198" s="1" t="s">
        <v>35</v>
      </c>
      <c r="C198" s="1" t="s">
        <v>36</v>
      </c>
      <c r="D198" s="1">
        <v>18.0</v>
      </c>
      <c r="E198" s="1">
        <v>80.0</v>
      </c>
      <c r="F198" s="1">
        <v>10.0</v>
      </c>
      <c r="G198" s="1">
        <v>4.0</v>
      </c>
      <c r="H198" s="1" t="s">
        <v>37</v>
      </c>
      <c r="I198" s="2">
        <v>46024.0</v>
      </c>
      <c r="J198" s="1">
        <v>65000.0</v>
      </c>
      <c r="K198" s="2">
        <v>46023.0</v>
      </c>
      <c r="L198" s="3" t="str">
        <f t="shared" si="1"/>
        <v>SKU-018|Teh Organik Premium Box|Food &amp; Beverage|18|80|10|4|SUP_FB01|2026-01-02|65000|2026-01-01</v>
      </c>
    </row>
    <row r="199">
      <c r="A199" s="1" t="s">
        <v>28</v>
      </c>
      <c r="B199" s="1" t="s">
        <v>29</v>
      </c>
      <c r="C199" s="1" t="s">
        <v>23</v>
      </c>
      <c r="D199" s="1">
        <v>27.0</v>
      </c>
      <c r="E199" s="1">
        <v>35.0</v>
      </c>
      <c r="F199" s="1">
        <v>8.0</v>
      </c>
      <c r="G199" s="1">
        <v>6.0</v>
      </c>
      <c r="H199" s="1" t="s">
        <v>30</v>
      </c>
      <c r="I199" s="2">
        <v>46054.0</v>
      </c>
      <c r="J199" s="1">
        <v>1250000.0</v>
      </c>
      <c r="K199" s="2">
        <v>46054.0</v>
      </c>
      <c r="L199" s="3" t="str">
        <f t="shared" si="1"/>
        <v>SKU-007|Sepatu Sneakers Nike|Fashion|27|35|8|6|SUP_FA02|2026-02-01|1250000|2026-02-01</v>
      </c>
    </row>
    <row r="200">
      <c r="A200" s="1" t="s">
        <v>44</v>
      </c>
      <c r="B200" s="1" t="s">
        <v>45</v>
      </c>
      <c r="C200" s="1" t="s">
        <v>42</v>
      </c>
      <c r="D200" s="1">
        <v>39.0</v>
      </c>
      <c r="E200" s="1">
        <v>30.0</v>
      </c>
      <c r="F200" s="1">
        <v>6.0</v>
      </c>
      <c r="G200" s="1">
        <v>10.0</v>
      </c>
      <c r="H200" s="1" t="s">
        <v>43</v>
      </c>
      <c r="I200" s="2">
        <v>45854.0</v>
      </c>
      <c r="J200" s="1">
        <v>350000.0</v>
      </c>
      <c r="K200" s="2">
        <v>45839.0</v>
      </c>
      <c r="L200" s="3" t="str">
        <f t="shared" si="1"/>
        <v>SKU-012|Kipas Angin Cosmos 16in|Home &amp; Living|39|30|6|10|SUP_HM02|2025-07-16|350000|2025-07-01</v>
      </c>
    </row>
    <row r="201">
      <c r="A201" s="1" t="s">
        <v>28</v>
      </c>
      <c r="B201" s="1" t="s">
        <v>29</v>
      </c>
      <c r="C201" s="1" t="s">
        <v>23</v>
      </c>
      <c r="D201" s="1">
        <v>10.0</v>
      </c>
      <c r="E201" s="1">
        <v>35.0</v>
      </c>
      <c r="F201" s="1">
        <v>7.0</v>
      </c>
      <c r="G201" s="1">
        <v>3.0</v>
      </c>
      <c r="H201" s="1" t="s">
        <v>30</v>
      </c>
      <c r="I201" s="2">
        <v>45929.0</v>
      </c>
      <c r="J201" s="1">
        <v>1250000.0</v>
      </c>
      <c r="K201" s="2">
        <v>45901.0</v>
      </c>
      <c r="L201" s="3" t="str">
        <f t="shared" si="1"/>
        <v>SKU-007|Sepatu Sneakers Nike|Fashion|10|35|7|3|SUP_FA02|2025-09-29|1250000|2025-09-01</v>
      </c>
    </row>
    <row r="202">
      <c r="A202" s="1" t="s">
        <v>60</v>
      </c>
      <c r="B202" s="1" t="s">
        <v>61</v>
      </c>
      <c r="C202" s="1" t="s">
        <v>17</v>
      </c>
      <c r="D202" s="1">
        <v>7.0</v>
      </c>
      <c r="E202" s="1">
        <v>20.0</v>
      </c>
      <c r="F202" s="1">
        <v>2.0</v>
      </c>
      <c r="G202" s="1">
        <v>13.0</v>
      </c>
      <c r="H202" s="1" t="s">
        <v>27</v>
      </c>
      <c r="I202" s="2">
        <v>45861.0</v>
      </c>
      <c r="J202" s="1">
        <v>3200000.0</v>
      </c>
      <c r="K202" s="2">
        <v>45839.0</v>
      </c>
      <c r="L202" s="3" t="str">
        <f t="shared" si="1"/>
        <v>SKU-003|Headphone Sony WH-1000|Electronics|7|20|2|13|SUP_EL02|2025-07-23|3200000|2025-07-01</v>
      </c>
    </row>
    <row r="203">
      <c r="A203" s="1" t="s">
        <v>21</v>
      </c>
      <c r="B203" s="1" t="s">
        <v>22</v>
      </c>
      <c r="C203" s="1" t="s">
        <v>23</v>
      </c>
      <c r="D203" s="1">
        <v>13.0</v>
      </c>
      <c r="E203" s="1">
        <v>50.0</v>
      </c>
      <c r="F203" s="1">
        <v>8.0</v>
      </c>
      <c r="G203" s="1">
        <v>4.0</v>
      </c>
      <c r="H203" s="1" t="s">
        <v>24</v>
      </c>
      <c r="I203" s="2">
        <v>45691.0</v>
      </c>
      <c r="J203" s="1">
        <v>350000.0</v>
      </c>
      <c r="K203" s="2">
        <v>45689.0</v>
      </c>
      <c r="L203" s="3" t="str">
        <f t="shared" si="1"/>
        <v>SKU-005|Kemeja Formal Pria|Fashion|13|50|8|4|SUP_FA01|2025-02-03|350000|2025-02-01</v>
      </c>
    </row>
    <row r="204">
      <c r="A204" s="1" t="s">
        <v>40</v>
      </c>
      <c r="B204" s="1" t="s">
        <v>41</v>
      </c>
      <c r="C204" s="1" t="s">
        <v>42</v>
      </c>
      <c r="E204" s="1">
        <v>15.0</v>
      </c>
      <c r="F204" s="1">
        <v>2.0</v>
      </c>
      <c r="G204" s="1">
        <v>4.0</v>
      </c>
      <c r="H204" s="1" t="s">
        <v>43</v>
      </c>
      <c r="I204" s="2">
        <v>45688.0</v>
      </c>
      <c r="J204" s="1">
        <v>1200000.0</v>
      </c>
      <c r="K204" s="2">
        <v>45658.0</v>
      </c>
      <c r="L204" s="3" t="str">
        <f t="shared" si="1"/>
        <v>SKU-011|Vacuum Cleaner Deerma|Home &amp; Living||15|2|4|SUP_HM02|2025-01-31|1200000|2025-01-01</v>
      </c>
    </row>
    <row r="205">
      <c r="A205" s="1" t="s">
        <v>55</v>
      </c>
      <c r="B205" s="1" t="s">
        <v>56</v>
      </c>
      <c r="C205" s="1" t="s">
        <v>36</v>
      </c>
      <c r="D205" s="1">
        <v>19.0</v>
      </c>
      <c r="E205" s="1">
        <v>100.0</v>
      </c>
      <c r="F205" s="1">
        <v>16.0</v>
      </c>
      <c r="G205" s="1">
        <v>4.0</v>
      </c>
      <c r="H205" s="1" t="s">
        <v>37</v>
      </c>
      <c r="I205" s="2">
        <v>45965.0</v>
      </c>
      <c r="J205" s="1">
        <v>85000.0</v>
      </c>
      <c r="K205" s="2">
        <v>45962.0</v>
      </c>
      <c r="L205" s="3" t="str">
        <f t="shared" si="1"/>
        <v>SKU-017|Kopi Arabika 250g Pack|Food &amp; Beverage|19|100|16|4|SUP_FB01|2025-11-04|85000|2025-11-01</v>
      </c>
    </row>
    <row r="206">
      <c r="A206" s="1" t="s">
        <v>55</v>
      </c>
      <c r="B206" s="1" t="s">
        <v>56</v>
      </c>
      <c r="C206" s="1" t="s">
        <v>36</v>
      </c>
      <c r="D206" s="1">
        <v>36.0</v>
      </c>
      <c r="E206" s="1">
        <v>100.0</v>
      </c>
      <c r="F206" s="1">
        <v>16.0</v>
      </c>
      <c r="G206" s="1">
        <v>5.0</v>
      </c>
      <c r="H206" s="1" t="s">
        <v>37</v>
      </c>
      <c r="I206" s="2">
        <v>45851.0</v>
      </c>
      <c r="J206" s="1">
        <v>85000.0</v>
      </c>
      <c r="K206" s="2">
        <v>45839.0</v>
      </c>
      <c r="L206" s="3" t="str">
        <f t="shared" si="1"/>
        <v>SKU-017|Kopi Arabika 250g Pack|Food &amp; Beverage|36|100|16|5|SUP_FB01|2025-07-13|85000|2025-07-01</v>
      </c>
    </row>
    <row r="207">
      <c r="A207" s="1" t="s">
        <v>34</v>
      </c>
      <c r="B207" s="1" t="s">
        <v>35</v>
      </c>
      <c r="C207" s="1" t="s">
        <v>36</v>
      </c>
      <c r="D207" s="1">
        <v>33.0</v>
      </c>
      <c r="E207" s="1">
        <v>80.0</v>
      </c>
      <c r="F207" s="1">
        <v>13.0</v>
      </c>
      <c r="G207" s="1">
        <v>4.0</v>
      </c>
      <c r="H207" s="1" t="s">
        <v>37</v>
      </c>
      <c r="I207" s="2">
        <v>45697.0</v>
      </c>
      <c r="J207" s="1">
        <v>65000.0</v>
      </c>
      <c r="K207" s="2">
        <v>45689.0</v>
      </c>
      <c r="L207" s="3" t="str">
        <f t="shared" si="1"/>
        <v>SKU-018|Teh Organik Premium Box|Food &amp; Beverage|33|80|13|4|SUP_FB01|2025-02-09|65000|2025-02-01</v>
      </c>
    </row>
    <row r="208">
      <c r="A208" s="1" t="s">
        <v>15</v>
      </c>
      <c r="B208" s="1" t="s">
        <v>16</v>
      </c>
      <c r="C208" s="1" t="s">
        <v>17</v>
      </c>
      <c r="D208" s="1">
        <v>0.0</v>
      </c>
      <c r="E208" s="1">
        <v>15.0</v>
      </c>
      <c r="F208" s="1">
        <v>2.0</v>
      </c>
      <c r="G208" s="1">
        <v>8.0</v>
      </c>
      <c r="H208" s="1" t="s">
        <v>18</v>
      </c>
      <c r="I208" s="2">
        <v>45994.0</v>
      </c>
      <c r="J208" s="1">
        <v>8500000.0</v>
      </c>
      <c r="K208" s="2">
        <v>45992.0</v>
      </c>
      <c r="L208" s="3" t="str">
        <f t="shared" si="1"/>
        <v>SKU-001|Laptop ASUS Vivobook|Electronics|0|15|2|8|SUP_EL01|2025-12-03|8500000|2025-12-01</v>
      </c>
    </row>
    <row r="209">
      <c r="A209" s="1" t="s">
        <v>19</v>
      </c>
      <c r="B209" s="1" t="s">
        <v>20</v>
      </c>
      <c r="C209" s="1" t="s">
        <v>17</v>
      </c>
      <c r="D209" s="1">
        <v>34.0</v>
      </c>
      <c r="E209" s="1">
        <v>30.0</v>
      </c>
      <c r="F209" s="1">
        <v>4.0</v>
      </c>
      <c r="G209" s="1">
        <v>5.0</v>
      </c>
      <c r="H209" s="1" t="s">
        <v>18</v>
      </c>
      <c r="I209" s="2">
        <v>46083.0</v>
      </c>
      <c r="J209" s="1">
        <v>1200000.0</v>
      </c>
      <c r="K209" s="2">
        <v>46082.0</v>
      </c>
      <c r="L209" s="3" t="str">
        <f t="shared" si="1"/>
        <v>SKU-004|Smartwatch Xiaomi Band|Electronics|34|30|4|5|SUP_EL01|2026-03-02|1200000|2026-03-01</v>
      </c>
    </row>
    <row r="210">
      <c r="A210" s="1" t="s">
        <v>62</v>
      </c>
      <c r="B210" s="1" t="s">
        <v>63</v>
      </c>
      <c r="C210" s="1" t="s">
        <v>13</v>
      </c>
      <c r="D210" s="1">
        <v>427.0</v>
      </c>
      <c r="E210" s="1">
        <v>80.0</v>
      </c>
      <c r="F210" s="1">
        <v>2.0</v>
      </c>
      <c r="G210" s="1">
        <v>5.0</v>
      </c>
      <c r="H210" s="1" t="s">
        <v>33</v>
      </c>
      <c r="I210" s="2">
        <v>45838.0</v>
      </c>
      <c r="J210" s="1">
        <v>85000.0</v>
      </c>
      <c r="K210" s="2">
        <v>45809.0</v>
      </c>
      <c r="L210" s="3" t="str">
        <f t="shared" si="1"/>
        <v>SKU-014|Lipstik Matte Wardah|Beauty|427|80|2|5|SUP_BT01|2025-06-30|85000|2025-06-01</v>
      </c>
    </row>
    <row r="211">
      <c r="A211" s="1" t="s">
        <v>51</v>
      </c>
      <c r="B211" s="1" t="s">
        <v>52</v>
      </c>
      <c r="C211" s="1" t="s">
        <v>36</v>
      </c>
      <c r="D211" s="1">
        <v>14.0</v>
      </c>
      <c r="E211" s="1">
        <v>60.0</v>
      </c>
      <c r="F211" s="1">
        <v>8.0</v>
      </c>
      <c r="G211" s="1">
        <v>6.0</v>
      </c>
      <c r="H211" s="1" t="s">
        <v>50</v>
      </c>
      <c r="I211" s="2">
        <v>45930.0</v>
      </c>
      <c r="J211" s="1">
        <v>175000.0</v>
      </c>
      <c r="K211" s="2">
        <v>45901.0</v>
      </c>
      <c r="L211" s="3" t="str">
        <f t="shared" si="1"/>
        <v>SKU-019|Madu Hutan Asli 500ml|Food &amp; Beverage|14|60|8|6|SUP_FB02|2025-09-30|175000|2025-09-01</v>
      </c>
    </row>
    <row r="212">
      <c r="A212" s="1" t="s">
        <v>25</v>
      </c>
      <c r="B212" s="1" t="s">
        <v>26</v>
      </c>
      <c r="C212" s="1" t="s">
        <v>17</v>
      </c>
      <c r="D212" s="1">
        <v>32.0</v>
      </c>
      <c r="E212" s="1">
        <v>25.0</v>
      </c>
      <c r="F212" s="1">
        <v>6.0</v>
      </c>
      <c r="G212" s="1">
        <v>17.0</v>
      </c>
      <c r="H212" s="1" t="s">
        <v>27</v>
      </c>
      <c r="I212" s="2">
        <v>46026.0</v>
      </c>
      <c r="J212" s="1">
        <v>4500000.0</v>
      </c>
      <c r="K212" s="2">
        <v>46023.0</v>
      </c>
      <c r="L212" s="3" t="str">
        <f t="shared" si="1"/>
        <v>SKU-002|Smartphone Samsung A54|Electronics|32|25|6|17|SUP_EL02|2026-01-04|4500000|2026-01-01</v>
      </c>
    </row>
    <row r="213">
      <c r="A213" s="1" t="s">
        <v>11</v>
      </c>
      <c r="B213" s="1" t="s">
        <v>12</v>
      </c>
      <c r="C213" s="1" t="s">
        <v>13</v>
      </c>
      <c r="E213" s="1">
        <v>50.0</v>
      </c>
      <c r="F213" s="1">
        <v>1.0</v>
      </c>
      <c r="G213" s="1">
        <v>7.0</v>
      </c>
      <c r="H213" s="1" t="s">
        <v>14</v>
      </c>
      <c r="I213" s="2">
        <v>45885.0</v>
      </c>
      <c r="J213" s="1">
        <v>125000.0</v>
      </c>
      <c r="K213" s="2">
        <v>45870.0</v>
      </c>
      <c r="L213" s="3" t="str">
        <f t="shared" si="1"/>
        <v>SKU-016|Parfum EDT Brasov 100ml|Beauty||50|1|7|SUP_BT02|2025-08-16|125000|2025-08-01</v>
      </c>
    </row>
    <row r="214">
      <c r="A214" s="1" t="s">
        <v>15</v>
      </c>
      <c r="B214" s="1" t="s">
        <v>16</v>
      </c>
      <c r="C214" s="1" t="s">
        <v>17</v>
      </c>
      <c r="D214" s="1">
        <v>28.0</v>
      </c>
      <c r="E214" s="1">
        <v>15.0</v>
      </c>
      <c r="F214" s="1">
        <v>1.0</v>
      </c>
      <c r="G214" s="1">
        <v>6.0</v>
      </c>
      <c r="H214" s="1" t="s">
        <v>18</v>
      </c>
      <c r="I214" s="2">
        <v>45800.0</v>
      </c>
      <c r="J214" s="1">
        <v>8500000.0</v>
      </c>
      <c r="K214" s="2">
        <v>45778.0</v>
      </c>
      <c r="L214" s="3" t="str">
        <f t="shared" si="1"/>
        <v>SKU-001|Laptop ASUS Vivobook|Electronics|28|15|1|6|SUP_EL01|2025-05-23|8500000|2025-05-01</v>
      </c>
    </row>
    <row r="215">
      <c r="A215" s="1" t="s">
        <v>64</v>
      </c>
      <c r="B215" s="1" t="s">
        <v>65</v>
      </c>
      <c r="C215" s="1" t="s">
        <v>42</v>
      </c>
      <c r="D215" s="1">
        <v>21.0</v>
      </c>
      <c r="E215" s="1">
        <v>20.0</v>
      </c>
      <c r="F215" s="1">
        <v>2.0</v>
      </c>
      <c r="G215" s="1">
        <v>9.0</v>
      </c>
      <c r="H215" s="1" t="s">
        <v>59</v>
      </c>
      <c r="I215" s="2">
        <v>45724.0</v>
      </c>
      <c r="J215" s="1">
        <v>750000.0</v>
      </c>
      <c r="K215" s="2">
        <v>45717.0</v>
      </c>
      <c r="L215" s="3" t="str">
        <f t="shared" si="1"/>
        <v>SKU-009|Blender Philips HR2157|Home &amp; Living|21|20|2|9|SUP_HM01|2025-03-08|750000|2025-03-01</v>
      </c>
    </row>
    <row r="216">
      <c r="A216" s="1" t="s">
        <v>60</v>
      </c>
      <c r="B216" s="1" t="s">
        <v>61</v>
      </c>
      <c r="C216" s="1" t="s">
        <v>17</v>
      </c>
      <c r="D216" s="1">
        <v>12.0</v>
      </c>
      <c r="E216" s="1">
        <v>20.0</v>
      </c>
      <c r="F216" s="1">
        <v>2.0</v>
      </c>
      <c r="G216" s="1">
        <v>16.0</v>
      </c>
      <c r="H216" s="1" t="s">
        <v>27</v>
      </c>
      <c r="I216" s="2">
        <v>45724.0</v>
      </c>
      <c r="J216" s="1">
        <v>3200000.0</v>
      </c>
      <c r="K216" s="2">
        <v>45717.0</v>
      </c>
      <c r="L216" s="3" t="str">
        <f t="shared" si="1"/>
        <v>SKU-003|Headphone Sony WH-1000|Electronics|12|20|2|16|SUP_EL02|2025-03-08|3200000|2025-03-01</v>
      </c>
    </row>
    <row r="217">
      <c r="A217" s="1" t="s">
        <v>48</v>
      </c>
      <c r="B217" s="1" t="s">
        <v>49</v>
      </c>
      <c r="C217" s="1" t="s">
        <v>36</v>
      </c>
      <c r="D217" s="1">
        <v>72.0</v>
      </c>
      <c r="E217" s="1">
        <v>120.0</v>
      </c>
      <c r="F217" s="1">
        <v>18.0</v>
      </c>
      <c r="G217" s="1">
        <v>7.0</v>
      </c>
      <c r="H217" s="1" t="s">
        <v>50</v>
      </c>
      <c r="I217" s="2">
        <v>45815.0</v>
      </c>
      <c r="J217" s="1">
        <v>55000.0</v>
      </c>
      <c r="K217" s="2">
        <v>45809.0</v>
      </c>
      <c r="L217" s="3" t="str">
        <f t="shared" si="1"/>
        <v>SKU-020|Snack Granola Mix 500g|Food &amp; Beverage|72|120|18|7|SUP_FB02|2025-06-07|55000|2025-06-01</v>
      </c>
    </row>
    <row r="218">
      <c r="A218" s="1" t="s">
        <v>40</v>
      </c>
      <c r="B218" s="1" t="s">
        <v>41</v>
      </c>
      <c r="C218" s="1" t="s">
        <v>42</v>
      </c>
      <c r="D218" s="1">
        <v>33.0</v>
      </c>
      <c r="E218" s="1">
        <v>15.0</v>
      </c>
      <c r="F218" s="1">
        <v>2.0</v>
      </c>
      <c r="G218" s="1">
        <v>10.0</v>
      </c>
      <c r="H218" s="1" t="s">
        <v>43</v>
      </c>
      <c r="I218" s="2">
        <v>46032.0</v>
      </c>
      <c r="J218" s="1">
        <v>1200000.0</v>
      </c>
      <c r="K218" s="2">
        <v>46023.0</v>
      </c>
      <c r="L218" s="3" t="str">
        <f t="shared" si="1"/>
        <v>SKU-011|Vacuum Cleaner Deerma|Home &amp; Living|33|15|2|10|SUP_HM02|2026-01-10|1200000|2026-01-01</v>
      </c>
    </row>
    <row r="219">
      <c r="A219" s="1" t="s">
        <v>53</v>
      </c>
      <c r="B219" s="1" t="s">
        <v>54</v>
      </c>
      <c r="C219" s="1" t="s">
        <v>13</v>
      </c>
      <c r="D219" s="1">
        <v>246.0</v>
      </c>
      <c r="E219" s="1">
        <v>60.0</v>
      </c>
      <c r="F219" s="1">
        <v>3.0</v>
      </c>
      <c r="G219" s="1">
        <v>7.0</v>
      </c>
      <c r="H219" s="1" t="s">
        <v>14</v>
      </c>
      <c r="I219" s="2">
        <v>46049.0</v>
      </c>
      <c r="J219" s="1">
        <v>165000.0</v>
      </c>
      <c r="K219" s="2">
        <v>46023.0</v>
      </c>
      <c r="L219" s="3" t="str">
        <f t="shared" si="1"/>
        <v>SKU-015|Foundation Maybelline Fit|Beauty|246|60|3|7|SUP_BT02|2026-01-27|165000|2026-01-01</v>
      </c>
    </row>
    <row r="220">
      <c r="A220" s="1" t="s">
        <v>34</v>
      </c>
      <c r="B220" s="1" t="s">
        <v>35</v>
      </c>
      <c r="C220" s="1" t="s">
        <v>36</v>
      </c>
      <c r="D220" s="1">
        <v>64.0</v>
      </c>
      <c r="E220" s="1">
        <v>80.0</v>
      </c>
      <c r="F220" s="1">
        <v>13.0</v>
      </c>
      <c r="G220" s="1">
        <v>5.0</v>
      </c>
      <c r="H220" s="1" t="s">
        <v>37</v>
      </c>
      <c r="I220" s="2">
        <v>45970.0</v>
      </c>
      <c r="J220" s="1">
        <v>65000.0</v>
      </c>
      <c r="K220" s="2">
        <v>45962.0</v>
      </c>
      <c r="L220" s="3" t="str">
        <f t="shared" si="1"/>
        <v>SKU-018|Teh Organik Premium Box|Food &amp; Beverage|64|80|13|5|SUP_FB01|2025-11-09|65000|2025-11-01</v>
      </c>
    </row>
    <row r="221">
      <c r="A221" s="1" t="s">
        <v>57</v>
      </c>
      <c r="B221" s="1" t="s">
        <v>58</v>
      </c>
      <c r="C221" s="1" t="s">
        <v>42</v>
      </c>
      <c r="D221" s="1">
        <v>37.0</v>
      </c>
      <c r="E221" s="1">
        <v>25.0</v>
      </c>
      <c r="F221" s="1">
        <v>1.0</v>
      </c>
      <c r="G221" s="1">
        <v>9.0</v>
      </c>
      <c r="H221" s="1" t="s">
        <v>59</v>
      </c>
      <c r="I221" s="2">
        <v>45775.0</v>
      </c>
      <c r="J221" s="1">
        <v>450000.0</v>
      </c>
      <c r="K221" s="2">
        <v>45748.0</v>
      </c>
      <c r="L221" s="3" t="str">
        <f t="shared" si="1"/>
        <v>SKU-010|Rice Cooker Miyako 1.8L|Home &amp; Living|37|25|1|9|SUP_HM01|2025-04-28|450000|2025-04-01</v>
      </c>
    </row>
    <row r="222">
      <c r="A222" s="1" t="s">
        <v>21</v>
      </c>
      <c r="B222" s="1" t="s">
        <v>22</v>
      </c>
      <c r="C222" s="1" t="s">
        <v>23</v>
      </c>
      <c r="D222" s="1">
        <v>0.0</v>
      </c>
      <c r="E222" s="1">
        <v>50.0</v>
      </c>
      <c r="F222" s="1">
        <v>13.0</v>
      </c>
      <c r="G222" s="1">
        <v>3.0</v>
      </c>
      <c r="H222" s="1" t="s">
        <v>24</v>
      </c>
      <c r="I222" s="2">
        <v>45747.0</v>
      </c>
      <c r="J222" s="1">
        <v>350000.0</v>
      </c>
      <c r="K222" s="2">
        <v>45717.0</v>
      </c>
      <c r="L222" s="3" t="str">
        <f t="shared" si="1"/>
        <v>SKU-005|Kemeja Formal Pria|Fashion|0|50|13|3|SUP_FA01|2025-03-31|350000|2025-03-01</v>
      </c>
    </row>
    <row r="223">
      <c r="A223" s="1" t="s">
        <v>53</v>
      </c>
      <c r="B223" s="1" t="s">
        <v>54</v>
      </c>
      <c r="C223" s="1" t="s">
        <v>13</v>
      </c>
      <c r="D223" s="1">
        <v>230.0</v>
      </c>
      <c r="E223" s="1">
        <v>60.0</v>
      </c>
      <c r="F223" s="1">
        <v>2.0</v>
      </c>
      <c r="G223" s="1">
        <v>8.0</v>
      </c>
      <c r="H223" s="1" t="s">
        <v>14</v>
      </c>
      <c r="I223" s="2">
        <v>45817.0</v>
      </c>
      <c r="J223" s="1">
        <v>165000.0</v>
      </c>
      <c r="K223" s="2">
        <v>45809.0</v>
      </c>
      <c r="L223" s="3" t="str">
        <f t="shared" si="1"/>
        <v>SKU-015|Foundation Maybelline Fit|Beauty|230|60|2|8|SUP_BT02|2025-06-09|165000|2025-06-01</v>
      </c>
    </row>
    <row r="224">
      <c r="A224" s="1" t="s">
        <v>57</v>
      </c>
      <c r="B224" s="1" t="s">
        <v>58</v>
      </c>
      <c r="C224" s="1" t="s">
        <v>42</v>
      </c>
      <c r="D224" s="1">
        <v>52.0</v>
      </c>
      <c r="E224" s="1">
        <v>25.0</v>
      </c>
      <c r="F224" s="1">
        <v>4.0</v>
      </c>
      <c r="G224" s="1">
        <v>9.0</v>
      </c>
      <c r="H224" s="1" t="s">
        <v>59</v>
      </c>
      <c r="I224" s="2">
        <v>45671.0</v>
      </c>
      <c r="J224" s="1">
        <v>450000.0</v>
      </c>
      <c r="K224" s="2">
        <v>45658.0</v>
      </c>
      <c r="L224" s="3" t="str">
        <f t="shared" si="1"/>
        <v>SKU-010|Rice Cooker Miyako 1.8L|Home &amp; Living|52|25|4|9|SUP_HM01|2025-01-14|450000|2025-01-01</v>
      </c>
    </row>
    <row r="225">
      <c r="A225" s="1" t="s">
        <v>64</v>
      </c>
      <c r="B225" s="1" t="s">
        <v>65</v>
      </c>
      <c r="C225" s="1" t="s">
        <v>42</v>
      </c>
      <c r="D225" s="1">
        <v>47.0</v>
      </c>
      <c r="E225" s="1">
        <v>20.0</v>
      </c>
      <c r="F225" s="1">
        <v>4.0</v>
      </c>
      <c r="G225" s="1">
        <v>9.0</v>
      </c>
      <c r="H225" s="1" t="s">
        <v>59</v>
      </c>
      <c r="I225" s="2">
        <v>45909.0</v>
      </c>
      <c r="J225" s="1">
        <v>750000.0</v>
      </c>
      <c r="K225" s="2">
        <v>45901.0</v>
      </c>
      <c r="L225" s="3" t="str">
        <f t="shared" si="1"/>
        <v>SKU-009|Blender Philips HR2157|Home &amp; Living|47|20|4|9|SUP_HM01|2025-09-09|750000|2025-09-01</v>
      </c>
    </row>
    <row r="226">
      <c r="A226" s="1" t="s">
        <v>31</v>
      </c>
      <c r="B226" s="1" t="s">
        <v>32</v>
      </c>
      <c r="C226" s="1" t="s">
        <v>13</v>
      </c>
      <c r="D226" s="1">
        <v>153.0</v>
      </c>
      <c r="E226" s="1">
        <v>40.0</v>
      </c>
      <c r="F226" s="1">
        <v>4.0</v>
      </c>
      <c r="G226" s="1">
        <v>5.0</v>
      </c>
      <c r="H226" s="1" t="s">
        <v>33</v>
      </c>
      <c r="I226" s="2">
        <v>46097.0</v>
      </c>
      <c r="J226" s="1">
        <v>550000.0</v>
      </c>
      <c r="K226" s="2">
        <v>46082.0</v>
      </c>
      <c r="L226" s="3" t="str">
        <f t="shared" si="1"/>
        <v>SKU-013|Skincare Set Whitelab|Beauty|153|40|4|5|SUP_BT01|2026-03-16|550000|2026-03-01</v>
      </c>
    </row>
    <row r="227">
      <c r="A227" s="1" t="s">
        <v>15</v>
      </c>
      <c r="B227" s="1" t="s">
        <v>16</v>
      </c>
      <c r="C227" s="1" t="s">
        <v>17</v>
      </c>
      <c r="D227" s="1">
        <v>19.0</v>
      </c>
      <c r="E227" s="1">
        <v>15.0</v>
      </c>
      <c r="F227" s="1">
        <v>3.0</v>
      </c>
      <c r="G227" s="1">
        <v>5.0</v>
      </c>
      <c r="H227" s="1" t="s">
        <v>18</v>
      </c>
      <c r="I227" s="2">
        <v>45903.0</v>
      </c>
      <c r="J227" s="1">
        <v>8500000.0</v>
      </c>
      <c r="K227" s="2">
        <v>45901.0</v>
      </c>
      <c r="L227" s="3" t="str">
        <f t="shared" si="1"/>
        <v>SKU-001|Laptop ASUS Vivobook|Electronics|19|15|3|5|SUP_EL01|2025-09-03|8500000|2025-09-01</v>
      </c>
    </row>
    <row r="228">
      <c r="A228" s="1" t="s">
        <v>21</v>
      </c>
      <c r="B228" s="1" t="s">
        <v>22</v>
      </c>
      <c r="C228" s="1" t="s">
        <v>23</v>
      </c>
      <c r="D228" s="1">
        <v>0.0</v>
      </c>
      <c r="E228" s="1">
        <v>50.0</v>
      </c>
      <c r="F228" s="1">
        <v>12.0</v>
      </c>
      <c r="G228" s="1">
        <v>5.0</v>
      </c>
      <c r="H228" s="1" t="s">
        <v>24</v>
      </c>
      <c r="I228" s="2">
        <v>45971.0</v>
      </c>
      <c r="J228" s="1">
        <v>350000.0</v>
      </c>
      <c r="K228" s="2">
        <v>45962.0</v>
      </c>
      <c r="L228" s="3" t="str">
        <f t="shared" si="1"/>
        <v>SKU-005|Kemeja Formal Pria|Fashion|0|50|12|5|SUP_FA01|2025-11-10|350000|2025-11-01</v>
      </c>
    </row>
    <row r="229">
      <c r="A229" s="1" t="s">
        <v>51</v>
      </c>
      <c r="B229" s="1" t="s">
        <v>52</v>
      </c>
      <c r="C229" s="1" t="s">
        <v>36</v>
      </c>
      <c r="D229" s="1">
        <v>37.0</v>
      </c>
      <c r="E229" s="1">
        <v>60.0</v>
      </c>
      <c r="F229" s="1">
        <v>8.0</v>
      </c>
      <c r="G229" s="1">
        <v>5.0</v>
      </c>
      <c r="H229" s="1" t="s">
        <v>50</v>
      </c>
      <c r="I229" s="2">
        <v>45795.0</v>
      </c>
      <c r="J229" s="1">
        <v>175000.0</v>
      </c>
      <c r="K229" s="2">
        <v>45778.0</v>
      </c>
      <c r="L229" s="3" t="str">
        <f t="shared" si="1"/>
        <v>SKU-019|Madu Hutan Asli 500ml|Food &amp; Beverage|37|60|8|5|SUP_FB02|2025-05-18|175000|2025-05-01</v>
      </c>
    </row>
    <row r="230">
      <c r="A230" s="1" t="s">
        <v>21</v>
      </c>
      <c r="B230" s="1" t="s">
        <v>22</v>
      </c>
      <c r="C230" s="1" t="s">
        <v>23</v>
      </c>
      <c r="D230" s="1">
        <v>49.0</v>
      </c>
      <c r="E230" s="1">
        <v>50.0</v>
      </c>
      <c r="F230" s="1">
        <v>5.0</v>
      </c>
      <c r="H230" s="1" t="s">
        <v>24</v>
      </c>
      <c r="I230" s="2">
        <v>45784.0</v>
      </c>
      <c r="J230" s="1">
        <v>350000.0</v>
      </c>
      <c r="K230" s="2">
        <v>45778.0</v>
      </c>
      <c r="L230" s="3" t="str">
        <f t="shared" si="1"/>
        <v>SKU-005|Kemeja Formal Pria|Fashion|49|50|5||SUP_FA01|2025-05-07|350000|2025-05-01</v>
      </c>
    </row>
    <row r="231">
      <c r="A231" s="1" t="s">
        <v>60</v>
      </c>
      <c r="B231" s="1" t="s">
        <v>61</v>
      </c>
      <c r="C231" s="1" t="s">
        <v>17</v>
      </c>
      <c r="D231" s="1">
        <v>22.0</v>
      </c>
      <c r="E231" s="1">
        <v>20.0</v>
      </c>
      <c r="F231" s="1">
        <v>4.0</v>
      </c>
      <c r="G231" s="1">
        <v>8.0</v>
      </c>
      <c r="H231" s="1" t="s">
        <v>27</v>
      </c>
      <c r="I231" s="2">
        <v>46103.0</v>
      </c>
      <c r="J231" s="1">
        <v>3200000.0</v>
      </c>
      <c r="K231" s="2">
        <v>46082.0</v>
      </c>
      <c r="L231" s="3" t="str">
        <f t="shared" si="1"/>
        <v>SKU-003|Headphone Sony WH-1000|Electronics|22|20|4|8|SUP_EL02|2026-03-22|3200000|2026-03-01</v>
      </c>
    </row>
    <row r="232">
      <c r="A232" s="1" t="s">
        <v>55</v>
      </c>
      <c r="B232" s="1" t="s">
        <v>56</v>
      </c>
      <c r="C232" s="1" t="s">
        <v>36</v>
      </c>
      <c r="D232" s="1">
        <v>58.0</v>
      </c>
      <c r="E232" s="1">
        <v>100.0</v>
      </c>
      <c r="F232" s="1">
        <v>14.0</v>
      </c>
      <c r="G232" s="1">
        <v>3.0</v>
      </c>
      <c r="H232" s="1" t="s">
        <v>37</v>
      </c>
      <c r="I232" s="2">
        <v>45951.0</v>
      </c>
      <c r="J232" s="1">
        <v>85000.0</v>
      </c>
      <c r="K232" s="2">
        <v>45931.0</v>
      </c>
      <c r="L232" s="3" t="str">
        <f t="shared" si="1"/>
        <v>SKU-017|Kopi Arabika 250g Pack|Food &amp; Beverage|58|100|14|3|SUP_FB01|2025-10-21|85000|2025-10-01</v>
      </c>
    </row>
    <row r="233">
      <c r="A233" s="1" t="s">
        <v>40</v>
      </c>
      <c r="B233" s="1" t="s">
        <v>41</v>
      </c>
      <c r="C233" s="1" t="s">
        <v>42</v>
      </c>
      <c r="D233" s="1">
        <v>14.0</v>
      </c>
      <c r="E233" s="1">
        <v>15.0</v>
      </c>
      <c r="F233" s="1">
        <v>2.0</v>
      </c>
      <c r="G233" s="1">
        <v>5.0</v>
      </c>
      <c r="H233" s="1" t="s">
        <v>43</v>
      </c>
      <c r="I233" s="2">
        <v>45858.0</v>
      </c>
      <c r="J233" s="1">
        <v>1200000.0</v>
      </c>
      <c r="K233" s="2">
        <v>45839.0</v>
      </c>
      <c r="L233" s="3" t="str">
        <f t="shared" si="1"/>
        <v>SKU-011|Vacuum Cleaner Deerma|Home &amp; Living|14|15|2|5|SUP_HM02|2025-07-20|1200000|2025-07-01</v>
      </c>
    </row>
    <row r="234">
      <c r="A234" s="1" t="s">
        <v>60</v>
      </c>
      <c r="B234" s="1" t="s">
        <v>61</v>
      </c>
      <c r="C234" s="1" t="s">
        <v>17</v>
      </c>
      <c r="D234" s="1">
        <v>0.0</v>
      </c>
      <c r="E234" s="1">
        <v>20.0</v>
      </c>
      <c r="F234" s="1">
        <v>4.0</v>
      </c>
      <c r="G234" s="1">
        <v>17.0</v>
      </c>
      <c r="H234" s="1" t="s">
        <v>27</v>
      </c>
      <c r="I234" s="2">
        <v>45964.0</v>
      </c>
      <c r="J234" s="1">
        <v>3200000.0</v>
      </c>
      <c r="K234" s="2">
        <v>45962.0</v>
      </c>
      <c r="L234" s="3" t="str">
        <f t="shared" si="1"/>
        <v>SKU-003|Headphone Sony WH-1000|Electronics|0|20|4|17|SUP_EL02|2025-11-03|3200000|2025-11-01</v>
      </c>
    </row>
    <row r="235">
      <c r="A235" s="1" t="s">
        <v>64</v>
      </c>
      <c r="B235" s="1" t="s">
        <v>65</v>
      </c>
      <c r="C235" s="1" t="s">
        <v>42</v>
      </c>
      <c r="D235" s="1">
        <v>26.0</v>
      </c>
      <c r="E235" s="1">
        <v>20.0</v>
      </c>
      <c r="F235" s="1">
        <v>2.0</v>
      </c>
      <c r="G235" s="1">
        <v>10.0</v>
      </c>
      <c r="H235" s="1" t="s">
        <v>59</v>
      </c>
      <c r="I235" s="2">
        <v>45762.0</v>
      </c>
      <c r="J235" s="1">
        <v>750000.0</v>
      </c>
      <c r="K235" s="2">
        <v>45748.0</v>
      </c>
      <c r="L235" s="3" t="str">
        <f t="shared" si="1"/>
        <v>SKU-009|Blender Philips HR2157|Home &amp; Living|26|20|2|10|SUP_HM01|2025-04-15|750000|2025-04-01</v>
      </c>
    </row>
    <row r="236">
      <c r="A236" s="1" t="s">
        <v>48</v>
      </c>
      <c r="B236" s="1" t="s">
        <v>49</v>
      </c>
      <c r="C236" s="1" t="s">
        <v>36</v>
      </c>
      <c r="D236" s="1">
        <v>12.0</v>
      </c>
      <c r="E236" s="1">
        <v>120.0</v>
      </c>
      <c r="F236" s="1">
        <v>21.0</v>
      </c>
      <c r="G236" s="1">
        <v>5.0</v>
      </c>
      <c r="H236" s="1" t="s">
        <v>50</v>
      </c>
      <c r="I236" s="2">
        <v>45706.0</v>
      </c>
      <c r="J236" s="1">
        <v>55000.0</v>
      </c>
      <c r="K236" s="2">
        <v>45689.0</v>
      </c>
      <c r="L236" s="3" t="str">
        <f t="shared" si="1"/>
        <v>SKU-020|Snack Granola Mix 500g|Food &amp; Beverage|12|120|21|5|SUP_FB02|2025-02-18|55000|2025-02-01</v>
      </c>
    </row>
    <row r="237">
      <c r="A237" s="1" t="s">
        <v>53</v>
      </c>
      <c r="B237" s="1" t="s">
        <v>54</v>
      </c>
      <c r="C237" s="1" t="s">
        <v>13</v>
      </c>
      <c r="D237" s="1">
        <v>292.0</v>
      </c>
      <c r="E237" s="1">
        <v>60.0</v>
      </c>
      <c r="F237" s="1">
        <v>3.0</v>
      </c>
      <c r="G237" s="1">
        <v>8.0</v>
      </c>
      <c r="H237" s="1" t="s">
        <v>14</v>
      </c>
      <c r="I237" s="2">
        <v>45869.0</v>
      </c>
      <c r="J237" s="1">
        <v>165000.0</v>
      </c>
      <c r="K237" s="2">
        <v>45839.0</v>
      </c>
      <c r="L237" s="3" t="str">
        <f t="shared" si="1"/>
        <v>SKU-015|Foundation Maybelline Fit|Beauty|292|60|3|8|SUP_BT02|2025-07-31|165000|2025-07-01</v>
      </c>
    </row>
    <row r="238">
      <c r="A238" s="1" t="s">
        <v>40</v>
      </c>
      <c r="B238" s="1" t="s">
        <v>41</v>
      </c>
      <c r="C238" s="1" t="s">
        <v>42</v>
      </c>
      <c r="D238" s="1">
        <v>18.0</v>
      </c>
      <c r="E238" s="1">
        <v>15.0</v>
      </c>
      <c r="F238" s="1">
        <v>3.0</v>
      </c>
      <c r="G238" s="1">
        <v>5.0</v>
      </c>
      <c r="H238" s="1" t="s">
        <v>43</v>
      </c>
      <c r="I238" s="2">
        <v>45774.0</v>
      </c>
      <c r="J238" s="1">
        <v>1200000.0</v>
      </c>
      <c r="K238" s="2">
        <v>45748.0</v>
      </c>
      <c r="L238" s="3" t="str">
        <f t="shared" si="1"/>
        <v>SKU-011|Vacuum Cleaner Deerma|Home &amp; Living|18|15|3|5|SUP_HM02|2025-04-27|1200000|2025-04-01</v>
      </c>
    </row>
    <row r="239">
      <c r="A239" s="1" t="s">
        <v>25</v>
      </c>
      <c r="B239" s="1" t="s">
        <v>26</v>
      </c>
      <c r="C239" s="1" t="s">
        <v>17</v>
      </c>
      <c r="D239" s="1">
        <v>29.0</v>
      </c>
      <c r="E239" s="1">
        <v>25.0</v>
      </c>
      <c r="F239" s="1">
        <v>4.0</v>
      </c>
      <c r="G239" s="1">
        <v>11.0</v>
      </c>
      <c r="H239" s="1" t="s">
        <v>27</v>
      </c>
      <c r="I239" s="2">
        <v>45917.0</v>
      </c>
      <c r="J239" s="1">
        <v>4500000.0</v>
      </c>
      <c r="K239" s="2">
        <v>45901.0</v>
      </c>
      <c r="L239" s="3" t="str">
        <f t="shared" si="1"/>
        <v>SKU-002|Smartphone Samsung A54|Electronics|29|25|4|11|SUP_EL02|2025-09-17|4500000|2025-09-01</v>
      </c>
    </row>
    <row r="240">
      <c r="A240" s="1" t="s">
        <v>48</v>
      </c>
      <c r="B240" s="1" t="s">
        <v>49</v>
      </c>
      <c r="C240" s="1" t="s">
        <v>36</v>
      </c>
      <c r="D240" s="1">
        <v>68.0</v>
      </c>
      <c r="E240" s="1">
        <v>120.0</v>
      </c>
      <c r="F240" s="1">
        <v>16.0</v>
      </c>
      <c r="G240" s="1">
        <v>6.0</v>
      </c>
      <c r="H240" s="1" t="s">
        <v>50</v>
      </c>
      <c r="I240" s="2">
        <v>45672.0</v>
      </c>
      <c r="J240" s="1">
        <v>55000.0</v>
      </c>
      <c r="K240" s="2">
        <v>45658.0</v>
      </c>
      <c r="L240" s="3" t="str">
        <f t="shared" si="1"/>
        <v>SKU-020|Snack Granola Mix 500g|Food &amp; Beverage|68|120|16|6|SUP_FB02|2025-01-15|55000|2025-01-01</v>
      </c>
    </row>
    <row r="241">
      <c r="A241" s="1" t="s">
        <v>46</v>
      </c>
      <c r="B241" s="1" t="s">
        <v>47</v>
      </c>
      <c r="C241" s="1" t="s">
        <v>23</v>
      </c>
      <c r="D241" s="1">
        <v>35.0</v>
      </c>
      <c r="E241" s="1">
        <v>40.0</v>
      </c>
      <c r="F241" s="1">
        <v>4.0</v>
      </c>
      <c r="G241" s="1">
        <v>5.0</v>
      </c>
      <c r="H241" s="1" t="s">
        <v>30</v>
      </c>
      <c r="I241" s="2">
        <v>46161.0</v>
      </c>
      <c r="J241" s="1">
        <v>550000.0</v>
      </c>
      <c r="K241" s="2">
        <v>45809.0</v>
      </c>
      <c r="L241" s="3" t="str">
        <f t="shared" si="1"/>
        <v>SKU-008|Tas Ransel Eiger|Fashion|35|40|4|5|SUP_FA02|2026-05-19|550000|2025-06-01</v>
      </c>
    </row>
    <row r="242">
      <c r="A242" s="1" t="s">
        <v>38</v>
      </c>
      <c r="B242" s="1" t="s">
        <v>39</v>
      </c>
      <c r="C242" s="1" t="s">
        <v>23</v>
      </c>
      <c r="D242" s="1">
        <v>15.0</v>
      </c>
      <c r="E242" s="1">
        <v>45.0</v>
      </c>
      <c r="F242" s="1">
        <v>7.0</v>
      </c>
      <c r="G242" s="1">
        <v>4.0</v>
      </c>
      <c r="H242" s="1" t="s">
        <v>24</v>
      </c>
      <c r="I242" s="2">
        <v>45856.0</v>
      </c>
      <c r="J242" s="1">
        <v>450000.0</v>
      </c>
      <c r="K242" s="2">
        <v>45839.0</v>
      </c>
      <c r="L242" s="3" t="str">
        <f t="shared" si="1"/>
        <v>SKU-006|Dress Casual Wanita|Fashion|15|45|7|4|SUP_FA01|2025-07-18|450000|2025-07-01</v>
      </c>
    </row>
    <row r="243">
      <c r="A243" s="1" t="s">
        <v>11</v>
      </c>
      <c r="B243" s="1" t="s">
        <v>12</v>
      </c>
      <c r="C243" s="1" t="s">
        <v>13</v>
      </c>
      <c r="D243" s="1">
        <v>172.0</v>
      </c>
      <c r="E243" s="1">
        <v>50.0</v>
      </c>
      <c r="F243" s="1">
        <v>2.0</v>
      </c>
      <c r="G243" s="1">
        <v>6.0</v>
      </c>
      <c r="H243" s="1" t="s">
        <v>14</v>
      </c>
      <c r="I243" s="2">
        <v>46018.0</v>
      </c>
      <c r="J243" s="1">
        <v>125000.0</v>
      </c>
      <c r="K243" s="2">
        <v>45992.0</v>
      </c>
      <c r="L243" s="3" t="str">
        <f t="shared" si="1"/>
        <v>SKU-016|Parfum EDT Brasov 100ml|Beauty|172|50|2|6|SUP_BT02|2025-12-27|125000|2025-12-01</v>
      </c>
    </row>
    <row r="244">
      <c r="A244" s="1" t="s">
        <v>62</v>
      </c>
      <c r="B244" s="1" t="s">
        <v>63</v>
      </c>
      <c r="C244" s="1" t="s">
        <v>13</v>
      </c>
      <c r="D244" s="1">
        <v>392.0</v>
      </c>
      <c r="E244" s="1">
        <v>80.0</v>
      </c>
      <c r="F244" s="1">
        <v>3.0</v>
      </c>
      <c r="G244" s="1">
        <v>6.0</v>
      </c>
      <c r="H244" s="1" t="s">
        <v>33</v>
      </c>
      <c r="I244" s="2">
        <v>46030.0</v>
      </c>
      <c r="J244" s="1">
        <v>85000.0</v>
      </c>
      <c r="K244" s="2">
        <v>46023.0</v>
      </c>
      <c r="L244" s="3" t="str">
        <f t="shared" si="1"/>
        <v>SKU-014|Lipstik Matte Wardah|Beauty|392|80|3|6|SUP_BT01|2026-01-08|85000|2026-01-01</v>
      </c>
    </row>
    <row r="245">
      <c r="A245" s="1" t="s">
        <v>53</v>
      </c>
      <c r="B245" s="1" t="s">
        <v>54</v>
      </c>
      <c r="C245" s="1" t="s">
        <v>13</v>
      </c>
      <c r="D245" s="1">
        <v>205.0</v>
      </c>
      <c r="E245" s="1">
        <v>60.0</v>
      </c>
      <c r="F245" s="1">
        <v>4.0</v>
      </c>
      <c r="G245" s="1">
        <v>7.0</v>
      </c>
      <c r="H245" s="1" t="s">
        <v>14</v>
      </c>
      <c r="I245" s="2">
        <v>45739.0</v>
      </c>
      <c r="J245" s="1">
        <v>165000.0</v>
      </c>
      <c r="K245" s="2">
        <v>45717.0</v>
      </c>
      <c r="L245" s="3" t="str">
        <f t="shared" si="1"/>
        <v>SKU-015|Foundation Maybelline Fit|Beauty|205|60|4|7|SUP_BT02|2025-03-23|165000|2025-03-01</v>
      </c>
    </row>
    <row r="246">
      <c r="A246" s="1" t="s">
        <v>60</v>
      </c>
      <c r="B246" s="1" t="s">
        <v>61</v>
      </c>
      <c r="C246" s="1" t="s">
        <v>17</v>
      </c>
      <c r="D246" s="1">
        <v>7.0</v>
      </c>
      <c r="E246" s="1">
        <v>20.0</v>
      </c>
      <c r="F246" s="1">
        <v>2.0</v>
      </c>
      <c r="G246" s="1">
        <v>7.0</v>
      </c>
      <c r="H246" s="1" t="s">
        <v>27</v>
      </c>
      <c r="I246" s="2">
        <v>45933.0</v>
      </c>
      <c r="J246" s="1">
        <v>3200000.0</v>
      </c>
      <c r="K246" s="2">
        <v>45931.0</v>
      </c>
      <c r="L246" s="3" t="str">
        <f t="shared" si="1"/>
        <v>SKU-003|Headphone Sony WH-1000|Electronics|7|20|2|7|SUP_EL02|2025-10-03|3200000|2025-10-01</v>
      </c>
    </row>
    <row r="247">
      <c r="A247" s="1" t="s">
        <v>55</v>
      </c>
      <c r="B247" s="1" t="s">
        <v>56</v>
      </c>
      <c r="C247" s="1" t="s">
        <v>36</v>
      </c>
      <c r="D247" s="1">
        <v>60.0</v>
      </c>
      <c r="E247" s="1">
        <v>100.0</v>
      </c>
      <c r="F247" s="1">
        <v>22.0</v>
      </c>
      <c r="G247" s="1">
        <v>5.0</v>
      </c>
      <c r="H247" s="1" t="s">
        <v>37</v>
      </c>
      <c r="I247" s="2">
        <v>46109.0</v>
      </c>
      <c r="J247" s="1">
        <v>85000.0</v>
      </c>
      <c r="K247" s="2">
        <v>46082.0</v>
      </c>
      <c r="L247" s="3" t="str">
        <f t="shared" si="1"/>
        <v>SKU-017|Kopi Arabika 250g Pack|Food &amp; Beverage|60|100|22|5|SUP_FB01|2026-03-28|85000|2026-03-01</v>
      </c>
    </row>
    <row r="248">
      <c r="A248" s="1" t="s">
        <v>11</v>
      </c>
      <c r="B248" s="1" t="s">
        <v>12</v>
      </c>
      <c r="C248" s="1" t="s">
        <v>13</v>
      </c>
      <c r="D248" s="1">
        <v>230.0</v>
      </c>
      <c r="E248" s="1">
        <v>50.0</v>
      </c>
      <c r="F248" s="1">
        <v>1.0</v>
      </c>
      <c r="G248" s="1">
        <v>4.0</v>
      </c>
      <c r="H248" s="1" t="s">
        <v>14</v>
      </c>
      <c r="I248" s="2">
        <v>45939.0</v>
      </c>
      <c r="J248" s="1">
        <v>125000.0</v>
      </c>
      <c r="K248" s="2">
        <v>45931.0</v>
      </c>
      <c r="L248" s="3" t="str">
        <f t="shared" si="1"/>
        <v>SKU-016|Parfum EDT Brasov 100ml|Beauty|230|50|1|4|SUP_BT02|2025-10-09|125000|2025-10-01</v>
      </c>
    </row>
    <row r="249">
      <c r="A249" s="1" t="s">
        <v>34</v>
      </c>
      <c r="B249" s="1" t="s">
        <v>35</v>
      </c>
      <c r="C249" s="1" t="s">
        <v>36</v>
      </c>
      <c r="D249" s="1">
        <v>0.0</v>
      </c>
      <c r="E249" s="1">
        <v>80.0</v>
      </c>
      <c r="F249" s="1">
        <v>17.0</v>
      </c>
      <c r="G249" s="1">
        <v>5.0</v>
      </c>
      <c r="H249" s="1" t="s">
        <v>37</v>
      </c>
      <c r="I249" s="2">
        <v>46012.0</v>
      </c>
      <c r="J249" s="1">
        <v>65000.0</v>
      </c>
      <c r="K249" s="2">
        <v>45992.0</v>
      </c>
      <c r="L249" s="3" t="str">
        <f t="shared" si="1"/>
        <v>SKU-018|Teh Organik Premium Box|Food &amp; Beverage|0|80|17|5|SUP_FB01|2025-12-21|65000|2025-12-01</v>
      </c>
    </row>
    <row r="250">
      <c r="A250" s="1" t="s">
        <v>62</v>
      </c>
      <c r="B250" s="1" t="s">
        <v>63</v>
      </c>
      <c r="C250" s="1" t="s">
        <v>13</v>
      </c>
      <c r="D250" s="1">
        <v>302.0</v>
      </c>
      <c r="E250" s="1">
        <v>80.0</v>
      </c>
      <c r="F250" s="1">
        <v>3.0</v>
      </c>
      <c r="G250" s="1">
        <v>5.0</v>
      </c>
      <c r="H250" s="1" t="s">
        <v>33</v>
      </c>
      <c r="I250" s="2">
        <v>45797.0</v>
      </c>
      <c r="J250" s="1">
        <v>85000.0</v>
      </c>
      <c r="K250" s="2">
        <v>45778.0</v>
      </c>
      <c r="L250" s="3" t="str">
        <f t="shared" si="1"/>
        <v>SKU-014|Lipstik Matte Wardah|Beauty|302|80|3|5|SUP_BT01|2025-05-20|85000|2025-05-01</v>
      </c>
    </row>
    <row r="251">
      <c r="A251" s="1" t="s">
        <v>15</v>
      </c>
      <c r="B251" s="1" t="s">
        <v>16</v>
      </c>
      <c r="C251" s="1" t="s">
        <v>17</v>
      </c>
      <c r="D251" s="1">
        <v>9.0</v>
      </c>
      <c r="E251" s="1">
        <v>15.0</v>
      </c>
      <c r="F251" s="1">
        <v>1.0</v>
      </c>
      <c r="G251" s="1">
        <v>6.0</v>
      </c>
      <c r="H251" s="1" t="s">
        <v>18</v>
      </c>
      <c r="I251" s="2">
        <v>46109.0</v>
      </c>
      <c r="J251" s="1">
        <v>8500000.0</v>
      </c>
      <c r="K251" s="2">
        <v>46082.0</v>
      </c>
      <c r="L251" s="3" t="str">
        <f t="shared" si="1"/>
        <v>SKU-001|Laptop ASUS Vivobook|Electronics|9|15|1|6|SUP_EL01|2026-03-28|8500000|2026-03-01</v>
      </c>
    </row>
    <row r="252">
      <c r="A252" s="1" t="s">
        <v>19</v>
      </c>
      <c r="B252" s="1" t="s">
        <v>20</v>
      </c>
      <c r="C252" s="1" t="s">
        <v>17</v>
      </c>
      <c r="D252" s="1">
        <v>26.0</v>
      </c>
      <c r="E252" s="1">
        <v>30.0</v>
      </c>
      <c r="F252" s="1">
        <v>2.0</v>
      </c>
      <c r="G252" s="1">
        <v>9.0</v>
      </c>
      <c r="H252" s="1" t="s">
        <v>18</v>
      </c>
      <c r="I252" s="2">
        <v>45731.0</v>
      </c>
      <c r="J252" s="1">
        <v>1200000.0</v>
      </c>
      <c r="K252" s="2">
        <v>45717.0</v>
      </c>
      <c r="L252" s="3" t="str">
        <f t="shared" si="1"/>
        <v>SKU-004|Smartwatch Xiaomi Band|Electronics|26|30|2|9|SUP_EL01|2025-03-15|1200000|2025-03-01</v>
      </c>
    </row>
    <row r="253">
      <c r="A253" s="1" t="s">
        <v>28</v>
      </c>
      <c r="B253" s="1" t="s">
        <v>29</v>
      </c>
      <c r="C253" s="1" t="s">
        <v>23</v>
      </c>
      <c r="D253" s="1">
        <v>20.0</v>
      </c>
      <c r="E253" s="1">
        <v>35.0</v>
      </c>
      <c r="F253" s="1">
        <v>5.0</v>
      </c>
      <c r="G253" s="1">
        <v>8.0</v>
      </c>
      <c r="H253" s="1" t="s">
        <v>30</v>
      </c>
      <c r="I253" s="2">
        <v>45784.0</v>
      </c>
      <c r="J253" s="1">
        <v>1250000.0</v>
      </c>
      <c r="K253" s="2">
        <v>45778.0</v>
      </c>
      <c r="L253" s="3" t="str">
        <f t="shared" si="1"/>
        <v>SKU-007|Sepatu Sneakers Nike|Fashion|20|35|5|8|SUP_FA02|2025-05-07|1250000|2025-05-01</v>
      </c>
    </row>
    <row r="254">
      <c r="A254" s="1" t="s">
        <v>51</v>
      </c>
      <c r="B254" s="1" t="s">
        <v>52</v>
      </c>
      <c r="C254" s="1" t="s">
        <v>36</v>
      </c>
      <c r="D254" s="1">
        <v>15.0</v>
      </c>
      <c r="E254" s="1">
        <v>60.0</v>
      </c>
      <c r="F254" s="1">
        <v>7.0</v>
      </c>
      <c r="G254" s="1">
        <v>5.0</v>
      </c>
      <c r="H254" s="1" t="s">
        <v>50</v>
      </c>
      <c r="I254" s="2">
        <v>45827.0</v>
      </c>
      <c r="J254" s="1">
        <v>175000.0</v>
      </c>
      <c r="K254" s="2">
        <v>45809.0</v>
      </c>
      <c r="L254" s="3" t="str">
        <f t="shared" si="1"/>
        <v>SKU-019|Madu Hutan Asli 500ml|Food &amp; Beverage|15|60|7|5|SUP_FB02|2025-06-19|175000|2025-06-01</v>
      </c>
    </row>
    <row r="255">
      <c r="A255" s="1" t="s">
        <v>11</v>
      </c>
      <c r="B255" s="1" t="s">
        <v>12</v>
      </c>
      <c r="C255" s="1" t="s">
        <v>13</v>
      </c>
      <c r="D255" s="1">
        <v>-15.0</v>
      </c>
      <c r="E255" s="1">
        <v>50.0</v>
      </c>
      <c r="F255" s="1">
        <v>3.0</v>
      </c>
      <c r="G255" s="1">
        <v>6.0</v>
      </c>
      <c r="H255" s="1" t="s">
        <v>14</v>
      </c>
      <c r="I255" s="2">
        <v>45734.0</v>
      </c>
      <c r="J255" s="1">
        <v>125000.0</v>
      </c>
      <c r="K255" s="2">
        <v>45717.0</v>
      </c>
      <c r="L255" s="3" t="str">
        <f t="shared" si="1"/>
        <v>SKU-016|Parfum EDT Brasov 100ml|Beauty|-15|50|3|6|SUP_BT02|2025-03-18|125000|2025-03-01</v>
      </c>
    </row>
    <row r="256">
      <c r="A256" s="1" t="s">
        <v>51</v>
      </c>
      <c r="B256" s="1" t="s">
        <v>52</v>
      </c>
      <c r="C256" s="1" t="s">
        <v>36</v>
      </c>
      <c r="D256" s="1">
        <v>0.0</v>
      </c>
      <c r="E256" s="1">
        <v>60.0</v>
      </c>
      <c r="F256" s="1">
        <v>11.0</v>
      </c>
      <c r="G256" s="1">
        <v>5.0</v>
      </c>
      <c r="H256" s="1" t="s">
        <v>50</v>
      </c>
      <c r="I256" s="2">
        <v>46083.0</v>
      </c>
      <c r="J256" s="1">
        <v>175000.0</v>
      </c>
      <c r="K256" s="2">
        <v>46082.0</v>
      </c>
      <c r="L256" s="3" t="str">
        <f t="shared" si="1"/>
        <v>SKU-019|Madu Hutan Asli 500ml|Food &amp; Beverage|0|60|11|5|SUP_FB02|2026-03-02|175000|2026-03-01</v>
      </c>
    </row>
    <row r="257">
      <c r="A257" s="1" t="s">
        <v>62</v>
      </c>
      <c r="B257" s="1" t="s">
        <v>63</v>
      </c>
      <c r="C257" s="1" t="s">
        <v>13</v>
      </c>
      <c r="D257" s="1">
        <v>386.0</v>
      </c>
      <c r="E257" s="1">
        <v>80.0</v>
      </c>
      <c r="F257" s="1">
        <v>3.0</v>
      </c>
      <c r="G257" s="1">
        <v>6.0</v>
      </c>
      <c r="H257" s="1" t="s">
        <v>33</v>
      </c>
      <c r="I257" s="2">
        <v>45852.0</v>
      </c>
      <c r="J257" s="1">
        <v>85000.0</v>
      </c>
      <c r="K257" s="2">
        <v>45839.0</v>
      </c>
      <c r="L257" s="3" t="str">
        <f t="shared" si="1"/>
        <v>SKU-014|Lipstik Matte Wardah|Beauty|386|80|3|6|SUP_BT01|2025-07-14|85000|2025-07-01</v>
      </c>
    </row>
    <row r="258">
      <c r="A258" s="1" t="s">
        <v>40</v>
      </c>
      <c r="B258" s="1" t="s">
        <v>41</v>
      </c>
      <c r="C258" s="1" t="s">
        <v>42</v>
      </c>
      <c r="D258" s="1">
        <v>9.0</v>
      </c>
      <c r="E258" s="1">
        <v>15.0</v>
      </c>
      <c r="F258" s="1">
        <v>1.0</v>
      </c>
      <c r="G258" s="1">
        <v>8.0</v>
      </c>
      <c r="H258" s="1" t="s">
        <v>43</v>
      </c>
      <c r="I258" s="2">
        <v>46014.0</v>
      </c>
      <c r="J258" s="1">
        <v>1200000.0</v>
      </c>
      <c r="K258" s="2">
        <v>45992.0</v>
      </c>
      <c r="L258" s="3" t="str">
        <f t="shared" si="1"/>
        <v>SKU-011|Vacuum Cleaner Deerma|Home &amp; Living|9|15|1|8|SUP_HM02|2025-12-23|1200000|2025-12-01</v>
      </c>
    </row>
    <row r="259">
      <c r="A259" s="1" t="s">
        <v>60</v>
      </c>
      <c r="B259" s="1" t="s">
        <v>61</v>
      </c>
      <c r="C259" s="1" t="s">
        <v>17</v>
      </c>
      <c r="D259" s="1">
        <v>27.0</v>
      </c>
      <c r="E259" s="1">
        <v>20.0</v>
      </c>
      <c r="F259" s="1">
        <v>2.0</v>
      </c>
      <c r="G259" s="1">
        <v>13.0</v>
      </c>
      <c r="H259" s="1" t="s">
        <v>27</v>
      </c>
      <c r="I259" s="2">
        <v>46057.0</v>
      </c>
      <c r="J259" s="1">
        <v>3200000.0</v>
      </c>
      <c r="K259" s="2">
        <v>46054.0</v>
      </c>
      <c r="L259" s="3" t="str">
        <f t="shared" si="1"/>
        <v>SKU-003|Headphone Sony WH-1000|Electronics|27|20|2|13|SUP_EL02|2026-02-04|3200000|2026-02-01</v>
      </c>
    </row>
    <row r="260">
      <c r="A260" s="1" t="s">
        <v>53</v>
      </c>
      <c r="B260" s="1" t="s">
        <v>54</v>
      </c>
      <c r="C260" s="1" t="s">
        <v>13</v>
      </c>
      <c r="D260" s="1">
        <v>292.0</v>
      </c>
      <c r="E260" s="1">
        <v>60.0</v>
      </c>
      <c r="F260" s="1">
        <v>3.0</v>
      </c>
      <c r="G260" s="1">
        <v>6.0</v>
      </c>
      <c r="H260" s="1" t="s">
        <v>14</v>
      </c>
      <c r="I260" s="2">
        <v>45888.0</v>
      </c>
      <c r="J260" s="1">
        <v>165000.0</v>
      </c>
      <c r="K260" s="2">
        <v>45870.0</v>
      </c>
      <c r="L260" s="3" t="str">
        <f t="shared" si="1"/>
        <v>SKU-015|Foundation Maybelline Fit|Beauty|292|60|3|6|SUP_BT02|2025-08-19|165000|2025-08-01</v>
      </c>
    </row>
    <row r="261">
      <c r="A261" s="1" t="s">
        <v>31</v>
      </c>
      <c r="B261" s="1" t="s">
        <v>32</v>
      </c>
      <c r="C261" s="1" t="s">
        <v>13</v>
      </c>
      <c r="D261" s="1">
        <v>186.0</v>
      </c>
      <c r="E261" s="1">
        <v>40.0</v>
      </c>
      <c r="F261" s="1">
        <v>2.0</v>
      </c>
      <c r="G261" s="1">
        <v>4.0</v>
      </c>
      <c r="H261" s="1" t="s">
        <v>33</v>
      </c>
      <c r="I261" s="2">
        <v>45971.0</v>
      </c>
      <c r="J261" s="1">
        <v>550000.0</v>
      </c>
      <c r="K261" s="2">
        <v>45962.0</v>
      </c>
      <c r="L261" s="3" t="str">
        <f t="shared" si="1"/>
        <v>SKU-013|Skincare Set Whitelab|Beauty|186|40|2|4|SUP_BT01|2025-11-10|550000|2025-11-01</v>
      </c>
    </row>
    <row r="262">
      <c r="A262" s="1" t="s">
        <v>34</v>
      </c>
      <c r="B262" s="1" t="s">
        <v>35</v>
      </c>
      <c r="C262" s="1" t="s">
        <v>36</v>
      </c>
      <c r="D262" s="1">
        <v>35.0</v>
      </c>
      <c r="E262" s="1">
        <v>80.0</v>
      </c>
      <c r="F262" s="1">
        <v>13.0</v>
      </c>
      <c r="G262" s="1">
        <v>4.0</v>
      </c>
      <c r="H262" s="1" t="s">
        <v>37</v>
      </c>
      <c r="I262" s="2">
        <v>45800.0</v>
      </c>
      <c r="J262" s="1">
        <v>65000.0</v>
      </c>
      <c r="K262" s="2">
        <v>45778.0</v>
      </c>
      <c r="L262" s="3" t="str">
        <f t="shared" si="1"/>
        <v>SKU-018|Teh Organik Premium Box|Food &amp; Beverage|35|80|13|4|SUP_FB01|2025-05-23|65000|2025-05-01</v>
      </c>
    </row>
    <row r="263">
      <c r="A263" s="1" t="s">
        <v>46</v>
      </c>
      <c r="B263" s="1" t="s">
        <v>47</v>
      </c>
      <c r="C263" s="1" t="s">
        <v>23</v>
      </c>
      <c r="D263" s="1">
        <v>14.0</v>
      </c>
      <c r="E263" s="1">
        <v>40.0</v>
      </c>
      <c r="F263" s="1">
        <v>4.0</v>
      </c>
      <c r="G263" s="1">
        <v>8.0</v>
      </c>
      <c r="H263" s="1" t="s">
        <v>30</v>
      </c>
      <c r="I263" s="2">
        <v>45687.0</v>
      </c>
      <c r="J263" s="1">
        <v>550000.0</v>
      </c>
      <c r="K263" s="2">
        <v>45658.0</v>
      </c>
      <c r="L263" s="3" t="str">
        <f t="shared" si="1"/>
        <v>SKU-008|Tas Ransel Eiger|Fashion|14|40|4|8|SUP_FA02|2025-01-30|550000|2025-01-01</v>
      </c>
    </row>
    <row r="264">
      <c r="A264" s="1" t="s">
        <v>19</v>
      </c>
      <c r="B264" s="1" t="s">
        <v>20</v>
      </c>
      <c r="C264" s="1" t="s">
        <v>17</v>
      </c>
      <c r="D264" s="1">
        <v>31.0</v>
      </c>
      <c r="E264" s="1">
        <v>30.0</v>
      </c>
      <c r="F264" s="1">
        <v>3.0</v>
      </c>
      <c r="G264" s="1">
        <v>8.0</v>
      </c>
      <c r="H264" s="1" t="s">
        <v>18</v>
      </c>
      <c r="I264" s="2">
        <v>45929.0</v>
      </c>
      <c r="J264" s="1">
        <v>1200000.0</v>
      </c>
      <c r="K264" s="2">
        <v>45901.0</v>
      </c>
      <c r="L264" s="3" t="str">
        <f t="shared" si="1"/>
        <v>SKU-004|Smartwatch Xiaomi Band|Electronics|31|30|3|8|SUP_EL01|2025-09-29|1200000|2025-09-01</v>
      </c>
    </row>
    <row r="265">
      <c r="A265" s="1" t="s">
        <v>15</v>
      </c>
      <c r="B265" s="1" t="s">
        <v>16</v>
      </c>
      <c r="C265" s="1" t="s">
        <v>17</v>
      </c>
      <c r="D265" s="1">
        <v>13.0</v>
      </c>
      <c r="E265" s="1">
        <v>15.0</v>
      </c>
      <c r="F265" s="1">
        <v>1.0</v>
      </c>
      <c r="G265" s="1">
        <v>5.0</v>
      </c>
      <c r="H265" s="1" t="s">
        <v>18</v>
      </c>
      <c r="I265" s="2">
        <v>45710.0</v>
      </c>
      <c r="J265" s="1">
        <v>8500000.0</v>
      </c>
      <c r="K265" s="2">
        <v>45689.0</v>
      </c>
      <c r="L265" s="3" t="str">
        <f t="shared" si="1"/>
        <v>SKU-001|Laptop ASUS Vivobook|Electronics|13|15|1|5|SUP_EL01|2025-02-22|8500000|2025-02-01</v>
      </c>
    </row>
    <row r="266">
      <c r="A266" s="1" t="s">
        <v>19</v>
      </c>
      <c r="B266" s="1" t="s">
        <v>20</v>
      </c>
      <c r="C266" s="1" t="s">
        <v>17</v>
      </c>
      <c r="D266" s="1">
        <v>26.0</v>
      </c>
      <c r="E266" s="1">
        <v>30.0</v>
      </c>
      <c r="F266" s="1">
        <v>4.0</v>
      </c>
      <c r="G266" s="1">
        <v>8.0</v>
      </c>
      <c r="H266" s="1" t="s">
        <v>18</v>
      </c>
      <c r="I266" s="2">
        <v>45803.0</v>
      </c>
      <c r="J266" s="1">
        <v>1200000.0</v>
      </c>
      <c r="K266" s="2">
        <v>45778.0</v>
      </c>
      <c r="L266" s="3" t="str">
        <f t="shared" si="1"/>
        <v>SKU-004|Smartwatch Xiaomi Band|Electronics|26|30|4|8|SUP_EL01|2025-05-26|1200000|2025-05-01</v>
      </c>
    </row>
    <row r="267">
      <c r="A267" s="1" t="s">
        <v>38</v>
      </c>
      <c r="B267" s="1" t="s">
        <v>39</v>
      </c>
      <c r="C267" s="1" t="s">
        <v>23</v>
      </c>
      <c r="D267" s="1">
        <v>36.0</v>
      </c>
      <c r="E267" s="1">
        <v>45.0</v>
      </c>
      <c r="F267" s="1">
        <v>4.0</v>
      </c>
      <c r="G267" s="1">
        <v>3.0</v>
      </c>
      <c r="H267" s="1" t="s">
        <v>24</v>
      </c>
      <c r="I267" s="2">
        <v>45812.0</v>
      </c>
      <c r="J267" s="1">
        <v>450000.0</v>
      </c>
      <c r="K267" s="2">
        <v>45809.0</v>
      </c>
      <c r="L267" s="3" t="str">
        <f t="shared" si="1"/>
        <v>SKU-006|Dress Casual Wanita|Fashion|36|45|4|3|SUP_FA01|2025-06-04|450000|2025-06-01</v>
      </c>
    </row>
    <row r="268">
      <c r="A268" s="1" t="s">
        <v>62</v>
      </c>
      <c r="B268" s="1" t="s">
        <v>63</v>
      </c>
      <c r="C268" s="1" t="s">
        <v>13</v>
      </c>
      <c r="D268" s="1">
        <v>264.0</v>
      </c>
      <c r="E268" s="1">
        <v>80.0</v>
      </c>
      <c r="F268" s="1">
        <v>3.0</v>
      </c>
      <c r="G268" s="1">
        <v>5.0</v>
      </c>
      <c r="H268" s="1" t="s">
        <v>33</v>
      </c>
      <c r="I268" s="2">
        <v>45984.0</v>
      </c>
      <c r="J268" s="1">
        <v>85000.0</v>
      </c>
      <c r="K268" s="2">
        <v>45962.0</v>
      </c>
      <c r="L268" s="3" t="str">
        <f t="shared" si="1"/>
        <v>SKU-014|Lipstik Matte Wardah|Beauty|264|80|3|5|SUP_BT01|2025-11-23|85000|2025-11-01</v>
      </c>
    </row>
    <row r="269">
      <c r="A269" s="1" t="s">
        <v>60</v>
      </c>
      <c r="B269" s="1" t="s">
        <v>61</v>
      </c>
      <c r="C269" s="1" t="s">
        <v>17</v>
      </c>
      <c r="D269" s="1">
        <v>38.0</v>
      </c>
      <c r="E269" s="1">
        <v>20.0</v>
      </c>
      <c r="F269" s="1">
        <v>2.0</v>
      </c>
      <c r="G269" s="1">
        <v>11.0</v>
      </c>
      <c r="H269" s="1" t="s">
        <v>27</v>
      </c>
      <c r="I269" s="2">
        <v>45782.0</v>
      </c>
      <c r="J269" s="1">
        <v>3200000.0</v>
      </c>
      <c r="K269" s="2">
        <v>45778.0</v>
      </c>
      <c r="L269" s="3" t="str">
        <f t="shared" si="1"/>
        <v>SKU-003|Headphone Sony WH-1000|Electronics|38|20|2|11|SUP_EL02|2025-05-05|3200000|2025-05-01</v>
      </c>
    </row>
    <row r="270">
      <c r="A270" s="1" t="s">
        <v>34</v>
      </c>
      <c r="B270" s="1" t="s">
        <v>35</v>
      </c>
      <c r="C270" s="1" t="s">
        <v>36</v>
      </c>
      <c r="D270" s="1">
        <v>46.0</v>
      </c>
      <c r="E270" s="1">
        <v>80.0</v>
      </c>
      <c r="F270" s="1">
        <v>13.0</v>
      </c>
      <c r="G270" s="1">
        <v>5.0</v>
      </c>
      <c r="H270" s="1" t="s">
        <v>37</v>
      </c>
      <c r="I270" s="2">
        <v>45924.0</v>
      </c>
      <c r="J270" s="1">
        <v>65000.0</v>
      </c>
      <c r="K270" s="2">
        <v>45901.0</v>
      </c>
      <c r="L270" s="3" t="str">
        <f t="shared" si="1"/>
        <v>SKU-018|Teh Organik Premium Box|Food &amp; Beverage|46|80|13|5|SUP_FB01|2025-09-24|65000|2025-09-01</v>
      </c>
    </row>
    <row r="271">
      <c r="A271" s="1" t="s">
        <v>28</v>
      </c>
      <c r="B271" s="1" t="s">
        <v>29</v>
      </c>
      <c r="C271" s="1" t="s">
        <v>23</v>
      </c>
      <c r="D271" s="1">
        <v>27.0</v>
      </c>
      <c r="E271" s="1">
        <v>35.0</v>
      </c>
      <c r="F271" s="1">
        <v>5.0</v>
      </c>
      <c r="G271" s="1">
        <v>3.0</v>
      </c>
      <c r="H271" s="1" t="s">
        <v>30</v>
      </c>
      <c r="I271" s="2">
        <v>45701.0</v>
      </c>
      <c r="J271" s="1">
        <v>1250000.0</v>
      </c>
      <c r="K271" s="2">
        <v>45689.0</v>
      </c>
      <c r="L271" s="3" t="str">
        <f t="shared" si="1"/>
        <v>SKU-007|Sepatu Sneakers Nike|Fashion|27|35|5|3|SUP_FA02|2025-02-13|1250000|2025-02-01</v>
      </c>
    </row>
    <row r="272">
      <c r="A272" s="1" t="s">
        <v>19</v>
      </c>
      <c r="B272" s="1" t="s">
        <v>20</v>
      </c>
      <c r="C272" s="1" t="s">
        <v>17</v>
      </c>
      <c r="D272" s="1">
        <v>44.0</v>
      </c>
      <c r="E272" s="1">
        <v>30.0</v>
      </c>
      <c r="F272" s="1">
        <v>4.0</v>
      </c>
      <c r="G272" s="1">
        <v>8.0</v>
      </c>
      <c r="H272" s="1" t="s">
        <v>18</v>
      </c>
      <c r="I272" s="2">
        <v>45885.0</v>
      </c>
      <c r="J272" s="1">
        <v>1200000.0</v>
      </c>
      <c r="K272" s="2">
        <v>45870.0</v>
      </c>
      <c r="L272" s="3" t="str">
        <f t="shared" si="1"/>
        <v>SKU-004|Smartwatch Xiaomi Band|Electronics|44|30|4|8|SUP_EL01|2025-08-16|1200000|2025-08-01</v>
      </c>
    </row>
    <row r="273">
      <c r="A273" s="1" t="s">
        <v>34</v>
      </c>
      <c r="B273" s="1" t="s">
        <v>35</v>
      </c>
      <c r="C273" s="1" t="s">
        <v>36</v>
      </c>
      <c r="D273" s="1">
        <v>34.0</v>
      </c>
      <c r="E273" s="1">
        <v>80.0</v>
      </c>
      <c r="F273" s="1">
        <v>9.0</v>
      </c>
      <c r="G273" s="1">
        <v>3.0</v>
      </c>
      <c r="H273" s="1" t="s">
        <v>37</v>
      </c>
      <c r="I273" s="2">
        <v>45950.0</v>
      </c>
      <c r="J273" s="1">
        <v>65000.0</v>
      </c>
      <c r="K273" s="2">
        <v>45931.0</v>
      </c>
      <c r="L273" s="3" t="str">
        <f t="shared" si="1"/>
        <v>SKU-018|Teh Organik Premium Box|Food &amp; Beverage|34|80|9|3|SUP_FB01|2025-10-20|65000|2025-10-01</v>
      </c>
    </row>
    <row r="274">
      <c r="A274" s="1" t="s">
        <v>55</v>
      </c>
      <c r="B274" s="1" t="s">
        <v>56</v>
      </c>
      <c r="C274" s="1" t="s">
        <v>36</v>
      </c>
      <c r="D274" s="1">
        <v>145.0</v>
      </c>
      <c r="E274" s="1">
        <v>100.0</v>
      </c>
      <c r="F274" s="1">
        <v>17.0</v>
      </c>
      <c r="G274" s="1">
        <v>4.0</v>
      </c>
      <c r="H274" s="1" t="s">
        <v>37</v>
      </c>
      <c r="I274" s="2">
        <v>45711.0</v>
      </c>
      <c r="J274" s="1">
        <v>85000.0</v>
      </c>
      <c r="K274" s="2">
        <v>45689.0</v>
      </c>
      <c r="L274" s="3" t="str">
        <f t="shared" si="1"/>
        <v>SKU-017|Kopi Arabika 250g Pack|Food &amp; Beverage|145|100|17|4|SUP_FB01|2025-02-23|85000|2025-02-01</v>
      </c>
    </row>
    <row r="275">
      <c r="A275" s="1" t="s">
        <v>15</v>
      </c>
      <c r="B275" s="1" t="s">
        <v>16</v>
      </c>
      <c r="C275" s="1" t="s">
        <v>17</v>
      </c>
      <c r="D275" s="1">
        <v>15.0</v>
      </c>
      <c r="E275" s="1">
        <v>15.0</v>
      </c>
      <c r="F275" s="1">
        <v>1.0</v>
      </c>
      <c r="G275" s="1">
        <v>5.0</v>
      </c>
      <c r="H275" s="1" t="s">
        <v>18</v>
      </c>
      <c r="I275" s="2">
        <v>46055.0</v>
      </c>
      <c r="J275" s="1">
        <v>8500000.0</v>
      </c>
      <c r="K275" s="2">
        <v>46054.0</v>
      </c>
      <c r="L275" s="3" t="str">
        <f t="shared" si="1"/>
        <v>SKU-001|Laptop ASUS Vivobook|Electronics|15|15|1|5|SUP_EL01|2026-02-02|8500000|2026-02-01</v>
      </c>
    </row>
    <row r="276">
      <c r="A276" s="1" t="s">
        <v>38</v>
      </c>
      <c r="B276" s="1" t="s">
        <v>39</v>
      </c>
      <c r="C276" s="1" t="s">
        <v>23</v>
      </c>
      <c r="D276" s="1">
        <v>12.0</v>
      </c>
      <c r="E276" s="1">
        <v>45.0</v>
      </c>
      <c r="F276" s="1">
        <v>8.0</v>
      </c>
      <c r="G276" s="1">
        <v>6.0</v>
      </c>
      <c r="H276" s="1" t="s">
        <v>24</v>
      </c>
      <c r="I276" s="2">
        <v>46054.0</v>
      </c>
      <c r="J276" s="1">
        <v>450000.0</v>
      </c>
      <c r="K276" s="2">
        <v>46054.0</v>
      </c>
      <c r="L276" s="3" t="str">
        <f t="shared" si="1"/>
        <v>SKU-006|Dress Casual Wanita|Fashion|12|45|8|6|SUP_FA01|2026-02-01|450000|2026-02-01</v>
      </c>
    </row>
    <row r="277">
      <c r="A277" s="1" t="s">
        <v>51</v>
      </c>
      <c r="B277" s="1" t="s">
        <v>52</v>
      </c>
      <c r="C277" s="1" t="s">
        <v>36</v>
      </c>
      <c r="D277" s="1">
        <v>19.0</v>
      </c>
      <c r="E277" s="1">
        <v>60.0</v>
      </c>
      <c r="F277" s="1">
        <v>6.0</v>
      </c>
      <c r="G277" s="1">
        <v>6.0</v>
      </c>
      <c r="H277" s="1" t="s">
        <v>50</v>
      </c>
      <c r="I277" s="2">
        <v>45775.0</v>
      </c>
      <c r="J277" s="1">
        <v>175000.0</v>
      </c>
      <c r="K277" s="2">
        <v>45748.0</v>
      </c>
      <c r="L277" s="3" t="str">
        <f t="shared" si="1"/>
        <v>SKU-019|Madu Hutan Asli 500ml|Food &amp; Beverage|19|60|6|6|SUP_FB02|2025-04-28|175000|2025-04-01</v>
      </c>
    </row>
    <row r="278">
      <c r="A278" s="1" t="s">
        <v>44</v>
      </c>
      <c r="B278" s="1" t="s">
        <v>45</v>
      </c>
      <c r="C278" s="1" t="s">
        <v>42</v>
      </c>
      <c r="D278" s="1">
        <v>22.0</v>
      </c>
      <c r="E278" s="1">
        <v>30.0</v>
      </c>
      <c r="F278" s="1">
        <v>6.0</v>
      </c>
      <c r="H278" s="1" t="s">
        <v>43</v>
      </c>
      <c r="I278" s="2">
        <v>45702.0</v>
      </c>
      <c r="J278" s="1">
        <v>350000.0</v>
      </c>
      <c r="K278" s="2">
        <v>45689.0</v>
      </c>
      <c r="L278" s="3" t="str">
        <f t="shared" si="1"/>
        <v>SKU-012|Kipas Angin Cosmos 16in|Home &amp; Living|22|30|6||SUP_HM02|2025-02-14|350000|2025-02-01</v>
      </c>
    </row>
    <row r="279">
      <c r="A279" s="1" t="s">
        <v>44</v>
      </c>
      <c r="B279" s="1" t="s">
        <v>45</v>
      </c>
      <c r="C279" s="1" t="s">
        <v>42</v>
      </c>
      <c r="D279" s="1">
        <v>59.0</v>
      </c>
      <c r="E279" s="1">
        <v>30.0</v>
      </c>
      <c r="F279" s="1">
        <v>3.0</v>
      </c>
      <c r="G279" s="1">
        <v>6.0</v>
      </c>
      <c r="H279" s="1" t="s">
        <v>43</v>
      </c>
      <c r="I279" s="2">
        <v>45880.0</v>
      </c>
      <c r="J279" s="1">
        <v>350000.0</v>
      </c>
      <c r="K279" s="2">
        <v>45870.0</v>
      </c>
      <c r="L279" s="3" t="str">
        <f t="shared" si="1"/>
        <v>SKU-012|Kipas Angin Cosmos 16in|Home &amp; Living|59|30|3|6|SUP_HM02|2025-08-11|350000|2025-08-01</v>
      </c>
    </row>
    <row r="280">
      <c r="A280" s="1" t="s">
        <v>64</v>
      </c>
      <c r="B280" s="1" t="s">
        <v>65</v>
      </c>
      <c r="C280" s="1" t="s">
        <v>42</v>
      </c>
      <c r="D280" s="1">
        <v>41.0</v>
      </c>
      <c r="E280" s="1">
        <v>20.0</v>
      </c>
      <c r="F280" s="1">
        <v>3.0</v>
      </c>
      <c r="G280" s="1">
        <v>9.0</v>
      </c>
      <c r="H280" s="1" t="s">
        <v>59</v>
      </c>
      <c r="I280" s="2">
        <v>46092.0</v>
      </c>
      <c r="J280" s="1">
        <v>750000.0</v>
      </c>
      <c r="K280" s="2">
        <v>46082.0</v>
      </c>
      <c r="L280" s="3" t="str">
        <f t="shared" si="1"/>
        <v>SKU-009|Blender Philips HR2157|Home &amp; Living|41|20|3|9|SUP_HM01|2026-03-11|750000|2026-03-01</v>
      </c>
    </row>
    <row r="281">
      <c r="A281" s="1" t="s">
        <v>48</v>
      </c>
      <c r="B281" s="1" t="s">
        <v>49</v>
      </c>
      <c r="C281" s="1" t="s">
        <v>36</v>
      </c>
      <c r="D281" s="1">
        <v>121.0</v>
      </c>
      <c r="E281" s="1">
        <v>120.0</v>
      </c>
      <c r="F281" s="1">
        <v>27.0</v>
      </c>
      <c r="H281" s="1" t="s">
        <v>50</v>
      </c>
      <c r="I281" s="2">
        <v>46095.0</v>
      </c>
      <c r="J281" s="1">
        <v>55000.0</v>
      </c>
      <c r="K281" s="2">
        <v>46082.0</v>
      </c>
      <c r="L281" s="3" t="str">
        <f t="shared" si="1"/>
        <v>SKU-020|Snack Granola Mix 500g|Food &amp; Beverage|121|120|27||SUP_FB02|2026-03-14|55000|2026-03-01</v>
      </c>
    </row>
    <row r="282">
      <c r="A282" s="1" t="s">
        <v>55</v>
      </c>
      <c r="B282" s="1" t="s">
        <v>56</v>
      </c>
      <c r="C282" s="1" t="s">
        <v>36</v>
      </c>
      <c r="D282" s="1">
        <v>125.0</v>
      </c>
      <c r="E282" s="1">
        <v>100.0</v>
      </c>
      <c r="F282" s="1">
        <v>14.0</v>
      </c>
      <c r="G282" s="1">
        <v>4.0</v>
      </c>
      <c r="H282" s="1" t="s">
        <v>37</v>
      </c>
      <c r="I282" s="2">
        <v>45775.0</v>
      </c>
      <c r="J282" s="1">
        <v>85000.0</v>
      </c>
      <c r="K282" s="2">
        <v>45748.0</v>
      </c>
      <c r="L282" s="3" t="str">
        <f t="shared" si="1"/>
        <v>SKU-017|Kopi Arabika 250g Pack|Food &amp; Beverage|125|100|14|4|SUP_FB01|2025-04-28|85000|2025-04-01</v>
      </c>
    </row>
    <row r="283">
      <c r="A283" s="1" t="s">
        <v>19</v>
      </c>
      <c r="B283" s="1" t="s">
        <v>20</v>
      </c>
      <c r="C283" s="1" t="s">
        <v>17</v>
      </c>
      <c r="D283" s="1">
        <v>42.0</v>
      </c>
      <c r="E283" s="1">
        <v>30.0</v>
      </c>
      <c r="F283" s="1">
        <v>4.0</v>
      </c>
      <c r="G283" s="1">
        <v>7.0</v>
      </c>
      <c r="H283" s="1" t="s">
        <v>18</v>
      </c>
      <c r="I283" s="2">
        <v>45960.0</v>
      </c>
      <c r="J283" s="1">
        <v>1200000.0</v>
      </c>
      <c r="K283" s="2">
        <v>45931.0</v>
      </c>
      <c r="L283" s="3" t="str">
        <f t="shared" si="1"/>
        <v>SKU-004|Smartwatch Xiaomi Band|Electronics|42|30|4|7|SUP_EL01|2025-10-30|1200000|2025-10-01</v>
      </c>
    </row>
    <row r="284">
      <c r="A284" s="1" t="s">
        <v>19</v>
      </c>
      <c r="B284" s="1" t="s">
        <v>20</v>
      </c>
      <c r="C284" s="1" t="s">
        <v>17</v>
      </c>
      <c r="D284" s="1">
        <v>21.0</v>
      </c>
      <c r="E284" s="1">
        <v>30.0</v>
      </c>
      <c r="F284" s="1">
        <v>4.0</v>
      </c>
      <c r="G284" s="1">
        <v>9.0</v>
      </c>
      <c r="H284" s="1" t="s">
        <v>18</v>
      </c>
      <c r="I284" s="2">
        <v>46197.0</v>
      </c>
      <c r="J284" s="1">
        <v>1200000.0</v>
      </c>
      <c r="K284" s="2">
        <v>45809.0</v>
      </c>
      <c r="L284" s="3" t="str">
        <f t="shared" si="1"/>
        <v>SKU-004|Smartwatch Xiaomi Band|Electronics|21|30|4|9|SUP_EL01|2026-06-24|1200000|2025-06-01</v>
      </c>
    </row>
    <row r="285">
      <c r="A285" s="1" t="s">
        <v>44</v>
      </c>
      <c r="B285" s="1" t="s">
        <v>45</v>
      </c>
      <c r="C285" s="1" t="s">
        <v>42</v>
      </c>
      <c r="D285" s="1">
        <v>41.0</v>
      </c>
      <c r="E285" s="1">
        <v>30.0</v>
      </c>
      <c r="F285" s="1">
        <v>6.0</v>
      </c>
      <c r="G285" s="1">
        <v>10.0</v>
      </c>
      <c r="H285" s="1" t="s">
        <v>43</v>
      </c>
      <c r="I285" s="2">
        <v>45945.0</v>
      </c>
      <c r="J285" s="1">
        <v>350000.0</v>
      </c>
      <c r="K285" s="2">
        <v>45931.0</v>
      </c>
      <c r="L285" s="3" t="str">
        <f t="shared" si="1"/>
        <v>SKU-012|Kipas Angin Cosmos 16in|Home &amp; Living|41|30|6|10|SUP_HM02|2025-10-15|350000|2025-10-01</v>
      </c>
    </row>
    <row r="286">
      <c r="A286" s="1" t="s">
        <v>31</v>
      </c>
      <c r="B286" s="1" t="s">
        <v>32</v>
      </c>
      <c r="C286" s="1" t="s">
        <v>13</v>
      </c>
      <c r="D286" s="1">
        <v>172.0</v>
      </c>
      <c r="E286" s="1">
        <v>40.0</v>
      </c>
      <c r="F286" s="1">
        <v>2.0</v>
      </c>
      <c r="G286" s="1">
        <v>6.0</v>
      </c>
      <c r="H286" s="1" t="s">
        <v>33</v>
      </c>
      <c r="I286" s="2">
        <v>45955.0</v>
      </c>
      <c r="J286" s="1">
        <v>550000.0</v>
      </c>
      <c r="K286" s="2">
        <v>45931.0</v>
      </c>
      <c r="L286" s="3" t="str">
        <f t="shared" si="1"/>
        <v>SKU-013|Skincare Set Whitelab|Beauty|172|40|2|6|SUP_BT01|2025-10-25|550000|2025-10-01</v>
      </c>
    </row>
    <row r="287">
      <c r="A287" s="1" t="s">
        <v>46</v>
      </c>
      <c r="B287" s="1" t="s">
        <v>47</v>
      </c>
      <c r="C287" s="1" t="s">
        <v>23</v>
      </c>
      <c r="D287" s="1">
        <v>36.0</v>
      </c>
      <c r="E287" s="1">
        <v>40.0</v>
      </c>
      <c r="F287" s="1">
        <v>6.0</v>
      </c>
      <c r="G287" s="1">
        <v>4.0</v>
      </c>
      <c r="H287" s="1" t="s">
        <v>30</v>
      </c>
      <c r="I287" s="2">
        <v>46044.0</v>
      </c>
      <c r="J287" s="1">
        <v>550000.0</v>
      </c>
      <c r="K287" s="2">
        <v>46023.0</v>
      </c>
      <c r="L287" s="3" t="str">
        <f t="shared" si="1"/>
        <v>SKU-008|Tas Ransel Eiger|Fashion|36|40|6|4|SUP_FA02|2026-01-22|550000|2026-01-01</v>
      </c>
    </row>
    <row r="288">
      <c r="A288" s="1" t="s">
        <v>31</v>
      </c>
      <c r="B288" s="1" t="s">
        <v>32</v>
      </c>
      <c r="C288" s="1" t="s">
        <v>13</v>
      </c>
      <c r="D288" s="1">
        <v>160.0</v>
      </c>
      <c r="E288" s="1">
        <v>40.0</v>
      </c>
      <c r="F288" s="1">
        <v>3.0</v>
      </c>
      <c r="G288" s="1">
        <v>6.0</v>
      </c>
      <c r="H288" s="1" t="s">
        <v>33</v>
      </c>
      <c r="I288" s="2">
        <v>45887.0</v>
      </c>
      <c r="J288" s="1">
        <v>550000.0</v>
      </c>
      <c r="K288" s="2">
        <v>45870.0</v>
      </c>
      <c r="L288" s="3" t="str">
        <f t="shared" si="1"/>
        <v>SKU-013|Skincare Set Whitelab|Beauty|160|40|3|6|SUP_BT01|2025-08-18|550000|2025-08-01</v>
      </c>
    </row>
    <row r="289">
      <c r="A289" s="1" t="s">
        <v>44</v>
      </c>
      <c r="B289" s="1" t="s">
        <v>45</v>
      </c>
      <c r="C289" s="1" t="s">
        <v>42</v>
      </c>
      <c r="D289" s="1">
        <v>45.0</v>
      </c>
      <c r="E289" s="1">
        <v>30.0</v>
      </c>
      <c r="F289" s="1">
        <v>5.0</v>
      </c>
      <c r="G289" s="1">
        <v>5.0</v>
      </c>
      <c r="H289" s="1" t="s">
        <v>43</v>
      </c>
      <c r="I289" s="2">
        <v>45801.0</v>
      </c>
      <c r="J289" s="1">
        <v>350000.0</v>
      </c>
      <c r="K289" s="2">
        <v>45778.0</v>
      </c>
      <c r="L289" s="3" t="str">
        <f t="shared" si="1"/>
        <v>SKU-012|Kipas Angin Cosmos 16in|Home &amp; Living|45|30|5|5|SUP_HM02|2025-05-24|350000|2025-05-01</v>
      </c>
    </row>
    <row r="290">
      <c r="A290" s="1" t="s">
        <v>19</v>
      </c>
      <c r="B290" s="1" t="s">
        <v>20</v>
      </c>
      <c r="C290" s="1" t="s">
        <v>17</v>
      </c>
      <c r="D290" s="1">
        <v>52.0</v>
      </c>
      <c r="E290" s="1">
        <v>30.0</v>
      </c>
      <c r="F290" s="1">
        <v>5.0</v>
      </c>
      <c r="G290" s="1">
        <v>5.0</v>
      </c>
      <c r="H290" s="1" t="s">
        <v>18</v>
      </c>
      <c r="I290" s="2">
        <v>46321.0</v>
      </c>
      <c r="J290" s="1">
        <v>1200000.0</v>
      </c>
      <c r="K290" s="2">
        <v>46054.0</v>
      </c>
      <c r="L290" s="3" t="str">
        <f t="shared" si="1"/>
        <v>SKU-004|Smartwatch Xiaomi Band|Electronics|52|30|5|5|SUP_EL01|2026-10-26|1200000|2026-02-01</v>
      </c>
    </row>
    <row r="291">
      <c r="A291" s="1" t="s">
        <v>19</v>
      </c>
      <c r="B291" s="1" t="s">
        <v>20</v>
      </c>
      <c r="C291" s="1" t="s">
        <v>17</v>
      </c>
      <c r="D291" s="1">
        <v>51.0</v>
      </c>
      <c r="E291" s="1">
        <v>30.0</v>
      </c>
      <c r="F291" s="1">
        <v>4.0</v>
      </c>
      <c r="G291" s="1">
        <v>6.0</v>
      </c>
      <c r="H291" s="1" t="s">
        <v>18</v>
      </c>
      <c r="I291" s="2">
        <v>45775.0</v>
      </c>
      <c r="J291" s="1">
        <v>1200000.0</v>
      </c>
      <c r="K291" s="2">
        <v>45748.0</v>
      </c>
      <c r="L291" s="3" t="str">
        <f t="shared" si="1"/>
        <v>SKU-004|Smartwatch Xiaomi Band|Electronics|51|30|4|6|SUP_EL01|2025-04-28|1200000|2025-04-01</v>
      </c>
    </row>
    <row r="292">
      <c r="A292" s="1" t="s">
        <v>11</v>
      </c>
      <c r="B292" s="1" t="s">
        <v>12</v>
      </c>
      <c r="C292" s="1" t="s">
        <v>13</v>
      </c>
      <c r="D292" s="1">
        <v>290.0</v>
      </c>
      <c r="E292" s="1">
        <v>50.0</v>
      </c>
      <c r="F292" s="1">
        <v>3.0</v>
      </c>
      <c r="G292" s="1">
        <v>6.0</v>
      </c>
      <c r="H292" s="1" t="s">
        <v>14</v>
      </c>
      <c r="I292" s="2">
        <v>45991.0</v>
      </c>
      <c r="J292" s="1">
        <v>125000.0</v>
      </c>
      <c r="K292" s="2">
        <v>45962.0</v>
      </c>
      <c r="L292" s="3" t="str">
        <f t="shared" si="1"/>
        <v>SKU-016|Parfum EDT Brasov 100ml|Beauty|290|50|3|6|SUP_BT02|2025-11-30|125000|2025-11-01</v>
      </c>
    </row>
    <row r="293">
      <c r="A293" s="1" t="s">
        <v>55</v>
      </c>
      <c r="B293" s="1" t="s">
        <v>56</v>
      </c>
      <c r="C293" s="1" t="s">
        <v>36</v>
      </c>
      <c r="D293" s="1">
        <v>57.0</v>
      </c>
      <c r="E293" s="1">
        <v>100.0</v>
      </c>
      <c r="F293" s="1">
        <v>15.0</v>
      </c>
      <c r="G293" s="1">
        <v>4.0</v>
      </c>
      <c r="H293" s="1" t="s">
        <v>37</v>
      </c>
      <c r="I293" s="2">
        <v>46034.0</v>
      </c>
      <c r="J293" s="1">
        <v>85000.0</v>
      </c>
      <c r="K293" s="2">
        <v>46023.0</v>
      </c>
      <c r="L293" s="3" t="str">
        <f t="shared" si="1"/>
        <v>SKU-017|Kopi Arabika 250g Pack|Food &amp; Beverage|57|100|15|4|SUP_FB01|2026-01-12|85000|2026-01-01</v>
      </c>
    </row>
    <row r="294">
      <c r="A294" s="1" t="s">
        <v>25</v>
      </c>
      <c r="B294" s="1" t="s">
        <v>26</v>
      </c>
      <c r="C294" s="1" t="s">
        <v>17</v>
      </c>
      <c r="D294" s="1">
        <v>11.0</v>
      </c>
      <c r="E294" s="1">
        <v>25.0</v>
      </c>
      <c r="F294" s="1">
        <v>7.0</v>
      </c>
      <c r="G294" s="1">
        <v>14.0</v>
      </c>
      <c r="H294" s="1" t="s">
        <v>27</v>
      </c>
      <c r="I294" s="2">
        <v>45862.0</v>
      </c>
      <c r="J294" s="1">
        <v>4500000.0</v>
      </c>
      <c r="K294" s="2">
        <v>45839.0</v>
      </c>
      <c r="L294" s="3" t="str">
        <f t="shared" si="1"/>
        <v>SKU-002|Smartphone Samsung A54|Electronics|11|25|7|14|SUP_EL02|2025-07-24|4500000|2025-07-01</v>
      </c>
    </row>
    <row r="295">
      <c r="A295" s="1" t="s">
        <v>40</v>
      </c>
      <c r="B295" s="1" t="s">
        <v>41</v>
      </c>
      <c r="C295" s="1" t="s">
        <v>42</v>
      </c>
      <c r="D295" s="1">
        <v>21.0</v>
      </c>
      <c r="E295" s="1">
        <v>15.0</v>
      </c>
      <c r="F295" s="1">
        <v>1.0</v>
      </c>
      <c r="G295" s="1">
        <v>9.0</v>
      </c>
      <c r="H295" s="1" t="s">
        <v>43</v>
      </c>
      <c r="I295" s="2">
        <v>45968.0</v>
      </c>
      <c r="J295" s="1">
        <v>1200000.0</v>
      </c>
      <c r="K295" s="2">
        <v>45962.0</v>
      </c>
      <c r="L295" s="3" t="str">
        <f t="shared" si="1"/>
        <v>SKU-011|Vacuum Cleaner Deerma|Home &amp; Living|21|15|1|9|SUP_HM02|2025-11-07|1200000|2025-11-01</v>
      </c>
    </row>
    <row r="296">
      <c r="A296" s="1" t="s">
        <v>51</v>
      </c>
      <c r="B296" s="1" t="s">
        <v>52</v>
      </c>
      <c r="C296" s="1" t="s">
        <v>36</v>
      </c>
      <c r="D296" s="1">
        <v>44.0</v>
      </c>
      <c r="E296" s="1">
        <v>60.0</v>
      </c>
      <c r="F296" s="1">
        <v>6.0</v>
      </c>
      <c r="G296" s="1">
        <v>6.0</v>
      </c>
      <c r="H296" s="1" t="s">
        <v>50</v>
      </c>
      <c r="I296" s="2">
        <v>45839.0</v>
      </c>
      <c r="J296" s="1">
        <v>175000.0</v>
      </c>
      <c r="K296" s="2">
        <v>45839.0</v>
      </c>
      <c r="L296" s="3" t="str">
        <f t="shared" si="1"/>
        <v>SKU-019|Madu Hutan Asli 500ml|Food &amp; Beverage|44|60|6|6|SUP_FB02|2025-07-01|175000|2025-07-01</v>
      </c>
    </row>
    <row r="297">
      <c r="A297" s="1" t="s">
        <v>31</v>
      </c>
      <c r="B297" s="1" t="s">
        <v>32</v>
      </c>
      <c r="C297" s="1" t="s">
        <v>13</v>
      </c>
      <c r="D297" s="1">
        <v>127.0</v>
      </c>
      <c r="E297" s="1">
        <v>40.0</v>
      </c>
      <c r="F297" s="1">
        <v>3.0</v>
      </c>
      <c r="G297" s="1">
        <v>4.0</v>
      </c>
      <c r="H297" s="1" t="s">
        <v>33</v>
      </c>
      <c r="I297" s="2">
        <v>46001.0</v>
      </c>
      <c r="J297" s="1">
        <v>550000.0</v>
      </c>
      <c r="K297" s="2">
        <v>45992.0</v>
      </c>
      <c r="L297" s="3" t="str">
        <f t="shared" si="1"/>
        <v>SKU-013|Skincare Set Whitelab|Beauty|127|40|3|4|SUP_BT01|2025-12-10|550000|2025-12-01</v>
      </c>
    </row>
    <row r="298">
      <c r="A298" s="1" t="s">
        <v>48</v>
      </c>
      <c r="B298" s="1" t="s">
        <v>49</v>
      </c>
      <c r="C298" s="1" t="s">
        <v>36</v>
      </c>
      <c r="D298" s="1">
        <v>170.0</v>
      </c>
      <c r="E298" s="1">
        <v>120.0</v>
      </c>
      <c r="F298" s="1">
        <v>17.0</v>
      </c>
      <c r="G298" s="1">
        <v>3.0</v>
      </c>
      <c r="H298" s="1" t="s">
        <v>50</v>
      </c>
      <c r="I298" s="2">
        <v>45905.0</v>
      </c>
      <c r="J298" s="1">
        <v>55000.0</v>
      </c>
      <c r="K298" s="2">
        <v>45901.0</v>
      </c>
      <c r="L298" s="3" t="str">
        <f t="shared" si="1"/>
        <v>SKU-020|Snack Granola Mix 500g|Food &amp; Beverage|170|120|17|3|SUP_FB02|2025-09-05|55000|2025-09-01</v>
      </c>
    </row>
    <row r="299">
      <c r="A299" s="1" t="s">
        <v>34</v>
      </c>
      <c r="B299" s="1" t="s">
        <v>35</v>
      </c>
      <c r="C299" s="1" t="s">
        <v>36</v>
      </c>
      <c r="D299" s="1">
        <v>0.0</v>
      </c>
      <c r="E299" s="1">
        <v>80.0</v>
      </c>
      <c r="F299" s="1">
        <v>18.0</v>
      </c>
      <c r="G299" s="1">
        <v>4.0</v>
      </c>
      <c r="H299" s="1" t="s">
        <v>37</v>
      </c>
      <c r="I299" s="2">
        <v>45745.0</v>
      </c>
      <c r="J299" s="1">
        <v>65000.0</v>
      </c>
      <c r="K299" s="2">
        <v>45717.0</v>
      </c>
      <c r="L299" s="3" t="str">
        <f t="shared" si="1"/>
        <v>SKU-018|Teh Organik Premium Box|Food &amp; Beverage|0|80|18|4|SUP_FB01|2025-03-29|65000|2025-03-01</v>
      </c>
    </row>
    <row r="300">
      <c r="A300" s="1" t="s">
        <v>57</v>
      </c>
      <c r="B300" s="1" t="s">
        <v>58</v>
      </c>
      <c r="C300" s="1" t="s">
        <v>42</v>
      </c>
      <c r="D300" s="1">
        <v>44.0</v>
      </c>
      <c r="E300" s="1">
        <v>25.0</v>
      </c>
      <c r="F300" s="1">
        <v>4.0</v>
      </c>
      <c r="G300" s="1">
        <v>8.0</v>
      </c>
      <c r="H300" s="1" t="s">
        <v>59</v>
      </c>
      <c r="I300" s="2">
        <v>46108.0</v>
      </c>
      <c r="J300" s="1">
        <v>450000.0</v>
      </c>
      <c r="K300" s="2">
        <v>46082.0</v>
      </c>
      <c r="L300" s="3" t="str">
        <f t="shared" si="1"/>
        <v>SKU-010|Rice Cooker Miyako 1.8L|Home &amp; Living|44|25|4|8|SUP_HM01|2026-03-27|450000|2026-03-01</v>
      </c>
    </row>
    <row r="301">
      <c r="A301" s="1" t="s">
        <v>64</v>
      </c>
      <c r="B301" s="1" t="s">
        <v>65</v>
      </c>
      <c r="C301" s="1" t="s">
        <v>42</v>
      </c>
      <c r="D301" s="1">
        <v>27.0</v>
      </c>
      <c r="E301" s="1">
        <v>20.0</v>
      </c>
      <c r="F301" s="1">
        <v>3.0</v>
      </c>
      <c r="G301" s="1">
        <v>8.0</v>
      </c>
      <c r="H301" s="1" t="s">
        <v>59</v>
      </c>
      <c r="I301" s="2">
        <v>45976.0</v>
      </c>
      <c r="J301" s="1">
        <v>750000.0</v>
      </c>
      <c r="K301" s="2">
        <v>45962.0</v>
      </c>
      <c r="L301" s="3" t="str">
        <f t="shared" si="1"/>
        <v>SKU-009|Blender Philips HR2157|Home &amp; Living|27|20|3|8|SUP_HM01|2025-11-15|750000|2025-11-01</v>
      </c>
    </row>
    <row r="302">
      <c r="A302" s="1" t="s">
        <v>40</v>
      </c>
      <c r="B302" s="1" t="s">
        <v>41</v>
      </c>
      <c r="C302" s="1" t="s">
        <v>42</v>
      </c>
      <c r="D302" s="1">
        <v>22.0</v>
      </c>
      <c r="E302" s="1">
        <v>15.0</v>
      </c>
      <c r="F302" s="1">
        <v>2.0</v>
      </c>
      <c r="G302" s="1">
        <v>5.0</v>
      </c>
      <c r="H302" s="1" t="s">
        <v>43</v>
      </c>
      <c r="I302" s="2">
        <v>45709.0</v>
      </c>
      <c r="J302" s="1">
        <v>1200000.0</v>
      </c>
      <c r="K302" s="2">
        <v>45689.0</v>
      </c>
      <c r="L302" s="3" t="str">
        <f t="shared" si="1"/>
        <v>SKU-011|Vacuum Cleaner Deerma|Home &amp; Living|22|15|2|5|SUP_HM02|2025-02-21|1200000|2025-02-01</v>
      </c>
    </row>
    <row r="303">
      <c r="A303" s="1" t="s">
        <v>28</v>
      </c>
      <c r="B303" s="1" t="s">
        <v>29</v>
      </c>
      <c r="C303" s="1" t="s">
        <v>23</v>
      </c>
      <c r="D303" s="1">
        <v>18.0</v>
      </c>
      <c r="E303" s="1">
        <v>35.0</v>
      </c>
      <c r="F303" s="1">
        <v>5.0</v>
      </c>
      <c r="G303" s="1">
        <v>4.0</v>
      </c>
      <c r="H303" s="1" t="s">
        <v>30</v>
      </c>
      <c r="I303" s="2">
        <v>45949.0</v>
      </c>
      <c r="J303" s="1">
        <v>1250000.0</v>
      </c>
      <c r="K303" s="2">
        <v>45931.0</v>
      </c>
      <c r="L303" s="3" t="str">
        <f t="shared" si="1"/>
        <v>SKU-007|Sepatu Sneakers Nike|Fashion|18|35|5|4|SUP_FA02|2025-10-19|1250000|2025-10-01</v>
      </c>
    </row>
    <row r="304">
      <c r="A304" s="1" t="s">
        <v>38</v>
      </c>
      <c r="B304" s="1" t="s">
        <v>39</v>
      </c>
      <c r="C304" s="1" t="s">
        <v>23</v>
      </c>
      <c r="D304" s="1">
        <v>17.0</v>
      </c>
      <c r="E304" s="1">
        <v>45.0</v>
      </c>
      <c r="F304" s="1">
        <v>8.0</v>
      </c>
      <c r="G304" s="1">
        <v>4.0</v>
      </c>
      <c r="H304" s="1" t="s">
        <v>24</v>
      </c>
      <c r="I304" s="2">
        <v>46050.0</v>
      </c>
      <c r="J304" s="1">
        <v>450000.0</v>
      </c>
      <c r="K304" s="2">
        <v>46023.0</v>
      </c>
      <c r="L304" s="3" t="str">
        <f t="shared" si="1"/>
        <v>SKU-006|Dress Casual Wanita|Fashion|17|45|8|4|SUP_FA01|2026-01-28|450000|2026-01-01</v>
      </c>
    </row>
    <row r="305">
      <c r="A305" s="1" t="s">
        <v>53</v>
      </c>
      <c r="B305" s="1" t="s">
        <v>54</v>
      </c>
      <c r="C305" s="1" t="s">
        <v>13</v>
      </c>
      <c r="D305" s="1">
        <v>273.0</v>
      </c>
      <c r="E305" s="1">
        <v>60.0</v>
      </c>
      <c r="F305" s="1">
        <v>1.0</v>
      </c>
      <c r="G305" s="1">
        <v>4.0</v>
      </c>
      <c r="H305" s="1" t="s">
        <v>14</v>
      </c>
      <c r="I305" s="2">
        <v>45806.0</v>
      </c>
      <c r="J305" s="1">
        <v>165000.0</v>
      </c>
      <c r="K305" s="2">
        <v>45778.0</v>
      </c>
      <c r="L305" s="3" t="str">
        <f t="shared" si="1"/>
        <v>SKU-015|Foundation Maybelline Fit|Beauty|273|60|1|4|SUP_BT02|2025-05-29|165000|2025-05-01</v>
      </c>
    </row>
    <row r="306">
      <c r="A306" s="1" t="s">
        <v>64</v>
      </c>
      <c r="B306" s="1" t="s">
        <v>65</v>
      </c>
      <c r="C306" s="1" t="s">
        <v>42</v>
      </c>
      <c r="D306" s="1">
        <v>40.0</v>
      </c>
      <c r="E306" s="1">
        <v>20.0</v>
      </c>
      <c r="F306" s="1">
        <v>1.0</v>
      </c>
      <c r="G306" s="1">
        <v>7.0</v>
      </c>
      <c r="H306" s="1" t="s">
        <v>59</v>
      </c>
      <c r="I306" s="2">
        <v>45693.0</v>
      </c>
      <c r="J306" s="1">
        <v>750000.0</v>
      </c>
      <c r="K306" s="2">
        <v>45689.0</v>
      </c>
      <c r="L306" s="3" t="str">
        <f t="shared" si="1"/>
        <v>SKU-009|Blender Philips HR2157|Home &amp; Living|40|20|1|7|SUP_HM01|2025-02-05|750000|2025-02-01</v>
      </c>
    </row>
    <row r="307">
      <c r="A307" s="1" t="s">
        <v>38</v>
      </c>
      <c r="B307" s="1" t="s">
        <v>39</v>
      </c>
      <c r="C307" s="1" t="s">
        <v>23</v>
      </c>
      <c r="D307" s="1">
        <v>17.0</v>
      </c>
      <c r="E307" s="1">
        <v>45.0</v>
      </c>
      <c r="F307" s="1">
        <v>8.0</v>
      </c>
      <c r="G307" s="1">
        <v>4.0</v>
      </c>
      <c r="H307" s="1" t="s">
        <v>24</v>
      </c>
      <c r="I307" s="2">
        <v>46050.0</v>
      </c>
      <c r="J307" s="1">
        <v>450000.0</v>
      </c>
      <c r="K307" s="2">
        <v>46023.0</v>
      </c>
      <c r="L307" s="3" t="str">
        <f t="shared" si="1"/>
        <v>SKU-006|Dress Casual Wanita|Fashion|17|45|8|4|SUP_FA01|2026-01-28|450000|2026-01-01</v>
      </c>
    </row>
    <row r="308">
      <c r="A308" s="1" t="s">
        <v>25</v>
      </c>
      <c r="B308" s="1" t="s">
        <v>26</v>
      </c>
      <c r="C308" s="1" t="s">
        <v>17</v>
      </c>
      <c r="D308" s="1">
        <v>5.0</v>
      </c>
      <c r="E308" s="1">
        <v>25.0</v>
      </c>
      <c r="F308" s="1">
        <v>7.0</v>
      </c>
      <c r="G308" s="1">
        <v>19.0</v>
      </c>
      <c r="H308" s="1" t="s">
        <v>27</v>
      </c>
      <c r="I308" s="2">
        <v>45837.0</v>
      </c>
      <c r="J308" s="1">
        <v>4500000.0</v>
      </c>
      <c r="K308" s="2">
        <v>45809.0</v>
      </c>
      <c r="L308" s="3" t="str">
        <f t="shared" si="1"/>
        <v>SKU-002|Smartphone Samsung A54|Electronics|5|25|7|19|SUP_EL02|2025-06-29|4500000|2025-06-01</v>
      </c>
    </row>
    <row r="309">
      <c r="A309" s="1" t="s">
        <v>31</v>
      </c>
      <c r="B309" s="1" t="s">
        <v>32</v>
      </c>
      <c r="C309" s="1" t="s">
        <v>13</v>
      </c>
      <c r="D309" s="1">
        <v>129.0</v>
      </c>
      <c r="E309" s="1">
        <v>40.0</v>
      </c>
      <c r="F309" s="1">
        <v>4.0</v>
      </c>
      <c r="G309" s="1">
        <v>6.0</v>
      </c>
      <c r="H309" s="1" t="s">
        <v>33</v>
      </c>
      <c r="I309" s="2">
        <v>45916.0</v>
      </c>
      <c r="J309" s="1">
        <v>550000.0</v>
      </c>
      <c r="K309" s="2">
        <v>45901.0</v>
      </c>
      <c r="L309" s="3" t="str">
        <f t="shared" si="1"/>
        <v>SKU-013|Skincare Set Whitelab|Beauty|129|40|4|6|SUP_BT01|2025-09-16|550000|2025-09-01</v>
      </c>
    </row>
    <row r="310">
      <c r="A310" s="1" t="s">
        <v>21</v>
      </c>
      <c r="B310" s="1" t="s">
        <v>22</v>
      </c>
      <c r="C310" s="1" t="s">
        <v>23</v>
      </c>
      <c r="D310" s="1">
        <v>0.0</v>
      </c>
      <c r="E310" s="1">
        <v>50.0</v>
      </c>
      <c r="F310" s="1">
        <v>14.0</v>
      </c>
      <c r="G310" s="1">
        <v>7.0</v>
      </c>
      <c r="H310" s="1" t="s">
        <v>24</v>
      </c>
      <c r="I310" s="2">
        <v>46014.0</v>
      </c>
      <c r="J310" s="1">
        <v>350000.0</v>
      </c>
      <c r="K310" s="2">
        <v>45992.0</v>
      </c>
      <c r="L310" s="3" t="str">
        <f t="shared" si="1"/>
        <v>SKU-005|Kemeja Formal Pria|Fashion|0|50|14|7|SUP_FA01|2025-12-23|350000|2025-12-01</v>
      </c>
    </row>
    <row r="311">
      <c r="A311" s="1" t="s">
        <v>46</v>
      </c>
      <c r="B311" s="1" t="s">
        <v>47</v>
      </c>
      <c r="C311" s="1" t="s">
        <v>23</v>
      </c>
      <c r="D311" s="1">
        <v>9.0</v>
      </c>
      <c r="E311" s="1">
        <v>40.0</v>
      </c>
      <c r="F311" s="1">
        <v>5.0</v>
      </c>
      <c r="G311" s="1">
        <v>8.0</v>
      </c>
      <c r="H311" s="1" t="s">
        <v>30</v>
      </c>
      <c r="I311" s="2">
        <v>45698.0</v>
      </c>
      <c r="J311" s="1">
        <v>550000.0</v>
      </c>
      <c r="K311" s="2">
        <v>45689.0</v>
      </c>
      <c r="L311" s="3" t="str">
        <f t="shared" si="1"/>
        <v>SKU-008|Tas Ransel Eiger|Fashion|9|40|5|8|SUP_FA02|2025-02-10|550000|2025-02-01</v>
      </c>
    </row>
    <row r="312">
      <c r="A312" s="1" t="s">
        <v>51</v>
      </c>
      <c r="B312" s="1" t="s">
        <v>52</v>
      </c>
      <c r="C312" s="1" t="s">
        <v>36</v>
      </c>
      <c r="D312" s="1">
        <v>20.0</v>
      </c>
      <c r="E312" s="1">
        <v>60.0</v>
      </c>
      <c r="F312" s="1">
        <v>9.0</v>
      </c>
      <c r="G312" s="1">
        <v>5.0</v>
      </c>
      <c r="H312" s="1" t="s">
        <v>50</v>
      </c>
      <c r="I312" s="2">
        <v>45687.0</v>
      </c>
      <c r="J312" s="1">
        <v>175000.0</v>
      </c>
      <c r="K312" s="2">
        <v>45658.0</v>
      </c>
      <c r="L312" s="3" t="str">
        <f t="shared" si="1"/>
        <v>SKU-019|Madu Hutan Asli 500ml|Food &amp; Beverage|20|60|9|5|SUP_FB02|2025-01-30|175000|2025-01-01</v>
      </c>
    </row>
    <row r="313">
      <c r="A313" s="1" t="s">
        <v>28</v>
      </c>
      <c r="B313" s="1" t="s">
        <v>29</v>
      </c>
      <c r="C313" s="1" t="s">
        <v>23</v>
      </c>
      <c r="D313" s="1">
        <v>16.0</v>
      </c>
      <c r="E313" s="1">
        <v>35.0</v>
      </c>
      <c r="F313" s="1">
        <v>7.0</v>
      </c>
      <c r="G313" s="1">
        <v>5.0</v>
      </c>
      <c r="H313" s="1" t="s">
        <v>30</v>
      </c>
      <c r="I313" s="2">
        <v>46024.0</v>
      </c>
      <c r="J313" s="1">
        <v>1250000.0</v>
      </c>
      <c r="K313" s="2">
        <v>46023.0</v>
      </c>
      <c r="L313" s="3" t="str">
        <f t="shared" si="1"/>
        <v>SKU-007|Sepatu Sneakers Nike|Fashion|16|35|7|5|SUP_FA02|2026-01-02|1250000|2026-01-01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66</v>
      </c>
    </row>
    <row r="2">
      <c r="A2" s="1" t="s">
        <v>11</v>
      </c>
      <c r="B2" s="1" t="s">
        <v>12</v>
      </c>
      <c r="C2" s="1" t="s">
        <v>13</v>
      </c>
      <c r="D2" s="1">
        <v>271.0</v>
      </c>
      <c r="E2" s="1">
        <v>50.0</v>
      </c>
      <c r="F2" s="1">
        <v>2.0</v>
      </c>
      <c r="G2" s="1">
        <v>4.0</v>
      </c>
      <c r="H2" s="1" t="s">
        <v>14</v>
      </c>
      <c r="I2" s="2">
        <v>45748.0</v>
      </c>
      <c r="J2" s="1">
        <v>125000.0</v>
      </c>
      <c r="K2" s="2">
        <v>45748.0</v>
      </c>
      <c r="L2" s="3" t="str">
        <f t="shared" ref="L2:L277" si="1">IF(D2 &lt;= E2, "STOCKOUT", "OK")</f>
        <v>OK</v>
      </c>
    </row>
    <row r="3">
      <c r="A3" s="1" t="s">
        <v>15</v>
      </c>
      <c r="B3" s="1" t="s">
        <v>16</v>
      </c>
      <c r="C3" s="1" t="s">
        <v>17</v>
      </c>
      <c r="D3" s="1">
        <v>21.0</v>
      </c>
      <c r="E3" s="1">
        <v>15.0</v>
      </c>
      <c r="F3" s="1">
        <v>4.0</v>
      </c>
      <c r="G3" s="1">
        <v>5.0</v>
      </c>
      <c r="H3" s="1" t="s">
        <v>18</v>
      </c>
      <c r="I3" s="2">
        <v>45942.0</v>
      </c>
      <c r="J3" s="1">
        <v>8500000.0</v>
      </c>
      <c r="K3" s="2">
        <v>45931.0</v>
      </c>
      <c r="L3" s="3" t="str">
        <f t="shared" si="1"/>
        <v>OK</v>
      </c>
    </row>
    <row r="4">
      <c r="A4" s="1" t="s">
        <v>19</v>
      </c>
      <c r="B4" s="1" t="s">
        <v>20</v>
      </c>
      <c r="C4" s="1" t="s">
        <v>17</v>
      </c>
      <c r="D4" s="1">
        <v>30.0</v>
      </c>
      <c r="E4" s="1">
        <v>30.0</v>
      </c>
      <c r="F4" s="1">
        <v>2.0</v>
      </c>
      <c r="G4" s="1">
        <v>7.0</v>
      </c>
      <c r="H4" s="1" t="s">
        <v>18</v>
      </c>
      <c r="I4" s="2">
        <v>46029.0</v>
      </c>
      <c r="J4" s="1">
        <v>1200000.0</v>
      </c>
      <c r="K4" s="2">
        <v>46023.0</v>
      </c>
      <c r="L4" s="3" t="str">
        <f t="shared" si="1"/>
        <v>STOCKOUT</v>
      </c>
    </row>
    <row r="5">
      <c r="A5" s="1" t="s">
        <v>21</v>
      </c>
      <c r="B5" s="1" t="s">
        <v>22</v>
      </c>
      <c r="C5" s="1" t="s">
        <v>23</v>
      </c>
      <c r="D5" s="1">
        <v>25.0</v>
      </c>
      <c r="E5" s="1">
        <v>50.0</v>
      </c>
      <c r="F5" s="1">
        <v>6.0</v>
      </c>
      <c r="G5" s="1">
        <v>3.0</v>
      </c>
      <c r="H5" s="1" t="s">
        <v>24</v>
      </c>
      <c r="I5" s="2">
        <v>45688.0</v>
      </c>
      <c r="J5" s="1">
        <v>350000.0</v>
      </c>
      <c r="K5" s="2">
        <v>45658.0</v>
      </c>
      <c r="L5" s="3" t="str">
        <f t="shared" si="1"/>
        <v>STOCKOUT</v>
      </c>
    </row>
    <row r="6">
      <c r="A6" s="1" t="s">
        <v>25</v>
      </c>
      <c r="B6" s="1" t="s">
        <v>26</v>
      </c>
      <c r="C6" s="1" t="s">
        <v>17</v>
      </c>
      <c r="D6" s="1">
        <v>0.0</v>
      </c>
      <c r="E6" s="1">
        <v>25.0</v>
      </c>
      <c r="F6" s="1">
        <v>7.0</v>
      </c>
      <c r="G6" s="1">
        <v>21.0</v>
      </c>
      <c r="H6" s="1" t="s">
        <v>27</v>
      </c>
      <c r="I6" s="2">
        <v>45978.0</v>
      </c>
      <c r="J6" s="1">
        <v>4500000.0</v>
      </c>
      <c r="K6" s="2">
        <v>45962.0</v>
      </c>
      <c r="L6" s="3" t="str">
        <f t="shared" si="1"/>
        <v>STOCKOUT</v>
      </c>
    </row>
    <row r="7">
      <c r="A7" s="1" t="s">
        <v>21</v>
      </c>
      <c r="B7" s="1" t="s">
        <v>22</v>
      </c>
      <c r="C7" s="1" t="s">
        <v>23</v>
      </c>
      <c r="D7" s="1">
        <v>0.0</v>
      </c>
      <c r="E7" s="1">
        <v>50.0</v>
      </c>
      <c r="F7" s="1">
        <v>11.0</v>
      </c>
      <c r="G7" s="1">
        <v>7.0</v>
      </c>
      <c r="H7" s="1" t="s">
        <v>24</v>
      </c>
      <c r="I7" s="2">
        <v>45749.0</v>
      </c>
      <c r="J7" s="1">
        <v>350000.0</v>
      </c>
      <c r="K7" s="2">
        <v>45748.0</v>
      </c>
      <c r="L7" s="3" t="str">
        <f t="shared" si="1"/>
        <v>STOCKOUT</v>
      </c>
    </row>
    <row r="8">
      <c r="A8" s="1" t="s">
        <v>28</v>
      </c>
      <c r="B8" s="1" t="s">
        <v>29</v>
      </c>
      <c r="C8" s="1" t="s">
        <v>23</v>
      </c>
      <c r="D8" s="1">
        <v>0.0</v>
      </c>
      <c r="E8" s="1">
        <v>35.0</v>
      </c>
      <c r="F8" s="1">
        <v>8.0</v>
      </c>
      <c r="G8" s="1">
        <v>5.0</v>
      </c>
      <c r="H8" s="1" t="s">
        <v>30</v>
      </c>
      <c r="I8" s="2">
        <v>45774.0</v>
      </c>
      <c r="J8" s="1">
        <v>1250000.0</v>
      </c>
      <c r="K8" s="2">
        <v>45748.0</v>
      </c>
      <c r="L8" s="3" t="str">
        <f t="shared" si="1"/>
        <v>STOCKOUT</v>
      </c>
    </row>
    <row r="9">
      <c r="A9" s="1" t="s">
        <v>31</v>
      </c>
      <c r="B9" s="1" t="s">
        <v>32</v>
      </c>
      <c r="C9" s="1" t="s">
        <v>13</v>
      </c>
      <c r="D9" s="1">
        <v>220.0</v>
      </c>
      <c r="E9" s="1">
        <v>40.0</v>
      </c>
      <c r="F9" s="1">
        <v>2.0</v>
      </c>
      <c r="G9" s="1">
        <v>5.0</v>
      </c>
      <c r="H9" s="1" t="s">
        <v>33</v>
      </c>
      <c r="I9" s="2">
        <v>45831.0</v>
      </c>
      <c r="J9" s="1">
        <v>550000.0</v>
      </c>
      <c r="K9" s="2">
        <v>45809.0</v>
      </c>
      <c r="L9" s="3" t="str">
        <f t="shared" si="1"/>
        <v>OK</v>
      </c>
    </row>
    <row r="10">
      <c r="A10" s="1" t="s">
        <v>34</v>
      </c>
      <c r="B10" s="1" t="s">
        <v>35</v>
      </c>
      <c r="C10" s="1" t="s">
        <v>36</v>
      </c>
      <c r="D10" s="1">
        <v>28.0</v>
      </c>
      <c r="E10" s="1">
        <v>80.0</v>
      </c>
      <c r="F10" s="1">
        <v>11.0</v>
      </c>
      <c r="G10" s="1">
        <v>4.0</v>
      </c>
      <c r="H10" s="1" t="s">
        <v>37</v>
      </c>
      <c r="I10" s="2">
        <v>45812.0</v>
      </c>
      <c r="J10" s="1">
        <v>65000.0</v>
      </c>
      <c r="K10" s="2">
        <v>45809.0</v>
      </c>
      <c r="L10" s="3" t="str">
        <f t="shared" si="1"/>
        <v>STOCKOUT</v>
      </c>
    </row>
    <row r="11">
      <c r="A11" s="1" t="s">
        <v>19</v>
      </c>
      <c r="B11" s="1" t="s">
        <v>20</v>
      </c>
      <c r="C11" s="1" t="s">
        <v>17</v>
      </c>
      <c r="D11" s="1">
        <v>24.0</v>
      </c>
      <c r="E11" s="1">
        <v>30.0</v>
      </c>
      <c r="F11" s="1">
        <v>3.0</v>
      </c>
      <c r="G11" s="1">
        <v>6.0</v>
      </c>
      <c r="H11" s="1" t="s">
        <v>18</v>
      </c>
      <c r="I11" s="2">
        <v>45695.0</v>
      </c>
      <c r="J11" s="1">
        <v>1200000.0</v>
      </c>
      <c r="K11" s="2">
        <v>45689.0</v>
      </c>
      <c r="L11" s="3" t="str">
        <f t="shared" si="1"/>
        <v>STOCKOUT</v>
      </c>
    </row>
    <row r="12">
      <c r="A12" s="1" t="s">
        <v>44</v>
      </c>
      <c r="B12" s="1" t="s">
        <v>45</v>
      </c>
      <c r="C12" s="1" t="s">
        <v>42</v>
      </c>
      <c r="D12" s="1">
        <v>54.0</v>
      </c>
      <c r="E12" s="1">
        <v>30.0</v>
      </c>
      <c r="F12" s="1">
        <v>6.0</v>
      </c>
      <c r="G12" s="1">
        <v>8.0</v>
      </c>
      <c r="H12" s="1" t="s">
        <v>43</v>
      </c>
      <c r="I12" s="2">
        <v>45983.0</v>
      </c>
      <c r="J12" s="1">
        <v>350000.0</v>
      </c>
      <c r="K12" s="2">
        <v>45962.0</v>
      </c>
      <c r="L12" s="3" t="str">
        <f t="shared" si="1"/>
        <v>OK</v>
      </c>
    </row>
    <row r="13">
      <c r="A13" s="1" t="s">
        <v>46</v>
      </c>
      <c r="B13" s="1" t="s">
        <v>47</v>
      </c>
      <c r="C13" s="1" t="s">
        <v>23</v>
      </c>
      <c r="D13" s="1">
        <v>0.0</v>
      </c>
      <c r="E13" s="1">
        <v>40.0</v>
      </c>
      <c r="F13" s="1">
        <v>7.0</v>
      </c>
      <c r="G13" s="1">
        <v>4.0</v>
      </c>
      <c r="H13" s="1" t="s">
        <v>30</v>
      </c>
      <c r="I13" s="2">
        <v>45761.0</v>
      </c>
      <c r="J13" s="1">
        <v>550000.0</v>
      </c>
      <c r="K13" s="2">
        <v>45748.0</v>
      </c>
      <c r="L13" s="3" t="str">
        <f t="shared" si="1"/>
        <v>STOCKOUT</v>
      </c>
    </row>
    <row r="14">
      <c r="A14" s="1" t="s">
        <v>44</v>
      </c>
      <c r="B14" s="1" t="s">
        <v>45</v>
      </c>
      <c r="C14" s="1" t="s">
        <v>42</v>
      </c>
      <c r="D14" s="1">
        <v>41.0</v>
      </c>
      <c r="E14" s="1">
        <v>30.0</v>
      </c>
      <c r="F14" s="1">
        <v>4.0</v>
      </c>
      <c r="G14" s="1">
        <v>10.0</v>
      </c>
      <c r="H14" s="1" t="s">
        <v>43</v>
      </c>
      <c r="I14" s="2">
        <v>45930.0</v>
      </c>
      <c r="J14" s="1">
        <v>350000.0</v>
      </c>
      <c r="K14" s="2">
        <v>45901.0</v>
      </c>
      <c r="L14" s="3" t="str">
        <f t="shared" si="1"/>
        <v>OK</v>
      </c>
    </row>
    <row r="15">
      <c r="A15" s="1" t="s">
        <v>48</v>
      </c>
      <c r="B15" s="1" t="s">
        <v>49</v>
      </c>
      <c r="C15" s="1" t="s">
        <v>36</v>
      </c>
      <c r="D15" s="1">
        <v>33.0</v>
      </c>
      <c r="E15" s="1">
        <v>120.0</v>
      </c>
      <c r="F15" s="1">
        <v>18.0</v>
      </c>
      <c r="G15" s="1">
        <v>7.0</v>
      </c>
      <c r="H15" s="1" t="s">
        <v>50</v>
      </c>
      <c r="I15" s="2">
        <v>45878.0</v>
      </c>
      <c r="J15" s="1">
        <v>55000.0</v>
      </c>
      <c r="K15" s="2">
        <v>45870.0</v>
      </c>
      <c r="L15" s="3" t="str">
        <f t="shared" si="1"/>
        <v>STOCKOUT</v>
      </c>
    </row>
    <row r="16">
      <c r="A16" s="1" t="s">
        <v>15</v>
      </c>
      <c r="B16" s="1" t="s">
        <v>16</v>
      </c>
      <c r="C16" s="1" t="s">
        <v>17</v>
      </c>
      <c r="D16" s="1">
        <v>26.0</v>
      </c>
      <c r="E16" s="1">
        <v>15.0</v>
      </c>
      <c r="F16" s="1">
        <v>3.0</v>
      </c>
      <c r="G16" s="1">
        <v>8.0</v>
      </c>
      <c r="H16" s="1" t="s">
        <v>18</v>
      </c>
      <c r="I16" s="2">
        <v>45816.0</v>
      </c>
      <c r="J16" s="1">
        <v>8500000.0</v>
      </c>
      <c r="K16" s="2">
        <v>45809.0</v>
      </c>
      <c r="L16" s="3" t="str">
        <f t="shared" si="1"/>
        <v>OK</v>
      </c>
    </row>
    <row r="17">
      <c r="A17" s="1" t="s">
        <v>44</v>
      </c>
      <c r="B17" s="1" t="s">
        <v>45</v>
      </c>
      <c r="C17" s="1" t="s">
        <v>42</v>
      </c>
      <c r="D17" s="1">
        <v>49.0</v>
      </c>
      <c r="E17" s="1">
        <v>30.0</v>
      </c>
      <c r="F17" s="1">
        <v>6.0</v>
      </c>
      <c r="G17" s="1">
        <v>9.0</v>
      </c>
      <c r="H17" s="1" t="s">
        <v>43</v>
      </c>
      <c r="I17" s="2">
        <v>45669.0</v>
      </c>
      <c r="J17" s="1">
        <v>350000.0</v>
      </c>
      <c r="K17" s="2">
        <v>45658.0</v>
      </c>
      <c r="L17" s="3" t="str">
        <f t="shared" si="1"/>
        <v>OK</v>
      </c>
    </row>
    <row r="18">
      <c r="A18" s="1" t="s">
        <v>48</v>
      </c>
      <c r="B18" s="1" t="s">
        <v>49</v>
      </c>
      <c r="C18" s="1" t="s">
        <v>36</v>
      </c>
      <c r="D18" s="1">
        <v>0.0</v>
      </c>
      <c r="E18" s="1">
        <v>120.0</v>
      </c>
      <c r="F18" s="1">
        <v>27.0</v>
      </c>
      <c r="G18" s="1">
        <v>7.0</v>
      </c>
      <c r="H18" s="1" t="s">
        <v>50</v>
      </c>
      <c r="I18" s="2">
        <v>46010.0</v>
      </c>
      <c r="J18" s="1">
        <v>55000.0</v>
      </c>
      <c r="K18" s="2">
        <v>45992.0</v>
      </c>
      <c r="L18" s="3" t="str">
        <f t="shared" si="1"/>
        <v>STOCKOUT</v>
      </c>
    </row>
    <row r="19">
      <c r="A19" s="1" t="s">
        <v>21</v>
      </c>
      <c r="B19" s="1" t="s">
        <v>22</v>
      </c>
      <c r="C19" s="1" t="s">
        <v>23</v>
      </c>
      <c r="D19" s="1">
        <v>14.0</v>
      </c>
      <c r="E19" s="1">
        <v>50.0</v>
      </c>
      <c r="F19" s="1">
        <v>11.0</v>
      </c>
      <c r="G19" s="1">
        <v>4.0</v>
      </c>
      <c r="H19" s="1" t="s">
        <v>24</v>
      </c>
      <c r="I19" s="2">
        <v>46062.0</v>
      </c>
      <c r="J19" s="1">
        <v>350000.0</v>
      </c>
      <c r="K19" s="2">
        <v>46054.0</v>
      </c>
      <c r="L19" s="3" t="str">
        <f t="shared" si="1"/>
        <v>STOCKOUT</v>
      </c>
    </row>
    <row r="20">
      <c r="A20" s="1" t="s">
        <v>51</v>
      </c>
      <c r="B20" s="1" t="s">
        <v>52</v>
      </c>
      <c r="C20" s="1" t="s">
        <v>36</v>
      </c>
      <c r="D20" s="1">
        <v>0.0</v>
      </c>
      <c r="E20" s="1">
        <v>60.0</v>
      </c>
      <c r="F20" s="1">
        <v>13.0</v>
      </c>
      <c r="G20" s="1">
        <v>4.0</v>
      </c>
      <c r="H20" s="1" t="s">
        <v>50</v>
      </c>
      <c r="I20" s="2">
        <v>46004.0</v>
      </c>
      <c r="J20" s="1">
        <v>175000.0</v>
      </c>
      <c r="K20" s="2">
        <v>45992.0</v>
      </c>
      <c r="L20" s="3" t="str">
        <f t="shared" si="1"/>
        <v>STOCKOUT</v>
      </c>
    </row>
    <row r="21">
      <c r="A21" s="1" t="s">
        <v>53</v>
      </c>
      <c r="B21" s="1" t="s">
        <v>54</v>
      </c>
      <c r="C21" s="1" t="s">
        <v>13</v>
      </c>
      <c r="D21" s="1">
        <v>191.0</v>
      </c>
      <c r="E21" s="1">
        <v>60.0</v>
      </c>
      <c r="F21" s="1">
        <v>3.0</v>
      </c>
      <c r="G21" s="1">
        <v>8.0</v>
      </c>
      <c r="H21" s="1" t="s">
        <v>14</v>
      </c>
      <c r="I21" s="2">
        <v>45944.0</v>
      </c>
      <c r="J21" s="1">
        <v>165000.0</v>
      </c>
      <c r="K21" s="2">
        <v>45931.0</v>
      </c>
      <c r="L21" s="3" t="str">
        <f t="shared" si="1"/>
        <v>OK</v>
      </c>
    </row>
    <row r="22">
      <c r="A22" s="1" t="s">
        <v>55</v>
      </c>
      <c r="B22" s="1" t="s">
        <v>56</v>
      </c>
      <c r="C22" s="1" t="s">
        <v>36</v>
      </c>
      <c r="D22" s="1">
        <v>0.0</v>
      </c>
      <c r="E22" s="1">
        <v>100.0</v>
      </c>
      <c r="F22" s="1">
        <v>24.0</v>
      </c>
      <c r="G22" s="1">
        <v>4.0</v>
      </c>
      <c r="H22" s="1" t="s">
        <v>37</v>
      </c>
      <c r="I22" s="2">
        <v>45747.0</v>
      </c>
      <c r="J22" s="1">
        <v>85000.0</v>
      </c>
      <c r="K22" s="2">
        <v>45717.0</v>
      </c>
      <c r="L22" s="3" t="str">
        <f t="shared" si="1"/>
        <v>STOCKOUT</v>
      </c>
    </row>
    <row r="23">
      <c r="A23" s="1" t="s">
        <v>38</v>
      </c>
      <c r="B23" s="1" t="s">
        <v>39</v>
      </c>
      <c r="C23" s="1" t="s">
        <v>23</v>
      </c>
      <c r="D23" s="1">
        <v>23.0</v>
      </c>
      <c r="E23" s="1">
        <v>45.0</v>
      </c>
      <c r="F23" s="1">
        <v>6.0</v>
      </c>
      <c r="G23" s="1">
        <v>6.0</v>
      </c>
      <c r="H23" s="1" t="s">
        <v>24</v>
      </c>
      <c r="I23" s="2">
        <v>45697.0</v>
      </c>
      <c r="J23" s="1">
        <v>450000.0</v>
      </c>
      <c r="K23" s="2">
        <v>45689.0</v>
      </c>
      <c r="L23" s="3" t="str">
        <f t="shared" si="1"/>
        <v>STOCKOUT</v>
      </c>
    </row>
    <row r="24">
      <c r="A24" s="1" t="s">
        <v>57</v>
      </c>
      <c r="B24" s="1" t="s">
        <v>58</v>
      </c>
      <c r="C24" s="1" t="s">
        <v>42</v>
      </c>
      <c r="D24" s="1">
        <v>50.0</v>
      </c>
      <c r="E24" s="1">
        <v>25.0</v>
      </c>
      <c r="F24" s="1">
        <v>3.0</v>
      </c>
      <c r="G24" s="1">
        <v>7.0</v>
      </c>
      <c r="H24" s="1" t="s">
        <v>59</v>
      </c>
      <c r="I24" s="2">
        <v>45920.0</v>
      </c>
      <c r="J24" s="1">
        <v>450000.0</v>
      </c>
      <c r="K24" s="2">
        <v>45901.0</v>
      </c>
      <c r="L24" s="3" t="str">
        <f t="shared" si="1"/>
        <v>OK</v>
      </c>
    </row>
    <row r="25">
      <c r="A25" s="1" t="s">
        <v>57</v>
      </c>
      <c r="B25" s="1" t="s">
        <v>58</v>
      </c>
      <c r="C25" s="1" t="s">
        <v>42</v>
      </c>
      <c r="D25" s="1">
        <v>42.0</v>
      </c>
      <c r="E25" s="1">
        <v>25.0</v>
      </c>
      <c r="F25" s="1">
        <v>3.0</v>
      </c>
      <c r="G25" s="1">
        <v>8.0</v>
      </c>
      <c r="H25" s="1" t="s">
        <v>59</v>
      </c>
      <c r="I25" s="2">
        <v>46078.0</v>
      </c>
      <c r="J25" s="1">
        <v>450000.0</v>
      </c>
      <c r="K25" s="2">
        <v>46054.0</v>
      </c>
      <c r="L25" s="3" t="str">
        <f t="shared" si="1"/>
        <v>OK</v>
      </c>
    </row>
    <row r="26">
      <c r="A26" s="1" t="s">
        <v>51</v>
      </c>
      <c r="B26" s="1" t="s">
        <v>52</v>
      </c>
      <c r="C26" s="1" t="s">
        <v>36</v>
      </c>
      <c r="D26" s="1">
        <v>31.0</v>
      </c>
      <c r="E26" s="1">
        <v>60.0</v>
      </c>
      <c r="F26" s="1">
        <v>8.0</v>
      </c>
      <c r="G26" s="1">
        <v>7.0</v>
      </c>
      <c r="H26" s="1" t="s">
        <v>50</v>
      </c>
      <c r="I26" s="2">
        <v>45880.0</v>
      </c>
      <c r="J26" s="1">
        <v>175000.0</v>
      </c>
      <c r="K26" s="2">
        <v>45870.0</v>
      </c>
      <c r="L26" s="3" t="str">
        <f t="shared" si="1"/>
        <v>STOCKOUT</v>
      </c>
    </row>
    <row r="27">
      <c r="A27" s="1" t="s">
        <v>48</v>
      </c>
      <c r="B27" s="1" t="s">
        <v>49</v>
      </c>
      <c r="C27" s="1" t="s">
        <v>36</v>
      </c>
      <c r="D27" s="1">
        <v>38.0</v>
      </c>
      <c r="E27" s="1">
        <v>120.0</v>
      </c>
      <c r="F27" s="1">
        <v>17.0</v>
      </c>
      <c r="G27" s="1">
        <v>4.0</v>
      </c>
      <c r="H27" s="1" t="s">
        <v>50</v>
      </c>
      <c r="I27" s="2">
        <v>45864.0</v>
      </c>
      <c r="J27" s="1">
        <v>55000.0</v>
      </c>
      <c r="K27" s="2">
        <v>45839.0</v>
      </c>
      <c r="L27" s="3" t="str">
        <f t="shared" si="1"/>
        <v>STOCKOUT</v>
      </c>
    </row>
    <row r="28">
      <c r="A28" s="1" t="s">
        <v>11</v>
      </c>
      <c r="B28" s="1" t="s">
        <v>12</v>
      </c>
      <c r="C28" s="1" t="s">
        <v>13</v>
      </c>
      <c r="D28" s="1">
        <v>217.0</v>
      </c>
      <c r="E28" s="1">
        <v>50.0</v>
      </c>
      <c r="F28" s="1">
        <v>3.0</v>
      </c>
      <c r="G28" s="1">
        <v>7.0</v>
      </c>
      <c r="H28" s="1" t="s">
        <v>14</v>
      </c>
      <c r="I28" s="2">
        <v>46111.0</v>
      </c>
      <c r="J28" s="1">
        <v>125000.0</v>
      </c>
      <c r="K28" s="2">
        <v>46082.0</v>
      </c>
      <c r="L28" s="3" t="str">
        <f t="shared" si="1"/>
        <v>OK</v>
      </c>
    </row>
    <row r="29">
      <c r="A29" s="1" t="s">
        <v>15</v>
      </c>
      <c r="B29" s="1" t="s">
        <v>16</v>
      </c>
      <c r="C29" s="1" t="s">
        <v>17</v>
      </c>
      <c r="D29" s="1">
        <v>11.0</v>
      </c>
      <c r="E29" s="1">
        <v>15.0</v>
      </c>
      <c r="F29" s="1">
        <v>1.0</v>
      </c>
      <c r="G29" s="1">
        <v>5.0</v>
      </c>
      <c r="H29" s="1" t="s">
        <v>18</v>
      </c>
      <c r="I29" s="2">
        <v>45754.0</v>
      </c>
      <c r="J29" s="1">
        <v>8500000.0</v>
      </c>
      <c r="K29" s="2">
        <v>45748.0</v>
      </c>
      <c r="L29" s="3" t="str">
        <f t="shared" si="1"/>
        <v>STOCKOUT</v>
      </c>
    </row>
    <row r="30">
      <c r="A30" s="1" t="s">
        <v>38</v>
      </c>
      <c r="B30" s="1" t="s">
        <v>39</v>
      </c>
      <c r="C30" s="1" t="s">
        <v>23</v>
      </c>
      <c r="D30" s="1">
        <v>36.0</v>
      </c>
      <c r="E30" s="1">
        <v>45.0</v>
      </c>
      <c r="F30" s="1">
        <v>7.0</v>
      </c>
      <c r="G30" s="1">
        <v>4.0</v>
      </c>
      <c r="H30" s="1" t="s">
        <v>24</v>
      </c>
      <c r="I30" s="2">
        <v>45883.0</v>
      </c>
      <c r="J30" s="1">
        <v>450000.0</v>
      </c>
      <c r="K30" s="2">
        <v>45870.0</v>
      </c>
      <c r="L30" s="3" t="str">
        <f t="shared" si="1"/>
        <v>STOCKOUT</v>
      </c>
    </row>
    <row r="31">
      <c r="A31" s="1" t="s">
        <v>48</v>
      </c>
      <c r="B31" s="1" t="s">
        <v>49</v>
      </c>
      <c r="C31" s="1" t="s">
        <v>36</v>
      </c>
      <c r="D31" s="1">
        <v>0.0</v>
      </c>
      <c r="E31" s="1">
        <v>120.0</v>
      </c>
      <c r="F31" s="1">
        <v>28.0</v>
      </c>
      <c r="G31" s="1">
        <v>6.0</v>
      </c>
      <c r="H31" s="1" t="s">
        <v>50</v>
      </c>
      <c r="I31" s="2">
        <v>45725.0</v>
      </c>
      <c r="J31" s="1">
        <v>55000.0</v>
      </c>
      <c r="K31" s="2">
        <v>45717.0</v>
      </c>
      <c r="L31" s="3" t="str">
        <f t="shared" si="1"/>
        <v>STOCKOUT</v>
      </c>
    </row>
    <row r="32">
      <c r="A32" s="1" t="s">
        <v>62</v>
      </c>
      <c r="B32" s="1" t="s">
        <v>63</v>
      </c>
      <c r="C32" s="1" t="s">
        <v>13</v>
      </c>
      <c r="D32" s="1">
        <v>375.0</v>
      </c>
      <c r="E32" s="1">
        <v>80.0</v>
      </c>
      <c r="F32" s="1">
        <v>5.0</v>
      </c>
      <c r="G32" s="1">
        <v>6.0</v>
      </c>
      <c r="H32" s="1" t="s">
        <v>33</v>
      </c>
      <c r="I32" s="2">
        <v>45737.0</v>
      </c>
      <c r="J32" s="1">
        <v>85000.0</v>
      </c>
      <c r="K32" s="2">
        <v>45717.0</v>
      </c>
      <c r="L32" s="3" t="str">
        <f t="shared" si="1"/>
        <v>OK</v>
      </c>
    </row>
    <row r="33">
      <c r="A33" s="1" t="s">
        <v>19</v>
      </c>
      <c r="B33" s="1" t="s">
        <v>20</v>
      </c>
      <c r="C33" s="1" t="s">
        <v>17</v>
      </c>
      <c r="D33" s="1">
        <v>24.0</v>
      </c>
      <c r="E33" s="1">
        <v>30.0</v>
      </c>
      <c r="F33" s="1">
        <v>4.0</v>
      </c>
      <c r="G33" s="1">
        <v>5.0</v>
      </c>
      <c r="H33" s="1" t="s">
        <v>18</v>
      </c>
      <c r="I33" s="2">
        <v>45670.0</v>
      </c>
      <c r="J33" s="1">
        <v>1200000.0</v>
      </c>
      <c r="K33" s="2">
        <v>45658.0</v>
      </c>
      <c r="L33" s="3" t="str">
        <f t="shared" si="1"/>
        <v>STOCKOUT</v>
      </c>
    </row>
    <row r="34">
      <c r="A34" s="1" t="s">
        <v>25</v>
      </c>
      <c r="B34" s="1" t="s">
        <v>26</v>
      </c>
      <c r="C34" s="1" t="s">
        <v>17</v>
      </c>
      <c r="D34" s="1">
        <v>22.0</v>
      </c>
      <c r="E34" s="1">
        <v>25.0</v>
      </c>
      <c r="F34" s="1">
        <v>5.0</v>
      </c>
      <c r="G34" s="1">
        <v>14.0</v>
      </c>
      <c r="H34" s="1" t="s">
        <v>27</v>
      </c>
      <c r="I34" s="2">
        <v>45722.0</v>
      </c>
      <c r="J34" s="1">
        <v>4500000.0</v>
      </c>
      <c r="K34" s="2">
        <v>45717.0</v>
      </c>
      <c r="L34" s="3" t="str">
        <f t="shared" si="1"/>
        <v>STOCKOUT</v>
      </c>
    </row>
    <row r="35">
      <c r="A35" s="1" t="s">
        <v>44</v>
      </c>
      <c r="B35" s="1" t="s">
        <v>45</v>
      </c>
      <c r="C35" s="1" t="s">
        <v>42</v>
      </c>
      <c r="D35" s="1">
        <v>59.0</v>
      </c>
      <c r="E35" s="1">
        <v>30.0</v>
      </c>
      <c r="F35" s="1">
        <v>3.0</v>
      </c>
      <c r="G35" s="1">
        <v>6.0</v>
      </c>
      <c r="H35" s="1" t="s">
        <v>43</v>
      </c>
      <c r="I35" s="2">
        <v>45880.0</v>
      </c>
      <c r="J35" s="1">
        <v>350000.0</v>
      </c>
      <c r="K35" s="2">
        <v>45870.0</v>
      </c>
      <c r="L35" s="3" t="str">
        <f t="shared" si="1"/>
        <v>OK</v>
      </c>
    </row>
    <row r="36">
      <c r="A36" s="1" t="s">
        <v>57</v>
      </c>
      <c r="B36" s="1" t="s">
        <v>58</v>
      </c>
      <c r="C36" s="1" t="s">
        <v>42</v>
      </c>
      <c r="D36" s="1">
        <v>22.0</v>
      </c>
      <c r="E36" s="1">
        <v>25.0</v>
      </c>
      <c r="F36" s="1">
        <v>2.0</v>
      </c>
      <c r="G36" s="1">
        <v>6.0</v>
      </c>
      <c r="H36" s="1" t="s">
        <v>59</v>
      </c>
      <c r="I36" s="2">
        <v>46000.0</v>
      </c>
      <c r="J36" s="1">
        <v>450000.0</v>
      </c>
      <c r="K36" s="2">
        <v>45992.0</v>
      </c>
      <c r="L36" s="3" t="str">
        <f t="shared" si="1"/>
        <v>STOCKOUT</v>
      </c>
    </row>
    <row r="37">
      <c r="A37" s="1" t="s">
        <v>60</v>
      </c>
      <c r="B37" s="1" t="s">
        <v>61</v>
      </c>
      <c r="C37" s="1" t="s">
        <v>17</v>
      </c>
      <c r="D37" s="1">
        <v>30.0</v>
      </c>
      <c r="E37" s="1">
        <v>20.0</v>
      </c>
      <c r="F37" s="1">
        <v>1.0</v>
      </c>
      <c r="G37" s="1">
        <v>14.0</v>
      </c>
      <c r="H37" s="1" t="s">
        <v>27</v>
      </c>
      <c r="I37" s="2">
        <v>46048.0</v>
      </c>
      <c r="J37" s="1">
        <v>3200000.0</v>
      </c>
      <c r="K37" s="2">
        <v>46023.0</v>
      </c>
      <c r="L37" s="3" t="str">
        <f t="shared" si="1"/>
        <v>OK</v>
      </c>
    </row>
    <row r="38">
      <c r="A38" s="1" t="s">
        <v>25</v>
      </c>
      <c r="B38" s="1" t="s">
        <v>26</v>
      </c>
      <c r="C38" s="1" t="s">
        <v>17</v>
      </c>
      <c r="D38" s="1">
        <v>2.0</v>
      </c>
      <c r="E38" s="1">
        <v>25.0</v>
      </c>
      <c r="F38" s="1">
        <v>3.0</v>
      </c>
      <c r="G38" s="1">
        <v>20.0</v>
      </c>
      <c r="H38" s="1" t="s">
        <v>27</v>
      </c>
      <c r="I38" s="2">
        <v>45950.0</v>
      </c>
      <c r="J38" s="1">
        <v>4500000.0</v>
      </c>
      <c r="K38" s="2">
        <v>45931.0</v>
      </c>
      <c r="L38" s="3" t="str">
        <f t="shared" si="1"/>
        <v>STOCKOUT</v>
      </c>
    </row>
    <row r="39">
      <c r="A39" s="1" t="s">
        <v>31</v>
      </c>
      <c r="B39" s="1" t="s">
        <v>32</v>
      </c>
      <c r="C39" s="1" t="s">
        <v>13</v>
      </c>
      <c r="D39" s="1">
        <v>184.0</v>
      </c>
      <c r="E39" s="1">
        <v>40.0</v>
      </c>
      <c r="F39" s="1">
        <v>3.0</v>
      </c>
      <c r="G39" s="1">
        <v>6.0</v>
      </c>
      <c r="H39" s="1" t="s">
        <v>33</v>
      </c>
      <c r="I39" s="2">
        <v>45682.0</v>
      </c>
      <c r="J39" s="1">
        <v>550000.0</v>
      </c>
      <c r="K39" s="2">
        <v>45658.0</v>
      </c>
      <c r="L39" s="3" t="str">
        <f t="shared" si="1"/>
        <v>OK</v>
      </c>
    </row>
    <row r="40">
      <c r="A40" s="1" t="s">
        <v>64</v>
      </c>
      <c r="B40" s="1" t="s">
        <v>65</v>
      </c>
      <c r="C40" s="1" t="s">
        <v>42</v>
      </c>
      <c r="D40" s="1">
        <v>19.0</v>
      </c>
      <c r="E40" s="1">
        <v>20.0</v>
      </c>
      <c r="F40" s="1">
        <v>4.0</v>
      </c>
      <c r="G40" s="1">
        <v>9.0</v>
      </c>
      <c r="H40" s="1" t="s">
        <v>59</v>
      </c>
      <c r="I40" s="2">
        <v>45782.0</v>
      </c>
      <c r="J40" s="1">
        <v>750000.0</v>
      </c>
      <c r="K40" s="2">
        <v>45778.0</v>
      </c>
      <c r="L40" s="3" t="str">
        <f t="shared" si="1"/>
        <v>STOCKOUT</v>
      </c>
    </row>
    <row r="41">
      <c r="A41" s="1" t="s">
        <v>62</v>
      </c>
      <c r="B41" s="1" t="s">
        <v>63</v>
      </c>
      <c r="C41" s="1" t="s">
        <v>13</v>
      </c>
      <c r="D41" s="1">
        <v>268.0</v>
      </c>
      <c r="E41" s="1">
        <v>80.0</v>
      </c>
      <c r="F41" s="1">
        <v>4.0</v>
      </c>
      <c r="G41" s="1">
        <v>4.0</v>
      </c>
      <c r="H41" s="1" t="s">
        <v>33</v>
      </c>
      <c r="I41" s="2">
        <v>46099.0</v>
      </c>
      <c r="J41" s="1">
        <v>85000.0</v>
      </c>
      <c r="K41" s="2">
        <v>46082.0</v>
      </c>
      <c r="L41" s="3" t="str">
        <f t="shared" si="1"/>
        <v>OK</v>
      </c>
    </row>
    <row r="42">
      <c r="A42" s="1" t="s">
        <v>34</v>
      </c>
      <c r="B42" s="1" t="s">
        <v>35</v>
      </c>
      <c r="C42" s="1" t="s">
        <v>36</v>
      </c>
      <c r="D42" s="1">
        <v>31.0</v>
      </c>
      <c r="E42" s="1">
        <v>80.0</v>
      </c>
      <c r="F42" s="1">
        <v>13.0</v>
      </c>
      <c r="G42" s="1">
        <v>4.0</v>
      </c>
      <c r="H42" s="1" t="s">
        <v>37</v>
      </c>
      <c r="I42" s="2">
        <v>45857.0</v>
      </c>
      <c r="J42" s="1">
        <v>65000.0</v>
      </c>
      <c r="K42" s="2">
        <v>45839.0</v>
      </c>
      <c r="L42" s="3" t="str">
        <f t="shared" si="1"/>
        <v>STOCKOUT</v>
      </c>
    </row>
    <row r="43">
      <c r="A43" s="1" t="s">
        <v>55</v>
      </c>
      <c r="B43" s="1" t="s">
        <v>56</v>
      </c>
      <c r="C43" s="1" t="s">
        <v>36</v>
      </c>
      <c r="D43" s="1">
        <v>28.0</v>
      </c>
      <c r="E43" s="1">
        <v>100.0</v>
      </c>
      <c r="F43" s="1">
        <v>17.0</v>
      </c>
      <c r="G43" s="1">
        <v>3.0</v>
      </c>
      <c r="H43" s="1" t="s">
        <v>37</v>
      </c>
      <c r="I43" s="2">
        <v>46070.0</v>
      </c>
      <c r="J43" s="1">
        <v>85000.0</v>
      </c>
      <c r="K43" s="2">
        <v>46054.0</v>
      </c>
      <c r="L43" s="3" t="str">
        <f t="shared" si="1"/>
        <v>STOCKOUT</v>
      </c>
    </row>
    <row r="44">
      <c r="A44" s="1" t="s">
        <v>15</v>
      </c>
      <c r="B44" s="1" t="s">
        <v>16</v>
      </c>
      <c r="C44" s="1" t="s">
        <v>17</v>
      </c>
      <c r="D44" s="1">
        <v>22.0</v>
      </c>
      <c r="E44" s="1">
        <v>15.0</v>
      </c>
      <c r="F44" s="1">
        <v>2.0</v>
      </c>
      <c r="G44" s="1">
        <v>7.0</v>
      </c>
      <c r="H44" s="1" t="s">
        <v>18</v>
      </c>
      <c r="I44" s="2">
        <v>45878.0</v>
      </c>
      <c r="J44" s="1">
        <v>8500000.0</v>
      </c>
      <c r="K44" s="2">
        <v>45870.0</v>
      </c>
      <c r="L44" s="3" t="str">
        <f t="shared" si="1"/>
        <v>OK</v>
      </c>
    </row>
    <row r="45">
      <c r="A45" s="1" t="s">
        <v>48</v>
      </c>
      <c r="B45" s="1" t="s">
        <v>49</v>
      </c>
      <c r="C45" s="1" t="s">
        <v>36</v>
      </c>
      <c r="D45" s="1">
        <v>27.0</v>
      </c>
      <c r="E45" s="1">
        <v>120.0</v>
      </c>
      <c r="F45" s="1">
        <v>18.0</v>
      </c>
      <c r="G45" s="1">
        <v>4.0</v>
      </c>
      <c r="H45" s="1" t="s">
        <v>50</v>
      </c>
      <c r="I45" s="2">
        <v>45782.0</v>
      </c>
      <c r="J45" s="1">
        <v>55000.0</v>
      </c>
      <c r="K45" s="2">
        <v>45778.0</v>
      </c>
      <c r="L45" s="3" t="str">
        <f t="shared" si="1"/>
        <v>STOCKOUT</v>
      </c>
    </row>
    <row r="46">
      <c r="A46" s="1" t="s">
        <v>38</v>
      </c>
      <c r="B46" s="1" t="s">
        <v>39</v>
      </c>
      <c r="C46" s="1" t="s">
        <v>23</v>
      </c>
      <c r="D46" s="1">
        <v>0.0</v>
      </c>
      <c r="E46" s="1">
        <v>45.0</v>
      </c>
      <c r="F46" s="1">
        <v>10.0</v>
      </c>
      <c r="G46" s="1">
        <v>3.0</v>
      </c>
      <c r="H46" s="1" t="s">
        <v>24</v>
      </c>
      <c r="I46" s="2">
        <v>45737.0</v>
      </c>
      <c r="J46" s="1">
        <v>450000.0</v>
      </c>
      <c r="K46" s="2">
        <v>45717.0</v>
      </c>
      <c r="L46" s="3" t="str">
        <f t="shared" si="1"/>
        <v>STOCKOUT</v>
      </c>
    </row>
    <row r="47">
      <c r="A47" s="1" t="s">
        <v>46</v>
      </c>
      <c r="B47" s="1" t="s">
        <v>47</v>
      </c>
      <c r="C47" s="1" t="s">
        <v>23</v>
      </c>
      <c r="D47" s="1">
        <v>0.0</v>
      </c>
      <c r="E47" s="1">
        <v>40.0</v>
      </c>
      <c r="F47" s="1">
        <v>8.0</v>
      </c>
      <c r="G47" s="1">
        <v>3.0</v>
      </c>
      <c r="H47" s="1" t="s">
        <v>30</v>
      </c>
      <c r="I47" s="2">
        <v>46018.0</v>
      </c>
      <c r="J47" s="1">
        <v>550000.0</v>
      </c>
      <c r="K47" s="2">
        <v>45992.0</v>
      </c>
      <c r="L47" s="3" t="str">
        <f t="shared" si="1"/>
        <v>STOCKOUT</v>
      </c>
    </row>
    <row r="48">
      <c r="A48" s="1" t="s">
        <v>55</v>
      </c>
      <c r="B48" s="1" t="s">
        <v>56</v>
      </c>
      <c r="C48" s="1" t="s">
        <v>36</v>
      </c>
      <c r="D48" s="1">
        <v>35.0</v>
      </c>
      <c r="E48" s="1">
        <v>100.0</v>
      </c>
      <c r="F48" s="1">
        <v>14.0</v>
      </c>
      <c r="G48" s="1">
        <v>3.0</v>
      </c>
      <c r="H48" s="1" t="s">
        <v>37</v>
      </c>
      <c r="I48" s="2">
        <v>45685.0</v>
      </c>
      <c r="J48" s="1">
        <v>85000.0</v>
      </c>
      <c r="K48" s="2">
        <v>45658.0</v>
      </c>
      <c r="L48" s="3" t="str">
        <f t="shared" si="1"/>
        <v>STOCKOUT</v>
      </c>
    </row>
    <row r="49">
      <c r="A49" s="1" t="s">
        <v>28</v>
      </c>
      <c r="B49" s="1" t="s">
        <v>29</v>
      </c>
      <c r="C49" s="1" t="s">
        <v>23</v>
      </c>
      <c r="D49" s="1">
        <v>0.0</v>
      </c>
      <c r="E49" s="1">
        <v>35.0</v>
      </c>
      <c r="F49" s="1">
        <v>9.0</v>
      </c>
      <c r="G49" s="1">
        <v>5.0</v>
      </c>
      <c r="H49" s="1" t="s">
        <v>30</v>
      </c>
      <c r="I49" s="2">
        <v>46095.0</v>
      </c>
      <c r="J49" s="1">
        <v>1250000.0</v>
      </c>
      <c r="K49" s="2">
        <v>46082.0</v>
      </c>
      <c r="L49" s="3" t="str">
        <f t="shared" si="1"/>
        <v>STOCKOUT</v>
      </c>
    </row>
    <row r="50">
      <c r="A50" s="1" t="s">
        <v>38</v>
      </c>
      <c r="B50" s="1" t="s">
        <v>39</v>
      </c>
      <c r="C50" s="1" t="s">
        <v>23</v>
      </c>
      <c r="D50" s="1">
        <v>40.0</v>
      </c>
      <c r="E50" s="1">
        <v>45.0</v>
      </c>
      <c r="F50" s="1">
        <v>5.0</v>
      </c>
      <c r="G50" s="1">
        <v>3.0</v>
      </c>
      <c r="H50" s="1" t="s">
        <v>24</v>
      </c>
      <c r="I50" s="2">
        <v>45959.0</v>
      </c>
      <c r="J50" s="1">
        <v>450000.0</v>
      </c>
      <c r="K50" s="2">
        <v>45931.0</v>
      </c>
      <c r="L50" s="3" t="str">
        <f t="shared" si="1"/>
        <v>STOCKOUT</v>
      </c>
    </row>
    <row r="51">
      <c r="A51" s="1" t="s">
        <v>64</v>
      </c>
      <c r="B51" s="1" t="s">
        <v>65</v>
      </c>
      <c r="C51" s="1" t="s">
        <v>42</v>
      </c>
      <c r="D51" s="1">
        <v>29.0</v>
      </c>
      <c r="E51" s="1">
        <v>20.0</v>
      </c>
      <c r="F51" s="1">
        <v>4.0</v>
      </c>
      <c r="G51" s="1">
        <v>10.0</v>
      </c>
      <c r="H51" s="1" t="s">
        <v>59</v>
      </c>
      <c r="I51" s="2">
        <v>45826.0</v>
      </c>
      <c r="J51" s="1">
        <v>750000.0</v>
      </c>
      <c r="K51" s="2">
        <v>45809.0</v>
      </c>
      <c r="L51" s="3" t="str">
        <f t="shared" si="1"/>
        <v>OK</v>
      </c>
    </row>
    <row r="52">
      <c r="A52" s="1" t="s">
        <v>40</v>
      </c>
      <c r="B52" s="1" t="s">
        <v>41</v>
      </c>
      <c r="C52" s="1" t="s">
        <v>42</v>
      </c>
      <c r="D52" s="1">
        <v>30.0</v>
      </c>
      <c r="E52" s="1">
        <v>15.0</v>
      </c>
      <c r="F52" s="1">
        <v>2.0</v>
      </c>
      <c r="G52" s="1">
        <v>9.0</v>
      </c>
      <c r="H52" s="1" t="s">
        <v>43</v>
      </c>
      <c r="I52" s="2">
        <v>45892.0</v>
      </c>
      <c r="J52" s="1">
        <v>1200000.0</v>
      </c>
      <c r="K52" s="2">
        <v>45870.0</v>
      </c>
      <c r="L52" s="3" t="str">
        <f t="shared" si="1"/>
        <v>OK</v>
      </c>
    </row>
    <row r="53">
      <c r="A53" s="1" t="s">
        <v>31</v>
      </c>
      <c r="B53" s="1" t="s">
        <v>32</v>
      </c>
      <c r="C53" s="1" t="s">
        <v>13</v>
      </c>
      <c r="D53" s="1">
        <v>91.0</v>
      </c>
      <c r="E53" s="1">
        <v>40.0</v>
      </c>
      <c r="F53" s="1">
        <v>3.0</v>
      </c>
      <c r="G53" s="1">
        <v>5.0</v>
      </c>
      <c r="H53" s="1" t="s">
        <v>33</v>
      </c>
      <c r="I53" s="2">
        <v>45724.0</v>
      </c>
      <c r="J53" s="1">
        <v>550000.0</v>
      </c>
      <c r="K53" s="2">
        <v>45717.0</v>
      </c>
      <c r="L53" s="3" t="str">
        <f t="shared" si="1"/>
        <v>OK</v>
      </c>
    </row>
    <row r="54">
      <c r="A54" s="1" t="s">
        <v>53</v>
      </c>
      <c r="B54" s="1" t="s">
        <v>54</v>
      </c>
      <c r="C54" s="1" t="s">
        <v>13</v>
      </c>
      <c r="D54" s="1">
        <v>299.0</v>
      </c>
      <c r="E54" s="1">
        <v>60.0</v>
      </c>
      <c r="F54" s="1">
        <v>1.0</v>
      </c>
      <c r="G54" s="1">
        <v>7.0</v>
      </c>
      <c r="H54" s="1" t="s">
        <v>14</v>
      </c>
      <c r="I54" s="2">
        <v>45756.0</v>
      </c>
      <c r="J54" s="1">
        <v>165000.0</v>
      </c>
      <c r="K54" s="2">
        <v>45748.0</v>
      </c>
      <c r="L54" s="3" t="str">
        <f t="shared" si="1"/>
        <v>OK</v>
      </c>
    </row>
    <row r="55">
      <c r="A55" s="1" t="s">
        <v>62</v>
      </c>
      <c r="B55" s="1" t="s">
        <v>63</v>
      </c>
      <c r="C55" s="1" t="s">
        <v>13</v>
      </c>
      <c r="D55" s="1">
        <v>392.0</v>
      </c>
      <c r="E55" s="1">
        <v>80.0</v>
      </c>
      <c r="F55" s="1">
        <v>5.0</v>
      </c>
      <c r="G55" s="1">
        <v>4.0</v>
      </c>
      <c r="H55" s="1" t="s">
        <v>33</v>
      </c>
      <c r="I55" s="2">
        <v>45701.0</v>
      </c>
      <c r="J55" s="1">
        <v>85000.0</v>
      </c>
      <c r="K55" s="2">
        <v>45689.0</v>
      </c>
      <c r="L55" s="3" t="str">
        <f t="shared" si="1"/>
        <v>OK</v>
      </c>
    </row>
    <row r="56">
      <c r="A56" s="1" t="s">
        <v>53</v>
      </c>
      <c r="B56" s="1" t="s">
        <v>54</v>
      </c>
      <c r="C56" s="1" t="s">
        <v>13</v>
      </c>
      <c r="D56" s="1">
        <v>198.0</v>
      </c>
      <c r="E56" s="1">
        <v>60.0</v>
      </c>
      <c r="F56" s="1">
        <v>3.0</v>
      </c>
      <c r="G56" s="1">
        <v>8.0</v>
      </c>
      <c r="H56" s="1" t="s">
        <v>14</v>
      </c>
      <c r="I56" s="2">
        <v>45712.0</v>
      </c>
      <c r="J56" s="1">
        <v>165000.0</v>
      </c>
      <c r="K56" s="2">
        <v>45689.0</v>
      </c>
      <c r="L56" s="3" t="str">
        <f t="shared" si="1"/>
        <v>OK</v>
      </c>
    </row>
    <row r="57">
      <c r="A57" s="1" t="s">
        <v>11</v>
      </c>
      <c r="B57" s="1" t="s">
        <v>12</v>
      </c>
      <c r="C57" s="1" t="s">
        <v>13</v>
      </c>
      <c r="D57" s="1">
        <v>238.0</v>
      </c>
      <c r="E57" s="1">
        <v>50.0</v>
      </c>
      <c r="F57" s="1">
        <v>2.0</v>
      </c>
      <c r="G57" s="1">
        <v>7.0</v>
      </c>
      <c r="H57" s="1" t="s">
        <v>14</v>
      </c>
      <c r="I57" s="2">
        <v>45671.0</v>
      </c>
      <c r="J57" s="1">
        <v>125000.0</v>
      </c>
      <c r="K57" s="2">
        <v>45658.0</v>
      </c>
      <c r="L57" s="3" t="str">
        <f t="shared" si="1"/>
        <v>OK</v>
      </c>
    </row>
    <row r="58">
      <c r="A58" s="1" t="s">
        <v>46</v>
      </c>
      <c r="B58" s="1" t="s">
        <v>47</v>
      </c>
      <c r="C58" s="1" t="s">
        <v>23</v>
      </c>
      <c r="D58" s="1">
        <v>44.0</v>
      </c>
      <c r="E58" s="1">
        <v>40.0</v>
      </c>
      <c r="F58" s="1">
        <v>5.0</v>
      </c>
      <c r="G58" s="1">
        <v>6.0</v>
      </c>
      <c r="H58" s="1" t="s">
        <v>30</v>
      </c>
      <c r="I58" s="2">
        <v>45799.0</v>
      </c>
      <c r="J58" s="1">
        <v>550000.0</v>
      </c>
      <c r="K58" s="2">
        <v>45778.0</v>
      </c>
      <c r="L58" s="3" t="str">
        <f t="shared" si="1"/>
        <v>OK</v>
      </c>
    </row>
    <row r="59">
      <c r="A59" s="1" t="s">
        <v>46</v>
      </c>
      <c r="B59" s="1" t="s">
        <v>47</v>
      </c>
      <c r="C59" s="1" t="s">
        <v>23</v>
      </c>
      <c r="D59" s="1">
        <v>28.0</v>
      </c>
      <c r="E59" s="1">
        <v>40.0</v>
      </c>
      <c r="F59" s="1">
        <v>3.0</v>
      </c>
      <c r="G59" s="1">
        <v>6.0</v>
      </c>
      <c r="H59" s="1" t="s">
        <v>30</v>
      </c>
      <c r="I59" s="2">
        <v>45956.0</v>
      </c>
      <c r="J59" s="1">
        <v>550000.0</v>
      </c>
      <c r="K59" s="2">
        <v>45931.0</v>
      </c>
      <c r="L59" s="3" t="str">
        <f t="shared" si="1"/>
        <v>STOCKOUT</v>
      </c>
    </row>
    <row r="60">
      <c r="A60" s="1" t="s">
        <v>46</v>
      </c>
      <c r="B60" s="1" t="s">
        <v>47</v>
      </c>
      <c r="C60" s="1" t="s">
        <v>23</v>
      </c>
      <c r="D60" s="1">
        <v>29.0</v>
      </c>
      <c r="E60" s="1">
        <v>40.0</v>
      </c>
      <c r="F60" s="1">
        <v>4.0</v>
      </c>
      <c r="G60" s="1">
        <v>9.0</v>
      </c>
      <c r="H60" s="1" t="s">
        <v>30</v>
      </c>
      <c r="I60" s="2">
        <v>45839.0</v>
      </c>
      <c r="J60" s="1">
        <v>550000.0</v>
      </c>
      <c r="K60" s="2">
        <v>45839.0</v>
      </c>
      <c r="L60" s="3" t="str">
        <f t="shared" si="1"/>
        <v>STOCKOUT</v>
      </c>
    </row>
    <row r="61">
      <c r="A61" s="1" t="s">
        <v>62</v>
      </c>
      <c r="B61" s="1" t="s">
        <v>63</v>
      </c>
      <c r="C61" s="1" t="s">
        <v>13</v>
      </c>
      <c r="D61" s="1">
        <v>468.0</v>
      </c>
      <c r="E61" s="1">
        <v>80.0</v>
      </c>
      <c r="F61" s="1">
        <v>5.0</v>
      </c>
      <c r="G61" s="1">
        <v>6.0</v>
      </c>
      <c r="H61" s="1" t="s">
        <v>33</v>
      </c>
      <c r="I61" s="2">
        <v>46079.0</v>
      </c>
      <c r="J61" s="1">
        <v>85000.0</v>
      </c>
      <c r="K61" s="2">
        <v>46054.0</v>
      </c>
      <c r="L61" s="3" t="str">
        <f t="shared" si="1"/>
        <v>OK</v>
      </c>
    </row>
    <row r="62">
      <c r="A62" s="1" t="s">
        <v>57</v>
      </c>
      <c r="B62" s="1" t="s">
        <v>58</v>
      </c>
      <c r="C62" s="1" t="s">
        <v>42</v>
      </c>
      <c r="D62" s="1">
        <v>16.0</v>
      </c>
      <c r="E62" s="1">
        <v>25.0</v>
      </c>
      <c r="F62" s="1">
        <v>3.0</v>
      </c>
      <c r="G62" s="1">
        <v>6.0</v>
      </c>
      <c r="H62" s="1" t="s">
        <v>59</v>
      </c>
      <c r="I62" s="2">
        <v>45982.0</v>
      </c>
      <c r="J62" s="1">
        <v>450000.0</v>
      </c>
      <c r="K62" s="2">
        <v>45962.0</v>
      </c>
      <c r="L62" s="3" t="str">
        <f t="shared" si="1"/>
        <v>STOCKOUT</v>
      </c>
    </row>
    <row r="63">
      <c r="A63" s="1" t="s">
        <v>62</v>
      </c>
      <c r="B63" s="1" t="s">
        <v>63</v>
      </c>
      <c r="C63" s="1" t="s">
        <v>13</v>
      </c>
      <c r="D63" s="1">
        <v>320.0</v>
      </c>
      <c r="E63" s="1">
        <v>80.0</v>
      </c>
      <c r="F63" s="1">
        <v>5.0</v>
      </c>
      <c r="G63" s="1">
        <v>4.0</v>
      </c>
      <c r="H63" s="1" t="s">
        <v>33</v>
      </c>
      <c r="I63" s="2">
        <v>45909.0</v>
      </c>
      <c r="J63" s="1">
        <v>85000.0</v>
      </c>
      <c r="K63" s="2">
        <v>45901.0</v>
      </c>
      <c r="L63" s="3" t="str">
        <f t="shared" si="1"/>
        <v>OK</v>
      </c>
    </row>
    <row r="64">
      <c r="A64" s="1" t="s">
        <v>38</v>
      </c>
      <c r="B64" s="1" t="s">
        <v>39</v>
      </c>
      <c r="C64" s="1" t="s">
        <v>23</v>
      </c>
      <c r="D64" s="1">
        <v>0.0</v>
      </c>
      <c r="E64" s="1">
        <v>45.0</v>
      </c>
      <c r="F64" s="1">
        <v>10.0</v>
      </c>
      <c r="G64" s="1">
        <v>4.0</v>
      </c>
      <c r="H64" s="1" t="s">
        <v>24</v>
      </c>
      <c r="I64" s="2">
        <v>45768.0</v>
      </c>
      <c r="J64" s="1">
        <v>450000.0</v>
      </c>
      <c r="K64" s="2">
        <v>45748.0</v>
      </c>
      <c r="L64" s="3" t="str">
        <f t="shared" si="1"/>
        <v>STOCKOUT</v>
      </c>
    </row>
    <row r="65">
      <c r="A65" s="1" t="s">
        <v>55</v>
      </c>
      <c r="B65" s="1" t="s">
        <v>56</v>
      </c>
      <c r="C65" s="1" t="s">
        <v>36</v>
      </c>
      <c r="D65" s="1">
        <v>29.0</v>
      </c>
      <c r="E65" s="1">
        <v>100.0</v>
      </c>
      <c r="F65" s="1">
        <v>16.0</v>
      </c>
      <c r="G65" s="1">
        <v>5.0</v>
      </c>
      <c r="H65" s="1" t="s">
        <v>37</v>
      </c>
      <c r="I65" s="2">
        <v>45813.0</v>
      </c>
      <c r="J65" s="1">
        <v>85000.0</v>
      </c>
      <c r="K65" s="2">
        <v>45809.0</v>
      </c>
      <c r="L65" s="3" t="str">
        <f t="shared" si="1"/>
        <v>STOCKOUT</v>
      </c>
    </row>
    <row r="66">
      <c r="A66" s="1" t="s">
        <v>19</v>
      </c>
      <c r="B66" s="1" t="s">
        <v>20</v>
      </c>
      <c r="C66" s="1" t="s">
        <v>17</v>
      </c>
      <c r="D66" s="1">
        <v>34.0</v>
      </c>
      <c r="E66" s="1">
        <v>30.0</v>
      </c>
      <c r="F66" s="1">
        <v>4.0</v>
      </c>
      <c r="G66" s="1">
        <v>5.0</v>
      </c>
      <c r="H66" s="1" t="s">
        <v>18</v>
      </c>
      <c r="I66" s="2">
        <v>46083.0</v>
      </c>
      <c r="J66" s="1">
        <v>1200000.0</v>
      </c>
      <c r="K66" s="2">
        <v>46082.0</v>
      </c>
      <c r="L66" s="3" t="str">
        <f t="shared" si="1"/>
        <v>OK</v>
      </c>
    </row>
    <row r="67">
      <c r="A67" s="1" t="s">
        <v>55</v>
      </c>
      <c r="B67" s="1" t="s">
        <v>56</v>
      </c>
      <c r="C67" s="1" t="s">
        <v>36</v>
      </c>
      <c r="D67" s="1">
        <v>60.0</v>
      </c>
      <c r="E67" s="1">
        <v>100.0</v>
      </c>
      <c r="F67" s="1">
        <v>12.0</v>
      </c>
      <c r="G67" s="1">
        <v>4.0</v>
      </c>
      <c r="H67" s="1" t="s">
        <v>37</v>
      </c>
      <c r="I67" s="2">
        <v>45928.0</v>
      </c>
      <c r="J67" s="1">
        <v>85000.0</v>
      </c>
      <c r="K67" s="2">
        <v>45901.0</v>
      </c>
      <c r="L67" s="3" t="str">
        <f t="shared" si="1"/>
        <v>STOCKOUT</v>
      </c>
    </row>
    <row r="68">
      <c r="A68" s="1" t="s">
        <v>15</v>
      </c>
      <c r="B68" s="1" t="s">
        <v>16</v>
      </c>
      <c r="C68" s="1" t="s">
        <v>17</v>
      </c>
      <c r="D68" s="1">
        <v>1.0</v>
      </c>
      <c r="E68" s="1">
        <v>15.0</v>
      </c>
      <c r="F68" s="1">
        <v>2.0</v>
      </c>
      <c r="G68" s="1">
        <v>6.0</v>
      </c>
      <c r="H68" s="1" t="s">
        <v>18</v>
      </c>
      <c r="I68" s="2">
        <v>45861.0</v>
      </c>
      <c r="J68" s="1">
        <v>8500000.0</v>
      </c>
      <c r="K68" s="2">
        <v>45839.0</v>
      </c>
      <c r="L68" s="3" t="str">
        <f t="shared" si="1"/>
        <v>STOCKOUT</v>
      </c>
    </row>
    <row r="69">
      <c r="A69" s="1" t="s">
        <v>31</v>
      </c>
      <c r="B69" s="1" t="s">
        <v>32</v>
      </c>
      <c r="C69" s="1" t="s">
        <v>13</v>
      </c>
      <c r="D69" s="1">
        <v>177.0</v>
      </c>
      <c r="E69" s="1">
        <v>40.0</v>
      </c>
      <c r="F69" s="1">
        <v>2.0</v>
      </c>
      <c r="G69" s="1">
        <v>4.0</v>
      </c>
      <c r="H69" s="1" t="s">
        <v>33</v>
      </c>
      <c r="I69" s="2">
        <v>45757.0</v>
      </c>
      <c r="J69" s="1">
        <v>550000.0</v>
      </c>
      <c r="K69" s="2">
        <v>45748.0</v>
      </c>
      <c r="L69" s="3" t="str">
        <f t="shared" si="1"/>
        <v>OK</v>
      </c>
    </row>
    <row r="70">
      <c r="A70" s="1" t="s">
        <v>60</v>
      </c>
      <c r="B70" s="1" t="s">
        <v>61</v>
      </c>
      <c r="C70" s="1" t="s">
        <v>17</v>
      </c>
      <c r="D70" s="1">
        <v>28.0</v>
      </c>
      <c r="E70" s="1">
        <v>20.0</v>
      </c>
      <c r="F70" s="1">
        <v>1.0</v>
      </c>
      <c r="G70" s="1">
        <v>11.0</v>
      </c>
      <c r="H70" s="1" t="s">
        <v>27</v>
      </c>
      <c r="I70" s="2">
        <v>45669.0</v>
      </c>
      <c r="J70" s="1">
        <v>3200000.0</v>
      </c>
      <c r="K70" s="2">
        <v>45658.0</v>
      </c>
      <c r="L70" s="3" t="str">
        <f t="shared" si="1"/>
        <v>OK</v>
      </c>
    </row>
    <row r="71">
      <c r="A71" s="1" t="s">
        <v>25</v>
      </c>
      <c r="B71" s="1" t="s">
        <v>26</v>
      </c>
      <c r="C71" s="1" t="s">
        <v>17</v>
      </c>
      <c r="D71" s="1">
        <v>42.0</v>
      </c>
      <c r="E71" s="1">
        <v>25.0</v>
      </c>
      <c r="F71" s="1">
        <v>4.0</v>
      </c>
      <c r="G71" s="1">
        <v>19.0</v>
      </c>
      <c r="H71" s="1" t="s">
        <v>27</v>
      </c>
      <c r="I71" s="2">
        <v>45881.0</v>
      </c>
      <c r="J71" s="1">
        <v>4500000.0</v>
      </c>
      <c r="K71" s="2">
        <v>45870.0</v>
      </c>
      <c r="L71" s="3" t="str">
        <f t="shared" si="1"/>
        <v>OK</v>
      </c>
    </row>
    <row r="72">
      <c r="A72" s="1" t="s">
        <v>19</v>
      </c>
      <c r="B72" s="1" t="s">
        <v>20</v>
      </c>
      <c r="C72" s="1" t="s">
        <v>17</v>
      </c>
      <c r="D72" s="1">
        <v>17.0</v>
      </c>
      <c r="E72" s="1">
        <v>30.0</v>
      </c>
      <c r="F72" s="1">
        <v>6.0</v>
      </c>
      <c r="G72" s="1">
        <v>8.0</v>
      </c>
      <c r="H72" s="1" t="s">
        <v>18</v>
      </c>
      <c r="I72" s="2">
        <v>45996.0</v>
      </c>
      <c r="J72" s="1">
        <v>1200000.0</v>
      </c>
      <c r="K72" s="2">
        <v>45992.0</v>
      </c>
      <c r="L72" s="3" t="str">
        <f t="shared" si="1"/>
        <v>STOCKOUT</v>
      </c>
    </row>
    <row r="73">
      <c r="A73" s="1" t="s">
        <v>46</v>
      </c>
      <c r="B73" s="1" t="s">
        <v>47</v>
      </c>
      <c r="C73" s="1" t="s">
        <v>23</v>
      </c>
      <c r="D73" s="1">
        <v>0.0</v>
      </c>
      <c r="E73" s="1">
        <v>40.0</v>
      </c>
      <c r="F73" s="1">
        <v>10.0</v>
      </c>
      <c r="G73" s="1">
        <v>7.0</v>
      </c>
      <c r="H73" s="1" t="s">
        <v>30</v>
      </c>
      <c r="I73" s="2">
        <v>46109.0</v>
      </c>
      <c r="J73" s="1">
        <v>550000.0</v>
      </c>
      <c r="K73" s="2">
        <v>46082.0</v>
      </c>
      <c r="L73" s="3" t="str">
        <f t="shared" si="1"/>
        <v>STOCKOUT</v>
      </c>
    </row>
    <row r="74">
      <c r="A74" s="1" t="s">
        <v>55</v>
      </c>
      <c r="B74" s="1" t="s">
        <v>56</v>
      </c>
      <c r="C74" s="1" t="s">
        <v>36</v>
      </c>
      <c r="D74" s="1">
        <v>26.0</v>
      </c>
      <c r="E74" s="1">
        <v>100.0</v>
      </c>
      <c r="F74" s="1">
        <v>16.0</v>
      </c>
      <c r="G74" s="1">
        <v>4.0</v>
      </c>
      <c r="H74" s="1" t="s">
        <v>37</v>
      </c>
      <c r="I74" s="2">
        <v>45778.0</v>
      </c>
      <c r="J74" s="1">
        <v>85000.0</v>
      </c>
      <c r="K74" s="2">
        <v>45778.0</v>
      </c>
      <c r="L74" s="3" t="str">
        <f t="shared" si="1"/>
        <v>STOCKOUT</v>
      </c>
    </row>
    <row r="75">
      <c r="A75" s="1" t="s">
        <v>62</v>
      </c>
      <c r="B75" s="1" t="s">
        <v>63</v>
      </c>
      <c r="C75" s="1" t="s">
        <v>13</v>
      </c>
      <c r="D75" s="1">
        <v>301.0</v>
      </c>
      <c r="E75" s="1">
        <v>80.0</v>
      </c>
      <c r="F75" s="1">
        <v>3.0</v>
      </c>
      <c r="G75" s="1">
        <v>4.0</v>
      </c>
      <c r="H75" s="1" t="s">
        <v>33</v>
      </c>
      <c r="I75" s="2">
        <v>45936.0</v>
      </c>
      <c r="J75" s="1">
        <v>85000.0</v>
      </c>
      <c r="K75" s="2">
        <v>45931.0</v>
      </c>
      <c r="L75" s="3" t="str">
        <f t="shared" si="1"/>
        <v>OK</v>
      </c>
    </row>
    <row r="76">
      <c r="A76" s="1" t="s">
        <v>57</v>
      </c>
      <c r="B76" s="1" t="s">
        <v>58</v>
      </c>
      <c r="C76" s="1" t="s">
        <v>42</v>
      </c>
      <c r="D76" s="1">
        <v>19.0</v>
      </c>
      <c r="E76" s="1">
        <v>25.0</v>
      </c>
      <c r="F76" s="1">
        <v>4.0</v>
      </c>
      <c r="G76" s="1">
        <v>10.0</v>
      </c>
      <c r="H76" s="1" t="s">
        <v>59</v>
      </c>
      <c r="I76" s="2">
        <v>45729.0</v>
      </c>
      <c r="J76" s="1">
        <v>450000.0</v>
      </c>
      <c r="K76" s="2">
        <v>45717.0</v>
      </c>
      <c r="L76" s="3" t="str">
        <f t="shared" si="1"/>
        <v>STOCKOUT</v>
      </c>
    </row>
    <row r="77">
      <c r="A77" s="1" t="s">
        <v>44</v>
      </c>
      <c r="B77" s="1" t="s">
        <v>45</v>
      </c>
      <c r="C77" s="1" t="s">
        <v>42</v>
      </c>
      <c r="D77" s="1">
        <v>51.0</v>
      </c>
      <c r="E77" s="1">
        <v>30.0</v>
      </c>
      <c r="F77" s="1">
        <v>6.0</v>
      </c>
      <c r="G77" s="1">
        <v>9.0</v>
      </c>
      <c r="H77" s="1" t="s">
        <v>43</v>
      </c>
      <c r="I77" s="2">
        <v>45752.0</v>
      </c>
      <c r="J77" s="1">
        <v>350000.0</v>
      </c>
      <c r="K77" s="2">
        <v>45748.0</v>
      </c>
      <c r="L77" s="3" t="str">
        <f t="shared" si="1"/>
        <v>OK</v>
      </c>
    </row>
    <row r="78">
      <c r="A78" s="1" t="s">
        <v>28</v>
      </c>
      <c r="B78" s="1" t="s">
        <v>29</v>
      </c>
      <c r="C78" s="1" t="s">
        <v>23</v>
      </c>
      <c r="D78" s="1">
        <v>17.0</v>
      </c>
      <c r="E78" s="1">
        <v>35.0</v>
      </c>
      <c r="F78" s="1">
        <v>5.0</v>
      </c>
      <c r="G78" s="1">
        <v>5.0</v>
      </c>
      <c r="H78" s="1" t="s">
        <v>30</v>
      </c>
      <c r="I78" s="2">
        <v>45663.0</v>
      </c>
      <c r="J78" s="1">
        <v>1250000.0</v>
      </c>
      <c r="K78" s="2">
        <v>45658.0</v>
      </c>
      <c r="L78" s="3" t="str">
        <f t="shared" si="1"/>
        <v>STOCKOUT</v>
      </c>
    </row>
    <row r="79">
      <c r="A79" s="1" t="s">
        <v>53</v>
      </c>
      <c r="B79" s="1" t="s">
        <v>54</v>
      </c>
      <c r="C79" s="1" t="s">
        <v>13</v>
      </c>
      <c r="D79" s="1">
        <v>223.0</v>
      </c>
      <c r="E79" s="1">
        <v>60.0</v>
      </c>
      <c r="F79" s="1">
        <v>4.0</v>
      </c>
      <c r="G79" s="1">
        <v>8.0</v>
      </c>
      <c r="H79" s="1" t="s">
        <v>14</v>
      </c>
      <c r="I79" s="2">
        <v>46108.0</v>
      </c>
      <c r="J79" s="1">
        <v>165000.0</v>
      </c>
      <c r="K79" s="2">
        <v>46082.0</v>
      </c>
      <c r="L79" s="3" t="str">
        <f t="shared" si="1"/>
        <v>OK</v>
      </c>
    </row>
    <row r="80">
      <c r="A80" s="1" t="s">
        <v>21</v>
      </c>
      <c r="B80" s="1" t="s">
        <v>22</v>
      </c>
      <c r="C80" s="1" t="s">
        <v>23</v>
      </c>
      <c r="D80" s="1">
        <v>34.0</v>
      </c>
      <c r="E80" s="1">
        <v>50.0</v>
      </c>
      <c r="F80" s="1">
        <v>6.0</v>
      </c>
      <c r="G80" s="1">
        <v>6.0</v>
      </c>
      <c r="H80" s="1" t="s">
        <v>24</v>
      </c>
      <c r="I80" s="2">
        <v>45849.0</v>
      </c>
      <c r="J80" s="1">
        <v>350000.0</v>
      </c>
      <c r="K80" s="2">
        <v>45839.0</v>
      </c>
      <c r="L80" s="3" t="str">
        <f t="shared" si="1"/>
        <v>STOCKOUT</v>
      </c>
    </row>
    <row r="81">
      <c r="A81" s="1" t="s">
        <v>46</v>
      </c>
      <c r="B81" s="1" t="s">
        <v>47</v>
      </c>
      <c r="C81" s="1" t="s">
        <v>23</v>
      </c>
      <c r="D81" s="1">
        <v>10.0</v>
      </c>
      <c r="E81" s="1">
        <v>40.0</v>
      </c>
      <c r="F81" s="1">
        <v>4.0</v>
      </c>
      <c r="G81" s="1">
        <v>3.0</v>
      </c>
      <c r="H81" s="1" t="s">
        <v>30</v>
      </c>
      <c r="I81" s="2">
        <v>46055.0</v>
      </c>
      <c r="J81" s="1">
        <v>550000.0</v>
      </c>
      <c r="K81" s="2">
        <v>46054.0</v>
      </c>
      <c r="L81" s="3" t="str">
        <f t="shared" si="1"/>
        <v>STOCKOUT</v>
      </c>
    </row>
    <row r="82">
      <c r="A82" s="1" t="s">
        <v>62</v>
      </c>
      <c r="B82" s="1" t="s">
        <v>63</v>
      </c>
      <c r="C82" s="1" t="s">
        <v>13</v>
      </c>
      <c r="D82" s="1">
        <v>436.0</v>
      </c>
      <c r="E82" s="1">
        <v>80.0</v>
      </c>
      <c r="F82" s="1">
        <v>4.0</v>
      </c>
      <c r="G82" s="1">
        <v>4.0</v>
      </c>
      <c r="H82" s="1" t="s">
        <v>33</v>
      </c>
      <c r="I82" s="2">
        <v>45755.0</v>
      </c>
      <c r="J82" s="1">
        <v>85000.0</v>
      </c>
      <c r="K82" s="2">
        <v>45748.0</v>
      </c>
      <c r="L82" s="3" t="str">
        <f t="shared" si="1"/>
        <v>OK</v>
      </c>
    </row>
    <row r="83">
      <c r="A83" s="1" t="s">
        <v>25</v>
      </c>
      <c r="B83" s="1" t="s">
        <v>26</v>
      </c>
      <c r="C83" s="1" t="s">
        <v>17</v>
      </c>
      <c r="D83" s="1">
        <v>0.0</v>
      </c>
      <c r="E83" s="1">
        <v>25.0</v>
      </c>
      <c r="F83" s="1">
        <v>8.0</v>
      </c>
      <c r="G83" s="1">
        <v>10.0</v>
      </c>
      <c r="H83" s="1" t="s">
        <v>27</v>
      </c>
      <c r="I83" s="2">
        <v>46013.0</v>
      </c>
      <c r="J83" s="1">
        <v>4500000.0</v>
      </c>
      <c r="K83" s="2">
        <v>45992.0</v>
      </c>
      <c r="L83" s="3" t="str">
        <f t="shared" si="1"/>
        <v>STOCKOUT</v>
      </c>
    </row>
    <row r="84">
      <c r="A84" s="1" t="s">
        <v>25</v>
      </c>
      <c r="B84" s="1" t="s">
        <v>26</v>
      </c>
      <c r="C84" s="1" t="s">
        <v>17</v>
      </c>
      <c r="D84" s="1">
        <v>20.0</v>
      </c>
      <c r="E84" s="1">
        <v>25.0</v>
      </c>
      <c r="F84" s="1">
        <v>4.0</v>
      </c>
      <c r="G84" s="1">
        <v>19.0</v>
      </c>
      <c r="H84" s="1" t="s">
        <v>27</v>
      </c>
      <c r="I84" s="2">
        <v>45786.0</v>
      </c>
      <c r="J84" s="1">
        <v>4500000.0</v>
      </c>
      <c r="K84" s="2">
        <v>45778.0</v>
      </c>
      <c r="L84" s="3" t="str">
        <f t="shared" si="1"/>
        <v>STOCKOUT</v>
      </c>
    </row>
    <row r="85">
      <c r="A85" s="1" t="s">
        <v>57</v>
      </c>
      <c r="B85" s="1" t="s">
        <v>58</v>
      </c>
      <c r="C85" s="1" t="s">
        <v>42</v>
      </c>
      <c r="D85" s="1">
        <v>42.0</v>
      </c>
      <c r="E85" s="1">
        <v>25.0</v>
      </c>
      <c r="F85" s="1">
        <v>4.0</v>
      </c>
      <c r="G85" s="1">
        <v>8.0</v>
      </c>
      <c r="H85" s="1" t="s">
        <v>59</v>
      </c>
      <c r="I85" s="2">
        <v>46029.0</v>
      </c>
      <c r="J85" s="1">
        <v>450000.0</v>
      </c>
      <c r="K85" s="2">
        <v>46023.0</v>
      </c>
      <c r="L85" s="3" t="str">
        <f t="shared" si="1"/>
        <v>OK</v>
      </c>
    </row>
    <row r="86">
      <c r="A86" s="1" t="s">
        <v>28</v>
      </c>
      <c r="B86" s="1" t="s">
        <v>29</v>
      </c>
      <c r="C86" s="1" t="s">
        <v>23</v>
      </c>
      <c r="D86" s="1">
        <v>0.0</v>
      </c>
      <c r="E86" s="1">
        <v>35.0</v>
      </c>
      <c r="F86" s="1">
        <v>12.0</v>
      </c>
      <c r="G86" s="1">
        <v>9.0</v>
      </c>
      <c r="H86" s="1" t="s">
        <v>30</v>
      </c>
      <c r="I86" s="2">
        <v>45746.0</v>
      </c>
      <c r="J86" s="1">
        <v>1250000.0</v>
      </c>
      <c r="K86" s="2">
        <v>45717.0</v>
      </c>
      <c r="L86" s="3" t="str">
        <f t="shared" si="1"/>
        <v>STOCKOUT</v>
      </c>
    </row>
    <row r="87">
      <c r="A87" s="1" t="s">
        <v>38</v>
      </c>
      <c r="B87" s="1" t="s">
        <v>39</v>
      </c>
      <c r="C87" s="1" t="s">
        <v>23</v>
      </c>
      <c r="D87" s="1">
        <v>34.0</v>
      </c>
      <c r="E87" s="1">
        <v>45.0</v>
      </c>
      <c r="F87" s="1">
        <v>5.0</v>
      </c>
      <c r="G87" s="1">
        <v>4.0</v>
      </c>
      <c r="H87" s="1" t="s">
        <v>24</v>
      </c>
      <c r="I87" s="2">
        <v>45801.0</v>
      </c>
      <c r="J87" s="1">
        <v>450000.0</v>
      </c>
      <c r="K87" s="2">
        <v>45778.0</v>
      </c>
      <c r="L87" s="3" t="str">
        <f t="shared" si="1"/>
        <v>STOCKOUT</v>
      </c>
    </row>
    <row r="88">
      <c r="A88" s="1" t="s">
        <v>28</v>
      </c>
      <c r="B88" s="1" t="s">
        <v>29</v>
      </c>
      <c r="C88" s="1" t="s">
        <v>23</v>
      </c>
      <c r="D88" s="1">
        <v>0.0</v>
      </c>
      <c r="E88" s="1">
        <v>35.0</v>
      </c>
      <c r="F88" s="1">
        <v>10.0</v>
      </c>
      <c r="G88" s="1">
        <v>7.0</v>
      </c>
      <c r="H88" s="1" t="s">
        <v>30</v>
      </c>
      <c r="I88" s="2">
        <v>46008.0</v>
      </c>
      <c r="J88" s="1">
        <v>1250000.0</v>
      </c>
      <c r="K88" s="2">
        <v>45992.0</v>
      </c>
      <c r="L88" s="3" t="str">
        <f t="shared" si="1"/>
        <v>STOCKOUT</v>
      </c>
    </row>
    <row r="89">
      <c r="A89" s="1" t="s">
        <v>31</v>
      </c>
      <c r="B89" s="1" t="s">
        <v>32</v>
      </c>
      <c r="C89" s="1" t="s">
        <v>13</v>
      </c>
      <c r="D89" s="1">
        <v>169.0</v>
      </c>
      <c r="E89" s="1">
        <v>40.0</v>
      </c>
      <c r="F89" s="1">
        <v>3.0</v>
      </c>
      <c r="G89" s="1">
        <v>4.0</v>
      </c>
      <c r="H89" s="1" t="s">
        <v>33</v>
      </c>
      <c r="I89" s="2">
        <v>46074.0</v>
      </c>
      <c r="J89" s="1">
        <v>550000.0</v>
      </c>
      <c r="K89" s="2">
        <v>46054.0</v>
      </c>
      <c r="L89" s="3" t="str">
        <f t="shared" si="1"/>
        <v>OK</v>
      </c>
    </row>
    <row r="90">
      <c r="A90" s="1" t="s">
        <v>21</v>
      </c>
      <c r="B90" s="1" t="s">
        <v>22</v>
      </c>
      <c r="C90" s="1" t="s">
        <v>23</v>
      </c>
      <c r="D90" s="1">
        <v>15.0</v>
      </c>
      <c r="E90" s="1">
        <v>50.0</v>
      </c>
      <c r="F90" s="1">
        <v>7.0</v>
      </c>
      <c r="G90" s="1">
        <v>7.0</v>
      </c>
      <c r="H90" s="1" t="s">
        <v>24</v>
      </c>
      <c r="I90" s="2">
        <v>46032.0</v>
      </c>
      <c r="J90" s="1">
        <v>350000.0</v>
      </c>
      <c r="K90" s="2">
        <v>46023.0</v>
      </c>
      <c r="L90" s="3" t="str">
        <f t="shared" si="1"/>
        <v>STOCKOUT</v>
      </c>
    </row>
    <row r="91">
      <c r="A91" s="1" t="s">
        <v>48</v>
      </c>
      <c r="B91" s="1" t="s">
        <v>49</v>
      </c>
      <c r="C91" s="1" t="s">
        <v>36</v>
      </c>
      <c r="D91" s="1">
        <v>48.0</v>
      </c>
      <c r="E91" s="1">
        <v>120.0</v>
      </c>
      <c r="F91" s="1">
        <v>18.0</v>
      </c>
      <c r="G91" s="1">
        <v>6.0</v>
      </c>
      <c r="H91" s="1" t="s">
        <v>50</v>
      </c>
      <c r="I91" s="2">
        <v>46074.0</v>
      </c>
      <c r="J91" s="1">
        <v>55000.0</v>
      </c>
      <c r="K91" s="2">
        <v>46054.0</v>
      </c>
      <c r="L91" s="3" t="str">
        <f t="shared" si="1"/>
        <v>STOCKOUT</v>
      </c>
    </row>
    <row r="92">
      <c r="A92" s="1" t="s">
        <v>25</v>
      </c>
      <c r="B92" s="1" t="s">
        <v>26</v>
      </c>
      <c r="C92" s="1" t="s">
        <v>17</v>
      </c>
      <c r="D92" s="1">
        <v>0.0</v>
      </c>
      <c r="E92" s="1">
        <v>25.0</v>
      </c>
      <c r="F92" s="1">
        <v>3.0</v>
      </c>
      <c r="G92" s="1">
        <v>18.0</v>
      </c>
      <c r="H92" s="1" t="s">
        <v>27</v>
      </c>
      <c r="I92" s="2">
        <v>45663.0</v>
      </c>
      <c r="J92" s="1">
        <v>4500000.0</v>
      </c>
      <c r="K92" s="2">
        <v>45658.0</v>
      </c>
      <c r="L92" s="3" t="str">
        <f t="shared" si="1"/>
        <v>STOCKOUT</v>
      </c>
    </row>
    <row r="93">
      <c r="A93" s="1" t="s">
        <v>15</v>
      </c>
      <c r="B93" s="1" t="s">
        <v>16</v>
      </c>
      <c r="C93" s="1" t="s">
        <v>17</v>
      </c>
      <c r="D93" s="1">
        <v>0.0</v>
      </c>
      <c r="E93" s="1">
        <v>15.0</v>
      </c>
      <c r="F93" s="1">
        <v>3.0</v>
      </c>
      <c r="G93" s="1">
        <v>8.0</v>
      </c>
      <c r="H93" s="1" t="s">
        <v>18</v>
      </c>
      <c r="I93" s="2">
        <v>45979.0</v>
      </c>
      <c r="J93" s="1">
        <v>8500000.0</v>
      </c>
      <c r="K93" s="2">
        <v>45962.0</v>
      </c>
      <c r="L93" s="3" t="str">
        <f t="shared" si="1"/>
        <v>STOCKOUT</v>
      </c>
    </row>
    <row r="94">
      <c r="A94" s="1" t="s">
        <v>44</v>
      </c>
      <c r="B94" s="1" t="s">
        <v>45</v>
      </c>
      <c r="C94" s="1" t="s">
        <v>42</v>
      </c>
      <c r="D94" s="1">
        <v>53.0</v>
      </c>
      <c r="E94" s="1">
        <v>30.0</v>
      </c>
      <c r="F94" s="1">
        <v>5.0</v>
      </c>
      <c r="G94" s="1">
        <v>4.0</v>
      </c>
      <c r="H94" s="1" t="s">
        <v>43</v>
      </c>
      <c r="I94" s="2">
        <v>45730.0</v>
      </c>
      <c r="J94" s="1">
        <v>350000.0</v>
      </c>
      <c r="K94" s="2">
        <v>45717.0</v>
      </c>
      <c r="L94" s="3" t="str">
        <f t="shared" si="1"/>
        <v>OK</v>
      </c>
    </row>
    <row r="95">
      <c r="A95" s="1" t="s">
        <v>40</v>
      </c>
      <c r="B95" s="1" t="s">
        <v>41</v>
      </c>
      <c r="C95" s="1" t="s">
        <v>42</v>
      </c>
      <c r="D95" s="1">
        <v>12.0</v>
      </c>
      <c r="E95" s="1">
        <v>15.0</v>
      </c>
      <c r="F95" s="1">
        <v>4.0</v>
      </c>
      <c r="G95" s="1">
        <v>10.0</v>
      </c>
      <c r="H95" s="1" t="s">
        <v>43</v>
      </c>
      <c r="I95" s="2">
        <v>45717.0</v>
      </c>
      <c r="J95" s="1">
        <v>1200000.0</v>
      </c>
      <c r="K95" s="2">
        <v>45717.0</v>
      </c>
      <c r="L95" s="3" t="str">
        <f t="shared" si="1"/>
        <v>STOCKOUT</v>
      </c>
    </row>
    <row r="96">
      <c r="A96" s="1" t="s">
        <v>28</v>
      </c>
      <c r="B96" s="1" t="s">
        <v>29</v>
      </c>
      <c r="C96" s="1" t="s">
        <v>23</v>
      </c>
      <c r="D96" s="1">
        <v>31.0</v>
      </c>
      <c r="E96" s="1">
        <v>35.0</v>
      </c>
      <c r="F96" s="1">
        <v>3.0</v>
      </c>
      <c r="G96" s="1">
        <v>6.0</v>
      </c>
      <c r="H96" s="1" t="s">
        <v>30</v>
      </c>
      <c r="I96" s="2">
        <v>45891.0</v>
      </c>
      <c r="J96" s="1">
        <v>1250000.0</v>
      </c>
      <c r="K96" s="2">
        <v>45870.0</v>
      </c>
      <c r="L96" s="3" t="str">
        <f t="shared" si="1"/>
        <v>STOCKOUT</v>
      </c>
    </row>
    <row r="97">
      <c r="A97" s="1" t="s">
        <v>21</v>
      </c>
      <c r="B97" s="1" t="s">
        <v>22</v>
      </c>
      <c r="C97" s="1" t="s">
        <v>23</v>
      </c>
      <c r="D97" s="1">
        <v>21.0</v>
      </c>
      <c r="E97" s="1">
        <v>50.0</v>
      </c>
      <c r="F97" s="1">
        <v>7.0</v>
      </c>
      <c r="G97" s="1">
        <v>3.0</v>
      </c>
      <c r="H97" s="1" t="s">
        <v>24</v>
      </c>
      <c r="I97" s="2">
        <v>45918.0</v>
      </c>
      <c r="J97" s="1">
        <v>350000.0</v>
      </c>
      <c r="K97" s="2">
        <v>45901.0</v>
      </c>
      <c r="L97" s="3" t="str">
        <f t="shared" si="1"/>
        <v>STOCKOUT</v>
      </c>
    </row>
    <row r="98">
      <c r="A98" s="1" t="s">
        <v>11</v>
      </c>
      <c r="B98" s="1" t="s">
        <v>12</v>
      </c>
      <c r="C98" s="1" t="s">
        <v>13</v>
      </c>
      <c r="D98" s="1">
        <v>250.0</v>
      </c>
      <c r="E98" s="1">
        <v>50.0</v>
      </c>
      <c r="F98" s="1">
        <v>1.0</v>
      </c>
      <c r="G98" s="1">
        <v>7.0</v>
      </c>
      <c r="H98" s="1" t="s">
        <v>14</v>
      </c>
      <c r="I98" s="2">
        <v>46050.0</v>
      </c>
      <c r="J98" s="1">
        <v>125000.0</v>
      </c>
      <c r="K98" s="2">
        <v>46023.0</v>
      </c>
      <c r="L98" s="3" t="str">
        <f t="shared" si="1"/>
        <v>OK</v>
      </c>
    </row>
    <row r="99">
      <c r="A99" s="1" t="s">
        <v>25</v>
      </c>
      <c r="B99" s="1" t="s">
        <v>26</v>
      </c>
      <c r="C99" s="1" t="s">
        <v>17</v>
      </c>
      <c r="D99" s="1">
        <v>32.0</v>
      </c>
      <c r="E99" s="1">
        <v>25.0</v>
      </c>
      <c r="F99" s="1">
        <v>4.0</v>
      </c>
      <c r="G99" s="1">
        <v>9.0</v>
      </c>
      <c r="H99" s="1" t="s">
        <v>27</v>
      </c>
      <c r="I99" s="2">
        <v>45708.0</v>
      </c>
      <c r="J99" s="1">
        <v>4500000.0</v>
      </c>
      <c r="K99" s="2">
        <v>45689.0</v>
      </c>
      <c r="L99" s="3" t="str">
        <f t="shared" si="1"/>
        <v>OK</v>
      </c>
    </row>
    <row r="100">
      <c r="A100" s="1" t="s">
        <v>40</v>
      </c>
      <c r="B100" s="1" t="s">
        <v>41</v>
      </c>
      <c r="C100" s="1" t="s">
        <v>42</v>
      </c>
      <c r="D100" s="1">
        <v>3.0</v>
      </c>
      <c r="E100" s="1">
        <v>15.0</v>
      </c>
      <c r="F100" s="1">
        <v>3.0</v>
      </c>
      <c r="G100" s="1">
        <v>8.0</v>
      </c>
      <c r="H100" s="1" t="s">
        <v>43</v>
      </c>
      <c r="I100" s="2">
        <v>45815.0</v>
      </c>
      <c r="J100" s="1">
        <v>1200000.0</v>
      </c>
      <c r="K100" s="2">
        <v>45809.0</v>
      </c>
      <c r="L100" s="3" t="str">
        <f t="shared" si="1"/>
        <v>STOCKOUT</v>
      </c>
    </row>
    <row r="101">
      <c r="A101" s="1" t="s">
        <v>21</v>
      </c>
      <c r="B101" s="1" t="s">
        <v>22</v>
      </c>
      <c r="C101" s="1" t="s">
        <v>23</v>
      </c>
      <c r="D101" s="1">
        <v>26.0</v>
      </c>
      <c r="E101" s="1">
        <v>50.0</v>
      </c>
      <c r="F101" s="1">
        <v>8.0</v>
      </c>
      <c r="G101" s="1">
        <v>3.0</v>
      </c>
      <c r="H101" s="1" t="s">
        <v>24</v>
      </c>
      <c r="I101" s="2">
        <v>45884.0</v>
      </c>
      <c r="J101" s="1">
        <v>350000.0</v>
      </c>
      <c r="K101" s="2">
        <v>45870.0</v>
      </c>
      <c r="L101" s="3" t="str">
        <f t="shared" si="1"/>
        <v>STOCKOUT</v>
      </c>
    </row>
    <row r="102">
      <c r="A102" s="1" t="s">
        <v>46</v>
      </c>
      <c r="B102" s="1" t="s">
        <v>47</v>
      </c>
      <c r="C102" s="1" t="s">
        <v>23</v>
      </c>
      <c r="D102" s="1">
        <v>32.0</v>
      </c>
      <c r="E102" s="1">
        <v>40.0</v>
      </c>
      <c r="F102" s="1">
        <v>5.0</v>
      </c>
      <c r="G102" s="1">
        <v>5.0</v>
      </c>
      <c r="H102" s="1" t="s">
        <v>30</v>
      </c>
      <c r="I102" s="2">
        <v>45915.0</v>
      </c>
      <c r="J102" s="1">
        <v>550000.0</v>
      </c>
      <c r="K102" s="2">
        <v>45901.0</v>
      </c>
      <c r="L102" s="3" t="str">
        <f t="shared" si="1"/>
        <v>STOCKOUT</v>
      </c>
    </row>
    <row r="103">
      <c r="A103" s="1" t="s">
        <v>21</v>
      </c>
      <c r="B103" s="1" t="s">
        <v>22</v>
      </c>
      <c r="C103" s="1" t="s">
        <v>23</v>
      </c>
      <c r="D103" s="1">
        <v>28.0</v>
      </c>
      <c r="E103" s="1">
        <v>50.0</v>
      </c>
      <c r="F103" s="1">
        <v>7.0</v>
      </c>
      <c r="G103" s="1">
        <v>7.0</v>
      </c>
      <c r="H103" s="1" t="s">
        <v>24</v>
      </c>
      <c r="I103" s="2">
        <v>45939.0</v>
      </c>
      <c r="J103" s="1">
        <v>350000.0</v>
      </c>
      <c r="K103" s="2">
        <v>45931.0</v>
      </c>
      <c r="L103" s="3" t="str">
        <f t="shared" si="1"/>
        <v>STOCKOUT</v>
      </c>
    </row>
    <row r="104">
      <c r="A104" s="1" t="s">
        <v>60</v>
      </c>
      <c r="B104" s="1" t="s">
        <v>61</v>
      </c>
      <c r="C104" s="1" t="s">
        <v>17</v>
      </c>
      <c r="D104" s="1">
        <v>0.0</v>
      </c>
      <c r="E104" s="1">
        <v>20.0</v>
      </c>
      <c r="F104" s="1">
        <v>1.0</v>
      </c>
      <c r="G104" s="1">
        <v>23.0</v>
      </c>
      <c r="H104" s="1" t="s">
        <v>27</v>
      </c>
      <c r="I104" s="2">
        <v>45689.0</v>
      </c>
      <c r="J104" s="1">
        <v>3200000.0</v>
      </c>
      <c r="K104" s="2">
        <v>45689.0</v>
      </c>
      <c r="L104" s="3" t="str">
        <f t="shared" si="1"/>
        <v>STOCKOUT</v>
      </c>
    </row>
    <row r="105">
      <c r="A105" s="1" t="s">
        <v>31</v>
      </c>
      <c r="B105" s="1" t="s">
        <v>32</v>
      </c>
      <c r="C105" s="1" t="s">
        <v>13</v>
      </c>
      <c r="D105" s="1">
        <v>221.0</v>
      </c>
      <c r="E105" s="1">
        <v>40.0</v>
      </c>
      <c r="F105" s="1">
        <v>2.0</v>
      </c>
      <c r="G105" s="1">
        <v>5.0</v>
      </c>
      <c r="H105" s="1" t="s">
        <v>33</v>
      </c>
      <c r="I105" s="2">
        <v>45791.0</v>
      </c>
      <c r="J105" s="1">
        <v>550000.0</v>
      </c>
      <c r="K105" s="2">
        <v>45778.0</v>
      </c>
      <c r="L105" s="3" t="str">
        <f t="shared" si="1"/>
        <v>OK</v>
      </c>
    </row>
    <row r="106">
      <c r="A106" s="1" t="s">
        <v>40</v>
      </c>
      <c r="B106" s="1" t="s">
        <v>41</v>
      </c>
      <c r="C106" s="1" t="s">
        <v>42</v>
      </c>
      <c r="D106" s="1">
        <v>22.0</v>
      </c>
      <c r="E106" s="1">
        <v>15.0</v>
      </c>
      <c r="F106" s="1">
        <v>3.0</v>
      </c>
      <c r="G106" s="1">
        <v>4.0</v>
      </c>
      <c r="H106" s="1" t="s">
        <v>43</v>
      </c>
      <c r="I106" s="2">
        <v>45919.0</v>
      </c>
      <c r="J106" s="1">
        <v>1200000.0</v>
      </c>
      <c r="K106" s="2">
        <v>45901.0</v>
      </c>
      <c r="L106" s="3" t="str">
        <f t="shared" si="1"/>
        <v>OK</v>
      </c>
    </row>
    <row r="107">
      <c r="A107" s="1" t="s">
        <v>11</v>
      </c>
      <c r="B107" s="1" t="s">
        <v>12</v>
      </c>
      <c r="C107" s="1" t="s">
        <v>13</v>
      </c>
      <c r="D107" s="1">
        <v>185.0</v>
      </c>
      <c r="E107" s="1">
        <v>50.0</v>
      </c>
      <c r="F107" s="1">
        <v>2.0</v>
      </c>
      <c r="G107" s="1">
        <v>8.0</v>
      </c>
      <c r="H107" s="1" t="s">
        <v>14</v>
      </c>
      <c r="I107" s="2">
        <v>46078.0</v>
      </c>
      <c r="J107" s="1">
        <v>125000.0</v>
      </c>
      <c r="K107" s="2">
        <v>46054.0</v>
      </c>
      <c r="L107" s="3" t="str">
        <f t="shared" si="1"/>
        <v>OK</v>
      </c>
    </row>
    <row r="108">
      <c r="A108" s="1" t="s">
        <v>64</v>
      </c>
      <c r="B108" s="1" t="s">
        <v>65</v>
      </c>
      <c r="C108" s="1" t="s">
        <v>42</v>
      </c>
      <c r="D108" s="1">
        <v>32.0</v>
      </c>
      <c r="E108" s="1">
        <v>20.0</v>
      </c>
      <c r="F108" s="1">
        <v>2.0</v>
      </c>
      <c r="G108" s="1">
        <v>10.0</v>
      </c>
      <c r="H108" s="1" t="s">
        <v>59</v>
      </c>
      <c r="I108" s="2">
        <v>45865.0</v>
      </c>
      <c r="J108" s="1">
        <v>750000.0</v>
      </c>
      <c r="K108" s="2">
        <v>45839.0</v>
      </c>
      <c r="L108" s="3" t="str">
        <f t="shared" si="1"/>
        <v>OK</v>
      </c>
    </row>
    <row r="109">
      <c r="A109" s="1" t="s">
        <v>25</v>
      </c>
      <c r="B109" s="1" t="s">
        <v>26</v>
      </c>
      <c r="C109" s="1" t="s">
        <v>17</v>
      </c>
      <c r="D109" s="1">
        <v>32.0</v>
      </c>
      <c r="E109" s="1">
        <v>25.0</v>
      </c>
      <c r="F109" s="1">
        <v>3.0</v>
      </c>
      <c r="G109" s="1">
        <v>8.0</v>
      </c>
      <c r="H109" s="1" t="s">
        <v>27</v>
      </c>
      <c r="I109" s="2">
        <v>45755.0</v>
      </c>
      <c r="J109" s="1">
        <v>4500000.0</v>
      </c>
      <c r="K109" s="2">
        <v>45748.0</v>
      </c>
      <c r="L109" s="3" t="str">
        <f t="shared" si="1"/>
        <v>OK</v>
      </c>
    </row>
    <row r="110">
      <c r="A110" s="1" t="s">
        <v>48</v>
      </c>
      <c r="B110" s="1" t="s">
        <v>49</v>
      </c>
      <c r="C110" s="1" t="s">
        <v>36</v>
      </c>
      <c r="D110" s="1">
        <v>154.0</v>
      </c>
      <c r="E110" s="1">
        <v>120.0</v>
      </c>
      <c r="F110" s="1">
        <v>19.0</v>
      </c>
      <c r="G110" s="1">
        <v>6.0</v>
      </c>
      <c r="H110" s="1" t="s">
        <v>50</v>
      </c>
      <c r="I110" s="2">
        <v>45978.0</v>
      </c>
      <c r="J110" s="1">
        <v>55000.0</v>
      </c>
      <c r="K110" s="2">
        <v>45962.0</v>
      </c>
      <c r="L110" s="3" t="str">
        <f t="shared" si="1"/>
        <v>OK</v>
      </c>
    </row>
    <row r="111">
      <c r="A111" s="1" t="s">
        <v>28</v>
      </c>
      <c r="B111" s="1" t="s">
        <v>29</v>
      </c>
      <c r="C111" s="1" t="s">
        <v>23</v>
      </c>
      <c r="D111" s="1">
        <v>18.0</v>
      </c>
      <c r="E111" s="1">
        <v>35.0</v>
      </c>
      <c r="F111" s="1">
        <v>7.0</v>
      </c>
      <c r="G111" s="1">
        <v>5.0</v>
      </c>
      <c r="H111" s="1" t="s">
        <v>30</v>
      </c>
      <c r="I111" s="2">
        <v>45859.0</v>
      </c>
      <c r="J111" s="1">
        <v>1250000.0</v>
      </c>
      <c r="K111" s="2">
        <v>45839.0</v>
      </c>
      <c r="L111" s="3" t="str">
        <f t="shared" si="1"/>
        <v>STOCKOUT</v>
      </c>
    </row>
    <row r="112">
      <c r="A112" s="1" t="s">
        <v>44</v>
      </c>
      <c r="B112" s="1" t="s">
        <v>45</v>
      </c>
      <c r="C112" s="1" t="s">
        <v>42</v>
      </c>
      <c r="D112" s="1">
        <v>34.0</v>
      </c>
      <c r="E112" s="1">
        <v>30.0</v>
      </c>
      <c r="F112" s="1">
        <v>5.0</v>
      </c>
      <c r="G112" s="1">
        <v>5.0</v>
      </c>
      <c r="H112" s="1" t="s">
        <v>43</v>
      </c>
      <c r="I112" s="2">
        <v>46007.0</v>
      </c>
      <c r="J112" s="1">
        <v>350000.0</v>
      </c>
      <c r="K112" s="2">
        <v>45992.0</v>
      </c>
      <c r="L112" s="3" t="str">
        <f t="shared" si="1"/>
        <v>OK</v>
      </c>
    </row>
    <row r="113">
      <c r="A113" s="1" t="s">
        <v>38</v>
      </c>
      <c r="B113" s="1" t="s">
        <v>39</v>
      </c>
      <c r="C113" s="1" t="s">
        <v>23</v>
      </c>
      <c r="D113" s="1">
        <v>0.0</v>
      </c>
      <c r="E113" s="1">
        <v>45.0</v>
      </c>
      <c r="F113" s="1">
        <v>13.0</v>
      </c>
      <c r="G113" s="1">
        <v>7.0</v>
      </c>
      <c r="H113" s="1" t="s">
        <v>24</v>
      </c>
      <c r="I113" s="2">
        <v>46015.0</v>
      </c>
      <c r="J113" s="1">
        <v>450000.0</v>
      </c>
      <c r="K113" s="2">
        <v>45992.0</v>
      </c>
      <c r="L113" s="3" t="str">
        <f t="shared" si="1"/>
        <v>STOCKOUT</v>
      </c>
    </row>
    <row r="114">
      <c r="A114" s="1" t="s">
        <v>34</v>
      </c>
      <c r="B114" s="1" t="s">
        <v>35</v>
      </c>
      <c r="C114" s="1" t="s">
        <v>36</v>
      </c>
      <c r="D114" s="1">
        <v>17.0</v>
      </c>
      <c r="E114" s="1">
        <v>80.0</v>
      </c>
      <c r="F114" s="1">
        <v>11.0</v>
      </c>
      <c r="G114" s="1">
        <v>5.0</v>
      </c>
      <c r="H114" s="1" t="s">
        <v>37</v>
      </c>
      <c r="I114" s="2">
        <v>45882.0</v>
      </c>
      <c r="J114" s="1">
        <v>65000.0</v>
      </c>
      <c r="K114" s="2">
        <v>45870.0</v>
      </c>
      <c r="L114" s="3" t="str">
        <f t="shared" si="1"/>
        <v>STOCKOUT</v>
      </c>
    </row>
    <row r="115">
      <c r="A115" s="1" t="s">
        <v>51</v>
      </c>
      <c r="B115" s="1" t="s">
        <v>52</v>
      </c>
      <c r="C115" s="1" t="s">
        <v>36</v>
      </c>
      <c r="D115" s="1">
        <v>0.0</v>
      </c>
      <c r="E115" s="1">
        <v>60.0</v>
      </c>
      <c r="F115" s="1">
        <v>14.0</v>
      </c>
      <c r="G115" s="1">
        <v>4.0</v>
      </c>
      <c r="H115" s="1" t="s">
        <v>50</v>
      </c>
      <c r="I115" s="2">
        <v>45741.0</v>
      </c>
      <c r="J115" s="1">
        <v>175000.0</v>
      </c>
      <c r="K115" s="2">
        <v>45717.0</v>
      </c>
      <c r="L115" s="3" t="str">
        <f t="shared" si="1"/>
        <v>STOCKOUT</v>
      </c>
    </row>
    <row r="116">
      <c r="A116" s="1" t="s">
        <v>40</v>
      </c>
      <c r="B116" s="1" t="s">
        <v>41</v>
      </c>
      <c r="C116" s="1" t="s">
        <v>42</v>
      </c>
      <c r="D116" s="1">
        <v>13.0</v>
      </c>
      <c r="E116" s="1">
        <v>15.0</v>
      </c>
      <c r="F116" s="1">
        <v>2.0</v>
      </c>
      <c r="G116" s="1">
        <v>7.0</v>
      </c>
      <c r="H116" s="1" t="s">
        <v>43</v>
      </c>
      <c r="I116" s="2">
        <v>45799.0</v>
      </c>
      <c r="J116" s="1">
        <v>1200000.0</v>
      </c>
      <c r="K116" s="2">
        <v>45778.0</v>
      </c>
      <c r="L116" s="3" t="str">
        <f t="shared" si="1"/>
        <v>STOCKOUT</v>
      </c>
    </row>
    <row r="117">
      <c r="A117" s="1" t="s">
        <v>34</v>
      </c>
      <c r="B117" s="1" t="s">
        <v>35</v>
      </c>
      <c r="C117" s="1" t="s">
        <v>36</v>
      </c>
      <c r="D117" s="1">
        <v>9.0</v>
      </c>
      <c r="E117" s="1">
        <v>80.0</v>
      </c>
      <c r="F117" s="1">
        <v>11.0</v>
      </c>
      <c r="G117" s="1">
        <v>4.0</v>
      </c>
      <c r="H117" s="1" t="s">
        <v>37</v>
      </c>
      <c r="I117" s="2">
        <v>46077.0</v>
      </c>
      <c r="J117" s="1">
        <v>65000.0</v>
      </c>
      <c r="K117" s="2">
        <v>46054.0</v>
      </c>
      <c r="L117" s="3" t="str">
        <f t="shared" si="1"/>
        <v>STOCKOUT</v>
      </c>
    </row>
    <row r="118">
      <c r="A118" s="1" t="s">
        <v>53</v>
      </c>
      <c r="B118" s="1" t="s">
        <v>54</v>
      </c>
      <c r="C118" s="1" t="s">
        <v>13</v>
      </c>
      <c r="D118" s="1">
        <v>202.0</v>
      </c>
      <c r="E118" s="1">
        <v>60.0</v>
      </c>
      <c r="F118" s="1">
        <v>2.0</v>
      </c>
      <c r="G118" s="1">
        <v>4.0</v>
      </c>
      <c r="H118" s="1" t="s">
        <v>14</v>
      </c>
      <c r="I118" s="2">
        <v>46019.0</v>
      </c>
      <c r="J118" s="1">
        <v>165000.0</v>
      </c>
      <c r="K118" s="2">
        <v>45992.0</v>
      </c>
      <c r="L118" s="3" t="str">
        <f t="shared" si="1"/>
        <v>OK</v>
      </c>
    </row>
    <row r="119">
      <c r="A119" s="1" t="s">
        <v>53</v>
      </c>
      <c r="B119" s="1" t="s">
        <v>54</v>
      </c>
      <c r="C119" s="1" t="s">
        <v>13</v>
      </c>
      <c r="D119" s="1">
        <v>252.0</v>
      </c>
      <c r="E119" s="1">
        <v>60.0</v>
      </c>
      <c r="F119" s="1">
        <v>4.0</v>
      </c>
      <c r="G119" s="1">
        <v>7.0</v>
      </c>
      <c r="H119" s="1" t="s">
        <v>14</v>
      </c>
      <c r="I119" s="2">
        <v>45930.0</v>
      </c>
      <c r="J119" s="1">
        <v>165000.0</v>
      </c>
      <c r="K119" s="2">
        <v>45901.0</v>
      </c>
      <c r="L119" s="3" t="str">
        <f t="shared" si="1"/>
        <v>OK</v>
      </c>
    </row>
    <row r="120">
      <c r="A120" s="1" t="s">
        <v>64</v>
      </c>
      <c r="B120" s="1" t="s">
        <v>65</v>
      </c>
      <c r="C120" s="1" t="s">
        <v>42</v>
      </c>
      <c r="D120" s="1">
        <v>20.0</v>
      </c>
      <c r="E120" s="1">
        <v>20.0</v>
      </c>
      <c r="F120" s="1">
        <v>2.0</v>
      </c>
      <c r="G120" s="1">
        <v>7.0</v>
      </c>
      <c r="H120" s="1" t="s">
        <v>59</v>
      </c>
      <c r="I120" s="2">
        <v>46027.0</v>
      </c>
      <c r="J120" s="1">
        <v>750000.0</v>
      </c>
      <c r="K120" s="2">
        <v>46023.0</v>
      </c>
      <c r="L120" s="3" t="str">
        <f t="shared" si="1"/>
        <v>STOCKOUT</v>
      </c>
    </row>
    <row r="121">
      <c r="A121" s="1" t="s">
        <v>31</v>
      </c>
      <c r="B121" s="1" t="s">
        <v>32</v>
      </c>
      <c r="C121" s="1" t="s">
        <v>13</v>
      </c>
      <c r="D121" s="1">
        <v>153.0</v>
      </c>
      <c r="E121" s="1">
        <v>40.0</v>
      </c>
      <c r="F121" s="1">
        <v>4.0</v>
      </c>
      <c r="G121" s="1">
        <v>5.0</v>
      </c>
      <c r="H121" s="1" t="s">
        <v>33</v>
      </c>
      <c r="I121" s="2">
        <v>46097.0</v>
      </c>
      <c r="J121" s="1">
        <v>550000.0</v>
      </c>
      <c r="K121" s="2">
        <v>46082.0</v>
      </c>
      <c r="L121" s="3" t="str">
        <f t="shared" si="1"/>
        <v>OK</v>
      </c>
    </row>
    <row r="122">
      <c r="A122" s="1" t="s">
        <v>57</v>
      </c>
      <c r="B122" s="1" t="s">
        <v>58</v>
      </c>
      <c r="C122" s="1" t="s">
        <v>42</v>
      </c>
      <c r="D122" s="1">
        <v>41.0</v>
      </c>
      <c r="E122" s="1">
        <v>25.0</v>
      </c>
      <c r="F122" s="1">
        <v>4.0</v>
      </c>
      <c r="G122" s="1">
        <v>10.0</v>
      </c>
      <c r="H122" s="1" t="s">
        <v>59</v>
      </c>
      <c r="I122" s="2">
        <v>45801.0</v>
      </c>
      <c r="J122" s="1">
        <v>450000.0</v>
      </c>
      <c r="K122" s="2">
        <v>45778.0</v>
      </c>
      <c r="L122" s="3" t="str">
        <f t="shared" si="1"/>
        <v>OK</v>
      </c>
    </row>
    <row r="123">
      <c r="A123" s="1" t="s">
        <v>64</v>
      </c>
      <c r="B123" s="1" t="s">
        <v>65</v>
      </c>
      <c r="C123" s="1" t="s">
        <v>42</v>
      </c>
      <c r="D123" s="1">
        <v>32.0</v>
      </c>
      <c r="E123" s="1">
        <v>20.0</v>
      </c>
      <c r="F123" s="1">
        <v>1.0</v>
      </c>
      <c r="G123" s="1">
        <v>8.0</v>
      </c>
      <c r="H123" s="1" t="s">
        <v>59</v>
      </c>
      <c r="I123" s="2">
        <v>45955.0</v>
      </c>
      <c r="J123" s="1">
        <v>750000.0</v>
      </c>
      <c r="K123" s="2">
        <v>45931.0</v>
      </c>
      <c r="L123" s="3" t="str">
        <f t="shared" si="1"/>
        <v>OK</v>
      </c>
    </row>
    <row r="124">
      <c r="A124" s="1" t="s">
        <v>60</v>
      </c>
      <c r="B124" s="1" t="s">
        <v>61</v>
      </c>
      <c r="C124" s="1" t="s">
        <v>17</v>
      </c>
      <c r="D124" s="1">
        <v>0.0</v>
      </c>
      <c r="E124" s="1">
        <v>20.0</v>
      </c>
      <c r="F124" s="1">
        <v>3.0</v>
      </c>
      <c r="G124" s="1">
        <v>7.0</v>
      </c>
      <c r="H124" s="1" t="s">
        <v>27</v>
      </c>
      <c r="I124" s="2">
        <v>45919.0</v>
      </c>
      <c r="J124" s="1">
        <v>3200000.0</v>
      </c>
      <c r="K124" s="2">
        <v>45901.0</v>
      </c>
      <c r="L124" s="3" t="str">
        <f t="shared" si="1"/>
        <v>STOCKOUT</v>
      </c>
    </row>
    <row r="125">
      <c r="A125" s="1" t="s">
        <v>62</v>
      </c>
      <c r="B125" s="1" t="s">
        <v>63</v>
      </c>
      <c r="C125" s="1" t="s">
        <v>13</v>
      </c>
      <c r="D125" s="1">
        <v>255.0</v>
      </c>
      <c r="E125" s="1">
        <v>80.0</v>
      </c>
      <c r="F125" s="1">
        <v>4.0</v>
      </c>
      <c r="G125" s="1">
        <v>6.0</v>
      </c>
      <c r="H125" s="1" t="s">
        <v>33</v>
      </c>
      <c r="I125" s="2">
        <v>46001.0</v>
      </c>
      <c r="J125" s="1">
        <v>85000.0</v>
      </c>
      <c r="K125" s="2">
        <v>45992.0</v>
      </c>
      <c r="L125" s="3" t="str">
        <f t="shared" si="1"/>
        <v>OK</v>
      </c>
    </row>
    <row r="126">
      <c r="A126" s="1" t="s">
        <v>31</v>
      </c>
      <c r="B126" s="1" t="s">
        <v>32</v>
      </c>
      <c r="C126" s="1" t="s">
        <v>13</v>
      </c>
      <c r="D126" s="1">
        <v>168.0</v>
      </c>
      <c r="E126" s="1">
        <v>40.0</v>
      </c>
      <c r="F126" s="1">
        <v>3.0</v>
      </c>
      <c r="G126" s="1">
        <v>5.0</v>
      </c>
      <c r="H126" s="1" t="s">
        <v>33</v>
      </c>
      <c r="I126" s="2">
        <v>45709.0</v>
      </c>
      <c r="J126" s="1">
        <v>550000.0</v>
      </c>
      <c r="K126" s="2">
        <v>45689.0</v>
      </c>
      <c r="L126" s="3" t="str">
        <f t="shared" si="1"/>
        <v>OK</v>
      </c>
    </row>
    <row r="127">
      <c r="A127" s="1" t="s">
        <v>57</v>
      </c>
      <c r="B127" s="1" t="s">
        <v>58</v>
      </c>
      <c r="C127" s="1" t="s">
        <v>42</v>
      </c>
      <c r="D127" s="1">
        <v>58.0</v>
      </c>
      <c r="E127" s="1">
        <v>25.0</v>
      </c>
      <c r="F127" s="1">
        <v>1.0</v>
      </c>
      <c r="G127" s="1">
        <v>10.0</v>
      </c>
      <c r="H127" s="1" t="s">
        <v>59</v>
      </c>
      <c r="I127" s="2">
        <v>45952.0</v>
      </c>
      <c r="J127" s="1">
        <v>450000.0</v>
      </c>
      <c r="K127" s="2">
        <v>45931.0</v>
      </c>
      <c r="L127" s="3" t="str">
        <f t="shared" si="1"/>
        <v>OK</v>
      </c>
    </row>
    <row r="128">
      <c r="A128" s="1" t="s">
        <v>46</v>
      </c>
      <c r="B128" s="1" t="s">
        <v>47</v>
      </c>
      <c r="C128" s="1" t="s">
        <v>23</v>
      </c>
      <c r="D128" s="1">
        <v>42.0</v>
      </c>
      <c r="E128" s="1">
        <v>40.0</v>
      </c>
      <c r="F128" s="1">
        <v>4.0</v>
      </c>
      <c r="G128" s="1">
        <v>7.0</v>
      </c>
      <c r="H128" s="1" t="s">
        <v>30</v>
      </c>
      <c r="I128" s="2">
        <v>45889.0</v>
      </c>
      <c r="J128" s="1">
        <v>550000.0</v>
      </c>
      <c r="K128" s="2">
        <v>45870.0</v>
      </c>
      <c r="L128" s="3" t="str">
        <f t="shared" si="1"/>
        <v>OK</v>
      </c>
    </row>
    <row r="129">
      <c r="A129" s="1" t="s">
        <v>44</v>
      </c>
      <c r="B129" s="1" t="s">
        <v>45</v>
      </c>
      <c r="C129" s="1" t="s">
        <v>42</v>
      </c>
      <c r="D129" s="1">
        <v>35.0</v>
      </c>
      <c r="E129" s="1">
        <v>30.0</v>
      </c>
      <c r="F129" s="1">
        <v>5.0</v>
      </c>
      <c r="G129" s="1">
        <v>6.0</v>
      </c>
      <c r="H129" s="1" t="s">
        <v>43</v>
      </c>
      <c r="I129" s="2">
        <v>46048.0</v>
      </c>
      <c r="J129" s="1">
        <v>350000.0</v>
      </c>
      <c r="K129" s="2">
        <v>46023.0</v>
      </c>
      <c r="L129" s="3" t="str">
        <f t="shared" si="1"/>
        <v>OK</v>
      </c>
    </row>
    <row r="130">
      <c r="A130" s="1" t="s">
        <v>46</v>
      </c>
      <c r="B130" s="1" t="s">
        <v>47</v>
      </c>
      <c r="C130" s="1" t="s">
        <v>23</v>
      </c>
      <c r="D130" s="1">
        <v>36.0</v>
      </c>
      <c r="E130" s="1">
        <v>40.0</v>
      </c>
      <c r="F130" s="1">
        <v>6.0</v>
      </c>
      <c r="G130" s="1">
        <v>4.0</v>
      </c>
      <c r="H130" s="1" t="s">
        <v>30</v>
      </c>
      <c r="I130" s="2">
        <v>46044.0</v>
      </c>
      <c r="J130" s="1">
        <v>550000.0</v>
      </c>
      <c r="K130" s="2">
        <v>46023.0</v>
      </c>
      <c r="L130" s="3" t="str">
        <f t="shared" si="1"/>
        <v>STOCKOUT</v>
      </c>
    </row>
    <row r="131">
      <c r="A131" s="1" t="s">
        <v>48</v>
      </c>
      <c r="B131" s="1" t="s">
        <v>49</v>
      </c>
      <c r="C131" s="1" t="s">
        <v>36</v>
      </c>
      <c r="D131" s="1">
        <v>87.0</v>
      </c>
      <c r="E131" s="1">
        <v>120.0</v>
      </c>
      <c r="F131" s="1">
        <v>18.0</v>
      </c>
      <c r="G131" s="1">
        <v>7.0</v>
      </c>
      <c r="H131" s="1" t="s">
        <v>50</v>
      </c>
      <c r="I131" s="2">
        <v>45748.0</v>
      </c>
      <c r="J131" s="1">
        <v>55000.0</v>
      </c>
      <c r="K131" s="2">
        <v>45748.0</v>
      </c>
      <c r="L131" s="3" t="str">
        <f t="shared" si="1"/>
        <v>STOCKOUT</v>
      </c>
    </row>
    <row r="132">
      <c r="A132" s="1" t="s">
        <v>40</v>
      </c>
      <c r="B132" s="1" t="s">
        <v>41</v>
      </c>
      <c r="C132" s="1" t="s">
        <v>42</v>
      </c>
      <c r="D132" s="1">
        <v>32.0</v>
      </c>
      <c r="E132" s="1">
        <v>15.0</v>
      </c>
      <c r="F132" s="1">
        <v>1.0</v>
      </c>
      <c r="G132" s="1">
        <v>8.0</v>
      </c>
      <c r="H132" s="1" t="s">
        <v>43</v>
      </c>
      <c r="I132" s="2">
        <v>46079.0</v>
      </c>
      <c r="J132" s="1">
        <v>1200000.0</v>
      </c>
      <c r="K132" s="2">
        <v>46054.0</v>
      </c>
      <c r="L132" s="3" t="str">
        <f t="shared" si="1"/>
        <v>OK</v>
      </c>
    </row>
    <row r="133">
      <c r="A133" s="1" t="s">
        <v>31</v>
      </c>
      <c r="B133" s="1" t="s">
        <v>32</v>
      </c>
      <c r="C133" s="1" t="s">
        <v>13</v>
      </c>
      <c r="D133" s="1">
        <v>139.0</v>
      </c>
      <c r="E133" s="1">
        <v>40.0</v>
      </c>
      <c r="F133" s="1">
        <v>2.0</v>
      </c>
      <c r="G133" s="1">
        <v>6.0</v>
      </c>
      <c r="H133" s="1" t="s">
        <v>33</v>
      </c>
      <c r="I133" s="2">
        <v>45845.0</v>
      </c>
      <c r="J133" s="1">
        <v>550000.0</v>
      </c>
      <c r="K133" s="2">
        <v>45839.0</v>
      </c>
      <c r="L133" s="3" t="str">
        <f t="shared" si="1"/>
        <v>OK</v>
      </c>
    </row>
    <row r="134">
      <c r="A134" s="1" t="s">
        <v>15</v>
      </c>
      <c r="B134" s="1" t="s">
        <v>16</v>
      </c>
      <c r="C134" s="1" t="s">
        <v>17</v>
      </c>
      <c r="D134" s="1">
        <v>25.0</v>
      </c>
      <c r="E134" s="1">
        <v>15.0</v>
      </c>
      <c r="F134" s="1">
        <v>2.0</v>
      </c>
      <c r="G134" s="1">
        <v>8.0</v>
      </c>
      <c r="H134" s="1" t="s">
        <v>18</v>
      </c>
      <c r="I134" s="2">
        <v>45718.0</v>
      </c>
      <c r="J134" s="1">
        <v>8500000.0</v>
      </c>
      <c r="K134" s="2">
        <v>45717.0</v>
      </c>
      <c r="L134" s="3" t="str">
        <f t="shared" si="1"/>
        <v>OK</v>
      </c>
    </row>
    <row r="135">
      <c r="A135" s="1" t="s">
        <v>46</v>
      </c>
      <c r="B135" s="1" t="s">
        <v>47</v>
      </c>
      <c r="C135" s="1" t="s">
        <v>23</v>
      </c>
      <c r="D135" s="1">
        <v>0.0</v>
      </c>
      <c r="E135" s="1">
        <v>40.0</v>
      </c>
      <c r="F135" s="1">
        <v>8.0</v>
      </c>
      <c r="G135" s="1">
        <v>8.0</v>
      </c>
      <c r="H135" s="1" t="s">
        <v>30</v>
      </c>
      <c r="I135" s="2">
        <v>45964.0</v>
      </c>
      <c r="J135" s="1">
        <v>550000.0</v>
      </c>
      <c r="K135" s="2">
        <v>45962.0</v>
      </c>
      <c r="L135" s="3" t="str">
        <f t="shared" si="1"/>
        <v>STOCKOUT</v>
      </c>
    </row>
    <row r="136">
      <c r="A136" s="1" t="s">
        <v>11</v>
      </c>
      <c r="B136" s="1" t="s">
        <v>12</v>
      </c>
      <c r="C136" s="1" t="s">
        <v>13</v>
      </c>
      <c r="D136" s="1">
        <v>230.0</v>
      </c>
      <c r="E136" s="1">
        <v>50.0</v>
      </c>
      <c r="F136" s="1">
        <v>1.0</v>
      </c>
      <c r="G136" s="1">
        <v>4.0</v>
      </c>
      <c r="H136" s="1" t="s">
        <v>14</v>
      </c>
      <c r="I136" s="2">
        <v>45939.0</v>
      </c>
      <c r="J136" s="1">
        <v>125000.0</v>
      </c>
      <c r="K136" s="2">
        <v>45931.0</v>
      </c>
      <c r="L136" s="3" t="str">
        <f t="shared" si="1"/>
        <v>OK</v>
      </c>
    </row>
    <row r="137">
      <c r="A137" s="1" t="s">
        <v>64</v>
      </c>
      <c r="B137" s="1" t="s">
        <v>65</v>
      </c>
      <c r="C137" s="1" t="s">
        <v>42</v>
      </c>
      <c r="D137" s="1">
        <v>27.0</v>
      </c>
      <c r="E137" s="1">
        <v>20.0</v>
      </c>
      <c r="F137" s="1">
        <v>3.0</v>
      </c>
      <c r="G137" s="1">
        <v>9.0</v>
      </c>
      <c r="H137" s="1" t="s">
        <v>59</v>
      </c>
      <c r="I137" s="2">
        <v>45673.0</v>
      </c>
      <c r="J137" s="1">
        <v>750000.0</v>
      </c>
      <c r="K137" s="2">
        <v>45658.0</v>
      </c>
      <c r="L137" s="3" t="str">
        <f t="shared" si="1"/>
        <v>OK</v>
      </c>
    </row>
    <row r="138">
      <c r="A138" s="1" t="s">
        <v>53</v>
      </c>
      <c r="B138" s="1" t="s">
        <v>54</v>
      </c>
      <c r="C138" s="1" t="s">
        <v>13</v>
      </c>
      <c r="D138" s="1">
        <v>305.0</v>
      </c>
      <c r="E138" s="1">
        <v>60.0</v>
      </c>
      <c r="F138" s="1">
        <v>4.0</v>
      </c>
      <c r="G138" s="1">
        <v>4.0</v>
      </c>
      <c r="H138" s="1" t="s">
        <v>14</v>
      </c>
      <c r="I138" s="2">
        <v>46068.0</v>
      </c>
      <c r="J138" s="1">
        <v>165000.0</v>
      </c>
      <c r="K138" s="2">
        <v>46054.0</v>
      </c>
      <c r="L138" s="3" t="str">
        <f t="shared" si="1"/>
        <v>OK</v>
      </c>
    </row>
    <row r="139">
      <c r="A139" s="1" t="s">
        <v>34</v>
      </c>
      <c r="B139" s="1" t="s">
        <v>35</v>
      </c>
      <c r="C139" s="1" t="s">
        <v>36</v>
      </c>
      <c r="D139" s="1">
        <v>56.0</v>
      </c>
      <c r="E139" s="1">
        <v>80.0</v>
      </c>
      <c r="F139" s="1">
        <v>18.0</v>
      </c>
      <c r="G139" s="1">
        <v>5.0</v>
      </c>
      <c r="H139" s="1" t="s">
        <v>37</v>
      </c>
      <c r="I139" s="2">
        <v>46110.0</v>
      </c>
      <c r="J139" s="1">
        <v>65000.0</v>
      </c>
      <c r="K139" s="2">
        <v>46082.0</v>
      </c>
      <c r="L139" s="3" t="str">
        <f t="shared" si="1"/>
        <v>STOCKOUT</v>
      </c>
    </row>
    <row r="140">
      <c r="A140" s="1" t="s">
        <v>64</v>
      </c>
      <c r="B140" s="1" t="s">
        <v>65</v>
      </c>
      <c r="C140" s="1" t="s">
        <v>42</v>
      </c>
      <c r="D140" s="1">
        <v>42.0</v>
      </c>
      <c r="E140" s="1">
        <v>20.0</v>
      </c>
      <c r="F140" s="1">
        <v>1.0</v>
      </c>
      <c r="G140" s="1">
        <v>10.0</v>
      </c>
      <c r="H140" s="1" t="s">
        <v>59</v>
      </c>
      <c r="I140" s="2">
        <v>45884.0</v>
      </c>
      <c r="J140" s="1">
        <v>750000.0</v>
      </c>
      <c r="K140" s="2">
        <v>45870.0</v>
      </c>
      <c r="L140" s="3" t="str">
        <f t="shared" si="1"/>
        <v>OK</v>
      </c>
    </row>
    <row r="141">
      <c r="A141" s="1" t="s">
        <v>21</v>
      </c>
      <c r="B141" s="1" t="s">
        <v>22</v>
      </c>
      <c r="C141" s="1" t="s">
        <v>23</v>
      </c>
      <c r="D141" s="1">
        <v>0.0</v>
      </c>
      <c r="E141" s="1">
        <v>50.0</v>
      </c>
      <c r="F141" s="1">
        <v>14.0</v>
      </c>
      <c r="G141" s="1">
        <v>5.0</v>
      </c>
      <c r="H141" s="1" t="s">
        <v>24</v>
      </c>
      <c r="I141" s="2">
        <v>46101.0</v>
      </c>
      <c r="J141" s="1">
        <v>350000.0</v>
      </c>
      <c r="K141" s="2">
        <v>46082.0</v>
      </c>
      <c r="L141" s="3" t="str">
        <f t="shared" si="1"/>
        <v>STOCKOUT</v>
      </c>
    </row>
    <row r="142">
      <c r="A142" s="1" t="s">
        <v>25</v>
      </c>
      <c r="B142" s="1" t="s">
        <v>26</v>
      </c>
      <c r="C142" s="1" t="s">
        <v>17</v>
      </c>
      <c r="D142" s="1">
        <v>23.0</v>
      </c>
      <c r="E142" s="1">
        <v>25.0</v>
      </c>
      <c r="F142" s="1">
        <v>6.0</v>
      </c>
      <c r="G142" s="1">
        <v>10.0</v>
      </c>
      <c r="H142" s="1" t="s">
        <v>27</v>
      </c>
      <c r="I142" s="2">
        <v>46109.0</v>
      </c>
      <c r="J142" s="1">
        <v>4500000.0</v>
      </c>
      <c r="K142" s="2">
        <v>46082.0</v>
      </c>
      <c r="L142" s="3" t="str">
        <f t="shared" si="1"/>
        <v>STOCKOUT</v>
      </c>
    </row>
    <row r="143">
      <c r="A143" s="1" t="s">
        <v>38</v>
      </c>
      <c r="B143" s="1" t="s">
        <v>39</v>
      </c>
      <c r="C143" s="1" t="s">
        <v>23</v>
      </c>
      <c r="D143" s="1">
        <v>17.0</v>
      </c>
      <c r="E143" s="1">
        <v>45.0</v>
      </c>
      <c r="F143" s="1">
        <v>7.0</v>
      </c>
      <c r="G143" s="1">
        <v>3.0</v>
      </c>
      <c r="H143" s="1" t="s">
        <v>24</v>
      </c>
      <c r="I143" s="2">
        <v>45910.0</v>
      </c>
      <c r="J143" s="1">
        <v>450000.0</v>
      </c>
      <c r="K143" s="2">
        <v>45901.0</v>
      </c>
      <c r="L143" s="3" t="str">
        <f t="shared" si="1"/>
        <v>STOCKOUT</v>
      </c>
    </row>
    <row r="144">
      <c r="A144" s="1" t="s">
        <v>48</v>
      </c>
      <c r="B144" s="1" t="s">
        <v>49</v>
      </c>
      <c r="C144" s="1" t="s">
        <v>36</v>
      </c>
      <c r="D144" s="1">
        <v>30.0</v>
      </c>
      <c r="E144" s="1">
        <v>120.0</v>
      </c>
      <c r="F144" s="1">
        <v>18.0</v>
      </c>
      <c r="G144" s="1">
        <v>4.0</v>
      </c>
      <c r="H144" s="1" t="s">
        <v>50</v>
      </c>
      <c r="I144" s="2">
        <v>46053.0</v>
      </c>
      <c r="J144" s="1">
        <v>55000.0</v>
      </c>
      <c r="K144" s="2">
        <v>46023.0</v>
      </c>
      <c r="L144" s="3" t="str">
        <f t="shared" si="1"/>
        <v>STOCKOUT</v>
      </c>
    </row>
    <row r="145">
      <c r="A145" s="1" t="s">
        <v>46</v>
      </c>
      <c r="B145" s="1" t="s">
        <v>47</v>
      </c>
      <c r="C145" s="1" t="s">
        <v>23</v>
      </c>
      <c r="D145" s="1">
        <v>0.0</v>
      </c>
      <c r="E145" s="1">
        <v>40.0</v>
      </c>
      <c r="F145" s="1">
        <v>9.0</v>
      </c>
      <c r="G145" s="1">
        <v>8.0</v>
      </c>
      <c r="H145" s="1" t="s">
        <v>30</v>
      </c>
      <c r="I145" s="2">
        <v>45730.0</v>
      </c>
      <c r="J145" s="1">
        <v>550000.0</v>
      </c>
      <c r="K145" s="2">
        <v>45717.0</v>
      </c>
      <c r="L145" s="3" t="str">
        <f t="shared" si="1"/>
        <v>STOCKOUT</v>
      </c>
    </row>
    <row r="146">
      <c r="A146" s="1" t="s">
        <v>55</v>
      </c>
      <c r="B146" s="1" t="s">
        <v>56</v>
      </c>
      <c r="C146" s="1" t="s">
        <v>36</v>
      </c>
      <c r="D146" s="1">
        <v>92.0</v>
      </c>
      <c r="E146" s="1">
        <v>100.0</v>
      </c>
      <c r="F146" s="1">
        <v>15.0</v>
      </c>
      <c r="G146" s="1">
        <v>5.0</v>
      </c>
      <c r="H146" s="1" t="s">
        <v>37</v>
      </c>
      <c r="I146" s="2">
        <v>45897.0</v>
      </c>
      <c r="J146" s="1">
        <v>85000.0</v>
      </c>
      <c r="K146" s="2">
        <v>45870.0</v>
      </c>
      <c r="L146" s="3" t="str">
        <f t="shared" si="1"/>
        <v>STOCKOUT</v>
      </c>
    </row>
    <row r="147">
      <c r="A147" s="1" t="s">
        <v>48</v>
      </c>
      <c r="B147" s="1" t="s">
        <v>49</v>
      </c>
      <c r="C147" s="1" t="s">
        <v>36</v>
      </c>
      <c r="D147" s="1">
        <v>39.0</v>
      </c>
      <c r="E147" s="1">
        <v>120.0</v>
      </c>
      <c r="F147" s="1">
        <v>19.0</v>
      </c>
      <c r="G147" s="1">
        <v>3.0</v>
      </c>
      <c r="H147" s="1" t="s">
        <v>50</v>
      </c>
      <c r="I147" s="2">
        <v>45936.0</v>
      </c>
      <c r="J147" s="1">
        <v>55000.0</v>
      </c>
      <c r="K147" s="2">
        <v>45931.0</v>
      </c>
      <c r="L147" s="3" t="str">
        <f t="shared" si="1"/>
        <v>STOCKOUT</v>
      </c>
    </row>
    <row r="148">
      <c r="A148" s="1" t="s">
        <v>64</v>
      </c>
      <c r="B148" s="1" t="s">
        <v>65</v>
      </c>
      <c r="C148" s="1" t="s">
        <v>42</v>
      </c>
      <c r="D148" s="1">
        <v>29.0</v>
      </c>
      <c r="E148" s="1">
        <v>20.0</v>
      </c>
      <c r="F148" s="1">
        <v>3.0</v>
      </c>
      <c r="G148" s="1">
        <v>9.0</v>
      </c>
      <c r="H148" s="1" t="s">
        <v>59</v>
      </c>
      <c r="I148" s="2">
        <v>46076.0</v>
      </c>
      <c r="J148" s="1">
        <v>750000.0</v>
      </c>
      <c r="K148" s="2">
        <v>46054.0</v>
      </c>
      <c r="L148" s="3" t="str">
        <f t="shared" si="1"/>
        <v>OK</v>
      </c>
    </row>
    <row r="149">
      <c r="A149" s="1" t="s">
        <v>34</v>
      </c>
      <c r="B149" s="1" t="s">
        <v>35</v>
      </c>
      <c r="C149" s="1" t="s">
        <v>36</v>
      </c>
      <c r="D149" s="1">
        <v>40.0</v>
      </c>
      <c r="E149" s="1">
        <v>80.0</v>
      </c>
      <c r="F149" s="1">
        <v>12.0</v>
      </c>
      <c r="G149" s="1">
        <v>3.0</v>
      </c>
      <c r="H149" s="1" t="s">
        <v>37</v>
      </c>
      <c r="I149" s="2">
        <v>45673.0</v>
      </c>
      <c r="J149" s="1">
        <v>65000.0</v>
      </c>
      <c r="K149" s="2">
        <v>45658.0</v>
      </c>
      <c r="L149" s="3" t="str">
        <f t="shared" si="1"/>
        <v>STOCKOUT</v>
      </c>
    </row>
    <row r="150">
      <c r="A150" s="1" t="s">
        <v>11</v>
      </c>
      <c r="B150" s="1" t="s">
        <v>12</v>
      </c>
      <c r="C150" s="1" t="s">
        <v>13</v>
      </c>
      <c r="D150" s="1">
        <v>261.0</v>
      </c>
      <c r="E150" s="1">
        <v>50.0</v>
      </c>
      <c r="F150" s="1">
        <v>2.0</v>
      </c>
      <c r="G150" s="1">
        <v>5.0</v>
      </c>
      <c r="H150" s="1" t="s">
        <v>14</v>
      </c>
      <c r="I150" s="2">
        <v>45787.0</v>
      </c>
      <c r="J150" s="1">
        <v>125000.0</v>
      </c>
      <c r="K150" s="2">
        <v>45778.0</v>
      </c>
      <c r="L150" s="3" t="str">
        <f t="shared" si="1"/>
        <v>OK</v>
      </c>
    </row>
    <row r="151">
      <c r="A151" s="1" t="s">
        <v>21</v>
      </c>
      <c r="B151" s="1" t="s">
        <v>22</v>
      </c>
      <c r="C151" s="1" t="s">
        <v>23</v>
      </c>
      <c r="D151" s="1">
        <v>42.0</v>
      </c>
      <c r="E151" s="1">
        <v>50.0</v>
      </c>
      <c r="F151" s="1">
        <v>6.0</v>
      </c>
      <c r="G151" s="1">
        <v>4.0</v>
      </c>
      <c r="H151" s="1" t="s">
        <v>24</v>
      </c>
      <c r="I151" s="2">
        <v>45817.0</v>
      </c>
      <c r="J151" s="1">
        <v>350000.0</v>
      </c>
      <c r="K151" s="2">
        <v>45809.0</v>
      </c>
      <c r="L151" s="3" t="str">
        <f t="shared" si="1"/>
        <v>STOCKOUT</v>
      </c>
    </row>
    <row r="152">
      <c r="A152" s="1" t="s">
        <v>53</v>
      </c>
      <c r="B152" s="1" t="s">
        <v>54</v>
      </c>
      <c r="C152" s="1" t="s">
        <v>13</v>
      </c>
      <c r="D152" s="1">
        <v>188.0</v>
      </c>
      <c r="E152" s="1">
        <v>60.0</v>
      </c>
      <c r="F152" s="1">
        <v>3.0</v>
      </c>
      <c r="G152" s="1">
        <v>4.0</v>
      </c>
      <c r="H152" s="1" t="s">
        <v>14</v>
      </c>
      <c r="I152" s="2">
        <v>45659.0</v>
      </c>
      <c r="J152" s="1">
        <v>165000.0</v>
      </c>
      <c r="K152" s="2">
        <v>45658.0</v>
      </c>
      <c r="L152" s="3" t="str">
        <f t="shared" si="1"/>
        <v>OK</v>
      </c>
    </row>
    <row r="153">
      <c r="A153" s="1" t="s">
        <v>38</v>
      </c>
      <c r="B153" s="1" t="s">
        <v>39</v>
      </c>
      <c r="C153" s="1" t="s">
        <v>23</v>
      </c>
      <c r="D153" s="1">
        <v>0.0</v>
      </c>
      <c r="E153" s="1">
        <v>45.0</v>
      </c>
      <c r="F153" s="1">
        <v>12.0</v>
      </c>
      <c r="G153" s="1">
        <v>4.0</v>
      </c>
      <c r="H153" s="1" t="s">
        <v>24</v>
      </c>
      <c r="I153" s="2">
        <v>45983.0</v>
      </c>
      <c r="J153" s="1">
        <v>450000.0</v>
      </c>
      <c r="K153" s="2">
        <v>45962.0</v>
      </c>
      <c r="L153" s="3" t="str">
        <f t="shared" si="1"/>
        <v>STOCKOUT</v>
      </c>
    </row>
    <row r="154">
      <c r="A154" s="1" t="s">
        <v>11</v>
      </c>
      <c r="B154" s="1" t="s">
        <v>12</v>
      </c>
      <c r="C154" s="1" t="s">
        <v>13</v>
      </c>
      <c r="D154" s="1">
        <v>252.0</v>
      </c>
      <c r="E154" s="1">
        <v>50.0</v>
      </c>
      <c r="F154" s="1">
        <v>3.0</v>
      </c>
      <c r="G154" s="1">
        <v>7.0</v>
      </c>
      <c r="H154" s="1" t="s">
        <v>14</v>
      </c>
      <c r="I154" s="2">
        <v>45713.0</v>
      </c>
      <c r="J154" s="1">
        <v>125000.0</v>
      </c>
      <c r="K154" s="2">
        <v>45689.0</v>
      </c>
      <c r="L154" s="3" t="str">
        <f t="shared" si="1"/>
        <v>OK</v>
      </c>
    </row>
    <row r="155">
      <c r="A155" s="1" t="s">
        <v>40</v>
      </c>
      <c r="B155" s="1" t="s">
        <v>41</v>
      </c>
      <c r="C155" s="1" t="s">
        <v>42</v>
      </c>
      <c r="D155" s="1">
        <v>13.0</v>
      </c>
      <c r="E155" s="1">
        <v>15.0</v>
      </c>
      <c r="F155" s="1">
        <v>3.0</v>
      </c>
      <c r="G155" s="1">
        <v>6.0</v>
      </c>
      <c r="H155" s="1" t="s">
        <v>43</v>
      </c>
      <c r="I155" s="2">
        <v>45949.0</v>
      </c>
      <c r="J155" s="1">
        <v>1200000.0</v>
      </c>
      <c r="K155" s="2">
        <v>45931.0</v>
      </c>
      <c r="L155" s="3" t="str">
        <f t="shared" si="1"/>
        <v>STOCKOUT</v>
      </c>
    </row>
    <row r="156">
      <c r="A156" s="1" t="s">
        <v>15</v>
      </c>
      <c r="B156" s="1" t="s">
        <v>16</v>
      </c>
      <c r="C156" s="1" t="s">
        <v>17</v>
      </c>
      <c r="D156" s="1">
        <v>28.0</v>
      </c>
      <c r="E156" s="1">
        <v>15.0</v>
      </c>
      <c r="F156" s="1">
        <v>1.0</v>
      </c>
      <c r="G156" s="1">
        <v>7.0</v>
      </c>
      <c r="H156" s="1" t="s">
        <v>18</v>
      </c>
      <c r="I156" s="2">
        <v>46041.0</v>
      </c>
      <c r="J156" s="1">
        <v>8500000.0</v>
      </c>
      <c r="K156" s="2">
        <v>46023.0</v>
      </c>
      <c r="L156" s="3" t="str">
        <f t="shared" si="1"/>
        <v>OK</v>
      </c>
    </row>
    <row r="157">
      <c r="A157" s="1" t="s">
        <v>60</v>
      </c>
      <c r="B157" s="1" t="s">
        <v>61</v>
      </c>
      <c r="C157" s="1" t="s">
        <v>17</v>
      </c>
      <c r="D157" s="1">
        <v>33.0</v>
      </c>
      <c r="E157" s="1">
        <v>20.0</v>
      </c>
      <c r="F157" s="1">
        <v>1.0</v>
      </c>
      <c r="G157" s="1">
        <v>12.0</v>
      </c>
      <c r="H157" s="1" t="s">
        <v>27</v>
      </c>
      <c r="I157" s="2">
        <v>45817.0</v>
      </c>
      <c r="J157" s="1">
        <v>3200000.0</v>
      </c>
      <c r="K157" s="2">
        <v>45809.0</v>
      </c>
      <c r="L157" s="3" t="str">
        <f t="shared" si="1"/>
        <v>OK</v>
      </c>
    </row>
    <row r="158">
      <c r="A158" s="1" t="s">
        <v>25</v>
      </c>
      <c r="B158" s="1" t="s">
        <v>26</v>
      </c>
      <c r="C158" s="1" t="s">
        <v>17</v>
      </c>
      <c r="D158" s="1">
        <v>15.0</v>
      </c>
      <c r="E158" s="1">
        <v>25.0</v>
      </c>
      <c r="F158" s="1">
        <v>4.0</v>
      </c>
      <c r="G158" s="1">
        <v>15.0</v>
      </c>
      <c r="H158" s="1" t="s">
        <v>27</v>
      </c>
      <c r="I158" s="2">
        <v>46070.0</v>
      </c>
      <c r="J158" s="1">
        <v>4500000.0</v>
      </c>
      <c r="K158" s="2">
        <v>46054.0</v>
      </c>
      <c r="L158" s="3" t="str">
        <f t="shared" si="1"/>
        <v>STOCKOUT</v>
      </c>
    </row>
    <row r="159">
      <c r="A159" s="1" t="s">
        <v>44</v>
      </c>
      <c r="B159" s="1" t="s">
        <v>45</v>
      </c>
      <c r="C159" s="1" t="s">
        <v>42</v>
      </c>
      <c r="D159" s="1">
        <v>39.0</v>
      </c>
      <c r="E159" s="1">
        <v>30.0</v>
      </c>
      <c r="F159" s="1">
        <v>6.0</v>
      </c>
      <c r="G159" s="1">
        <v>10.0</v>
      </c>
      <c r="H159" s="1" t="s">
        <v>43</v>
      </c>
      <c r="I159" s="2">
        <v>45838.0</v>
      </c>
      <c r="J159" s="1">
        <v>350000.0</v>
      </c>
      <c r="K159" s="2">
        <v>45809.0</v>
      </c>
      <c r="L159" s="3" t="str">
        <f t="shared" si="1"/>
        <v>OK</v>
      </c>
    </row>
    <row r="160">
      <c r="A160" s="1" t="s">
        <v>57</v>
      </c>
      <c r="B160" s="1" t="s">
        <v>58</v>
      </c>
      <c r="C160" s="1" t="s">
        <v>42</v>
      </c>
      <c r="D160" s="1">
        <v>43.0</v>
      </c>
      <c r="E160" s="1">
        <v>25.0</v>
      </c>
      <c r="F160" s="1">
        <v>4.0</v>
      </c>
      <c r="G160" s="1">
        <v>7.0</v>
      </c>
      <c r="H160" s="1" t="s">
        <v>59</v>
      </c>
      <c r="I160" s="2">
        <v>45896.0</v>
      </c>
      <c r="J160" s="1">
        <v>450000.0</v>
      </c>
      <c r="K160" s="2">
        <v>45870.0</v>
      </c>
      <c r="L160" s="3" t="str">
        <f t="shared" si="1"/>
        <v>OK</v>
      </c>
    </row>
    <row r="161">
      <c r="A161" s="1" t="s">
        <v>62</v>
      </c>
      <c r="B161" s="1" t="s">
        <v>63</v>
      </c>
      <c r="C161" s="1" t="s">
        <v>13</v>
      </c>
      <c r="D161" s="1">
        <v>472.0</v>
      </c>
      <c r="E161" s="1">
        <v>80.0</v>
      </c>
      <c r="F161" s="1">
        <v>3.0</v>
      </c>
      <c r="G161" s="1">
        <v>4.0</v>
      </c>
      <c r="H161" s="1" t="s">
        <v>33</v>
      </c>
      <c r="I161" s="2">
        <v>45900.0</v>
      </c>
      <c r="J161" s="1">
        <v>85000.0</v>
      </c>
      <c r="K161" s="2">
        <v>45870.0</v>
      </c>
      <c r="L161" s="3" t="str">
        <f t="shared" si="1"/>
        <v>OK</v>
      </c>
    </row>
    <row r="162">
      <c r="A162" s="1" t="s">
        <v>64</v>
      </c>
      <c r="B162" s="1" t="s">
        <v>65</v>
      </c>
      <c r="C162" s="1" t="s">
        <v>42</v>
      </c>
      <c r="D162" s="1">
        <v>14.0</v>
      </c>
      <c r="E162" s="1">
        <v>20.0</v>
      </c>
      <c r="F162" s="1">
        <v>2.0</v>
      </c>
      <c r="G162" s="1">
        <v>8.0</v>
      </c>
      <c r="H162" s="1" t="s">
        <v>59</v>
      </c>
      <c r="I162" s="2">
        <v>45999.0</v>
      </c>
      <c r="J162" s="1">
        <v>750000.0</v>
      </c>
      <c r="K162" s="2">
        <v>45992.0</v>
      </c>
      <c r="L162" s="3" t="str">
        <f t="shared" si="1"/>
        <v>STOCKOUT</v>
      </c>
    </row>
    <row r="163">
      <c r="A163" s="1" t="s">
        <v>44</v>
      </c>
      <c r="B163" s="1" t="s">
        <v>45</v>
      </c>
      <c r="C163" s="1" t="s">
        <v>42</v>
      </c>
      <c r="D163" s="1">
        <v>57.0</v>
      </c>
      <c r="E163" s="1">
        <v>30.0</v>
      </c>
      <c r="F163" s="1">
        <v>5.0</v>
      </c>
      <c r="G163" s="1">
        <v>4.0</v>
      </c>
      <c r="H163" s="1" t="s">
        <v>43</v>
      </c>
      <c r="I163" s="2">
        <v>46098.0</v>
      </c>
      <c r="J163" s="1">
        <v>350000.0</v>
      </c>
      <c r="K163" s="2">
        <v>46082.0</v>
      </c>
      <c r="L163" s="3" t="str">
        <f t="shared" si="1"/>
        <v>OK</v>
      </c>
    </row>
    <row r="164">
      <c r="A164" s="1" t="s">
        <v>19</v>
      </c>
      <c r="B164" s="1" t="s">
        <v>20</v>
      </c>
      <c r="C164" s="1" t="s">
        <v>17</v>
      </c>
      <c r="D164" s="1">
        <v>1.0</v>
      </c>
      <c r="E164" s="1">
        <v>30.0</v>
      </c>
      <c r="F164" s="1">
        <v>4.0</v>
      </c>
      <c r="G164" s="1">
        <v>5.0</v>
      </c>
      <c r="H164" s="1" t="s">
        <v>18</v>
      </c>
      <c r="I164" s="2">
        <v>45868.0</v>
      </c>
      <c r="J164" s="1">
        <v>1200000.0</v>
      </c>
      <c r="K164" s="2">
        <v>45839.0</v>
      </c>
      <c r="L164" s="3" t="str">
        <f t="shared" si="1"/>
        <v>STOCKOUT</v>
      </c>
    </row>
    <row r="165">
      <c r="A165" s="1" t="s">
        <v>28</v>
      </c>
      <c r="B165" s="1" t="s">
        <v>29</v>
      </c>
      <c r="C165" s="1" t="s">
        <v>23</v>
      </c>
      <c r="D165" s="1">
        <v>27.0</v>
      </c>
      <c r="E165" s="1">
        <v>35.0</v>
      </c>
      <c r="F165" s="1">
        <v>4.0</v>
      </c>
      <c r="G165" s="1">
        <v>5.0</v>
      </c>
      <c r="H165" s="1" t="s">
        <v>30</v>
      </c>
      <c r="I165" s="2">
        <v>45817.0</v>
      </c>
      <c r="J165" s="1">
        <v>1250000.0</v>
      </c>
      <c r="K165" s="2">
        <v>45809.0</v>
      </c>
      <c r="L165" s="3" t="str">
        <f t="shared" si="1"/>
        <v>STOCKOUT</v>
      </c>
    </row>
    <row r="166">
      <c r="A166" s="1" t="s">
        <v>44</v>
      </c>
      <c r="B166" s="1" t="s">
        <v>45</v>
      </c>
      <c r="C166" s="1" t="s">
        <v>42</v>
      </c>
      <c r="D166" s="1">
        <v>60.0</v>
      </c>
      <c r="E166" s="1">
        <v>30.0</v>
      </c>
      <c r="F166" s="1">
        <v>4.0</v>
      </c>
      <c r="G166" s="1">
        <v>9.0</v>
      </c>
      <c r="H166" s="1" t="s">
        <v>43</v>
      </c>
      <c r="I166" s="2">
        <v>46062.0</v>
      </c>
      <c r="J166" s="1">
        <v>350000.0</v>
      </c>
      <c r="K166" s="2">
        <v>46054.0</v>
      </c>
      <c r="L166" s="3" t="str">
        <f t="shared" si="1"/>
        <v>OK</v>
      </c>
    </row>
    <row r="167">
      <c r="A167" s="1" t="s">
        <v>11</v>
      </c>
      <c r="B167" s="1" t="s">
        <v>12</v>
      </c>
      <c r="C167" s="1" t="s">
        <v>13</v>
      </c>
      <c r="D167" s="1">
        <v>216.0</v>
      </c>
      <c r="E167" s="1">
        <v>50.0</v>
      </c>
      <c r="F167" s="1">
        <v>1.0</v>
      </c>
      <c r="G167" s="1">
        <v>8.0</v>
      </c>
      <c r="H167" s="1" t="s">
        <v>14</v>
      </c>
      <c r="I167" s="2">
        <v>45905.0</v>
      </c>
      <c r="J167" s="1">
        <v>125000.0</v>
      </c>
      <c r="K167" s="2">
        <v>45901.0</v>
      </c>
      <c r="L167" s="3" t="str">
        <f t="shared" si="1"/>
        <v>OK</v>
      </c>
    </row>
    <row r="168">
      <c r="A168" s="1" t="s">
        <v>38</v>
      </c>
      <c r="B168" s="1" t="s">
        <v>39</v>
      </c>
      <c r="C168" s="1" t="s">
        <v>23</v>
      </c>
      <c r="D168" s="1">
        <v>0.0</v>
      </c>
      <c r="E168" s="1">
        <v>45.0</v>
      </c>
      <c r="F168" s="1">
        <v>14.0</v>
      </c>
      <c r="G168" s="1">
        <v>6.0</v>
      </c>
      <c r="H168" s="1" t="s">
        <v>24</v>
      </c>
      <c r="I168" s="2">
        <v>46107.0</v>
      </c>
      <c r="J168" s="1">
        <v>450000.0</v>
      </c>
      <c r="K168" s="2">
        <v>46082.0</v>
      </c>
      <c r="L168" s="3" t="str">
        <f t="shared" si="1"/>
        <v>STOCKOUT</v>
      </c>
    </row>
    <row r="169">
      <c r="A169" s="1" t="s">
        <v>11</v>
      </c>
      <c r="B169" s="1" t="s">
        <v>12</v>
      </c>
      <c r="C169" s="1" t="s">
        <v>13</v>
      </c>
      <c r="D169" s="1">
        <v>157.0</v>
      </c>
      <c r="E169" s="1">
        <v>50.0</v>
      </c>
      <c r="F169" s="1">
        <v>1.0</v>
      </c>
      <c r="G169" s="1">
        <v>4.0</v>
      </c>
      <c r="H169" s="1" t="s">
        <v>14</v>
      </c>
      <c r="I169" s="2">
        <v>45823.0</v>
      </c>
      <c r="J169" s="1">
        <v>125000.0</v>
      </c>
      <c r="K169" s="2">
        <v>45809.0</v>
      </c>
      <c r="L169" s="3" t="str">
        <f t="shared" si="1"/>
        <v>OK</v>
      </c>
    </row>
    <row r="170">
      <c r="A170" s="1" t="s">
        <v>57</v>
      </c>
      <c r="B170" s="1" t="s">
        <v>58</v>
      </c>
      <c r="C170" s="1" t="s">
        <v>42</v>
      </c>
      <c r="D170" s="1">
        <v>42.0</v>
      </c>
      <c r="E170" s="1">
        <v>25.0</v>
      </c>
      <c r="F170" s="1">
        <v>5.0</v>
      </c>
      <c r="G170" s="1">
        <v>10.0</v>
      </c>
      <c r="H170" s="1" t="s">
        <v>59</v>
      </c>
      <c r="I170" s="2">
        <v>45711.0</v>
      </c>
      <c r="J170" s="1">
        <v>450000.0</v>
      </c>
      <c r="K170" s="2">
        <v>45689.0</v>
      </c>
      <c r="L170" s="3" t="str">
        <f t="shared" si="1"/>
        <v>OK</v>
      </c>
    </row>
    <row r="171">
      <c r="A171" s="1" t="s">
        <v>57</v>
      </c>
      <c r="B171" s="1" t="s">
        <v>58</v>
      </c>
      <c r="C171" s="1" t="s">
        <v>42</v>
      </c>
      <c r="D171" s="1">
        <v>21.0</v>
      </c>
      <c r="E171" s="1">
        <v>25.0</v>
      </c>
      <c r="F171" s="1">
        <v>3.0</v>
      </c>
      <c r="G171" s="1">
        <v>9.0</v>
      </c>
      <c r="H171" s="1" t="s">
        <v>59</v>
      </c>
      <c r="I171" s="2">
        <v>45854.0</v>
      </c>
      <c r="J171" s="1">
        <v>450000.0</v>
      </c>
      <c r="K171" s="2">
        <v>45839.0</v>
      </c>
      <c r="L171" s="3" t="str">
        <f t="shared" si="1"/>
        <v>STOCKOUT</v>
      </c>
    </row>
    <row r="172">
      <c r="A172" s="1" t="s">
        <v>15</v>
      </c>
      <c r="B172" s="1" t="s">
        <v>16</v>
      </c>
      <c r="C172" s="1" t="s">
        <v>17</v>
      </c>
      <c r="D172" s="1">
        <v>17.0</v>
      </c>
      <c r="E172" s="1">
        <v>15.0</v>
      </c>
      <c r="F172" s="1">
        <v>1.0</v>
      </c>
      <c r="G172" s="1">
        <v>6.0</v>
      </c>
      <c r="H172" s="1" t="s">
        <v>18</v>
      </c>
      <c r="I172" s="2">
        <v>45665.0</v>
      </c>
      <c r="J172" s="1">
        <v>8500000.0</v>
      </c>
      <c r="K172" s="2">
        <v>45658.0</v>
      </c>
      <c r="L172" s="3" t="str">
        <f t="shared" si="1"/>
        <v>OK</v>
      </c>
    </row>
    <row r="173">
      <c r="A173" s="1" t="s">
        <v>51</v>
      </c>
      <c r="B173" s="1" t="s">
        <v>52</v>
      </c>
      <c r="C173" s="1" t="s">
        <v>36</v>
      </c>
      <c r="D173" s="1">
        <v>34.0</v>
      </c>
      <c r="E173" s="1">
        <v>60.0</v>
      </c>
      <c r="F173" s="1">
        <v>7.0</v>
      </c>
      <c r="G173" s="1">
        <v>6.0</v>
      </c>
      <c r="H173" s="1" t="s">
        <v>50</v>
      </c>
      <c r="I173" s="2">
        <v>45934.0</v>
      </c>
      <c r="J173" s="1">
        <v>175000.0</v>
      </c>
      <c r="K173" s="2">
        <v>45931.0</v>
      </c>
      <c r="L173" s="3" t="str">
        <f t="shared" si="1"/>
        <v>STOCKOUT</v>
      </c>
    </row>
    <row r="174">
      <c r="A174" s="1" t="s">
        <v>51</v>
      </c>
      <c r="B174" s="1" t="s">
        <v>52</v>
      </c>
      <c r="C174" s="1" t="s">
        <v>36</v>
      </c>
      <c r="D174" s="1">
        <v>21.0</v>
      </c>
      <c r="E174" s="1">
        <v>60.0</v>
      </c>
      <c r="F174" s="1">
        <v>9.0</v>
      </c>
      <c r="G174" s="1">
        <v>4.0</v>
      </c>
      <c r="H174" s="1" t="s">
        <v>50</v>
      </c>
      <c r="I174" s="2">
        <v>46067.0</v>
      </c>
      <c r="J174" s="1">
        <v>175000.0</v>
      </c>
      <c r="K174" s="2">
        <v>46054.0</v>
      </c>
      <c r="L174" s="3" t="str">
        <f t="shared" si="1"/>
        <v>STOCKOUT</v>
      </c>
    </row>
    <row r="175">
      <c r="A175" s="1" t="s">
        <v>28</v>
      </c>
      <c r="B175" s="1" t="s">
        <v>29</v>
      </c>
      <c r="C175" s="1" t="s">
        <v>23</v>
      </c>
      <c r="D175" s="1">
        <v>0.0</v>
      </c>
      <c r="E175" s="1">
        <v>35.0</v>
      </c>
      <c r="F175" s="1">
        <v>9.0</v>
      </c>
      <c r="G175" s="1">
        <v>6.0</v>
      </c>
      <c r="H175" s="1" t="s">
        <v>30</v>
      </c>
      <c r="I175" s="2">
        <v>45973.0</v>
      </c>
      <c r="J175" s="1">
        <v>1250000.0</v>
      </c>
      <c r="K175" s="2">
        <v>45962.0</v>
      </c>
      <c r="L175" s="3" t="str">
        <f t="shared" si="1"/>
        <v>STOCKOUT</v>
      </c>
    </row>
    <row r="176">
      <c r="A176" s="1" t="s">
        <v>31</v>
      </c>
      <c r="B176" s="1" t="s">
        <v>32</v>
      </c>
      <c r="C176" s="1" t="s">
        <v>13</v>
      </c>
      <c r="D176" s="1">
        <v>150.0</v>
      </c>
      <c r="E176" s="1">
        <v>40.0</v>
      </c>
      <c r="F176" s="1">
        <v>4.0</v>
      </c>
      <c r="G176" s="1">
        <v>4.0</v>
      </c>
      <c r="H176" s="1" t="s">
        <v>33</v>
      </c>
      <c r="I176" s="2">
        <v>46040.0</v>
      </c>
      <c r="J176" s="1">
        <v>550000.0</v>
      </c>
      <c r="K176" s="2">
        <v>46023.0</v>
      </c>
      <c r="L176" s="3" t="str">
        <f t="shared" si="1"/>
        <v>OK</v>
      </c>
    </row>
    <row r="177">
      <c r="A177" s="1" t="s">
        <v>34</v>
      </c>
      <c r="B177" s="1" t="s">
        <v>35</v>
      </c>
      <c r="C177" s="1" t="s">
        <v>36</v>
      </c>
      <c r="D177" s="1">
        <v>18.0</v>
      </c>
      <c r="E177" s="1">
        <v>80.0</v>
      </c>
      <c r="F177" s="1">
        <v>10.0</v>
      </c>
      <c r="G177" s="1">
        <v>4.0</v>
      </c>
      <c r="H177" s="1" t="s">
        <v>37</v>
      </c>
      <c r="I177" s="2">
        <v>46024.0</v>
      </c>
      <c r="J177" s="1">
        <v>65000.0</v>
      </c>
      <c r="K177" s="2">
        <v>46023.0</v>
      </c>
      <c r="L177" s="3" t="str">
        <f t="shared" si="1"/>
        <v>STOCKOUT</v>
      </c>
    </row>
    <row r="178">
      <c r="A178" s="1" t="s">
        <v>28</v>
      </c>
      <c r="B178" s="1" t="s">
        <v>29</v>
      </c>
      <c r="C178" s="1" t="s">
        <v>23</v>
      </c>
      <c r="D178" s="1">
        <v>27.0</v>
      </c>
      <c r="E178" s="1">
        <v>35.0</v>
      </c>
      <c r="F178" s="1">
        <v>8.0</v>
      </c>
      <c r="G178" s="1">
        <v>6.0</v>
      </c>
      <c r="H178" s="1" t="s">
        <v>30</v>
      </c>
      <c r="I178" s="2">
        <v>46054.0</v>
      </c>
      <c r="J178" s="1">
        <v>1250000.0</v>
      </c>
      <c r="K178" s="2">
        <v>46054.0</v>
      </c>
      <c r="L178" s="3" t="str">
        <f t="shared" si="1"/>
        <v>STOCKOUT</v>
      </c>
    </row>
    <row r="179">
      <c r="A179" s="1" t="s">
        <v>44</v>
      </c>
      <c r="B179" s="1" t="s">
        <v>45</v>
      </c>
      <c r="C179" s="1" t="s">
        <v>42</v>
      </c>
      <c r="D179" s="1">
        <v>39.0</v>
      </c>
      <c r="E179" s="1">
        <v>30.0</v>
      </c>
      <c r="F179" s="1">
        <v>6.0</v>
      </c>
      <c r="G179" s="1">
        <v>10.0</v>
      </c>
      <c r="H179" s="1" t="s">
        <v>43</v>
      </c>
      <c r="I179" s="2">
        <v>45854.0</v>
      </c>
      <c r="J179" s="1">
        <v>350000.0</v>
      </c>
      <c r="K179" s="2">
        <v>45839.0</v>
      </c>
      <c r="L179" s="3" t="str">
        <f t="shared" si="1"/>
        <v>OK</v>
      </c>
    </row>
    <row r="180">
      <c r="A180" s="1" t="s">
        <v>28</v>
      </c>
      <c r="B180" s="1" t="s">
        <v>29</v>
      </c>
      <c r="C180" s="1" t="s">
        <v>23</v>
      </c>
      <c r="D180" s="1">
        <v>10.0</v>
      </c>
      <c r="E180" s="1">
        <v>35.0</v>
      </c>
      <c r="F180" s="1">
        <v>7.0</v>
      </c>
      <c r="G180" s="1">
        <v>3.0</v>
      </c>
      <c r="H180" s="1" t="s">
        <v>30</v>
      </c>
      <c r="I180" s="2">
        <v>45929.0</v>
      </c>
      <c r="J180" s="1">
        <v>1250000.0</v>
      </c>
      <c r="K180" s="2">
        <v>45901.0</v>
      </c>
      <c r="L180" s="3" t="str">
        <f t="shared" si="1"/>
        <v>STOCKOUT</v>
      </c>
    </row>
    <row r="181">
      <c r="A181" s="1" t="s">
        <v>60</v>
      </c>
      <c r="B181" s="1" t="s">
        <v>61</v>
      </c>
      <c r="C181" s="1" t="s">
        <v>17</v>
      </c>
      <c r="D181" s="1">
        <v>7.0</v>
      </c>
      <c r="E181" s="1">
        <v>20.0</v>
      </c>
      <c r="F181" s="1">
        <v>2.0</v>
      </c>
      <c r="G181" s="1">
        <v>13.0</v>
      </c>
      <c r="H181" s="1" t="s">
        <v>27</v>
      </c>
      <c r="I181" s="2">
        <v>45861.0</v>
      </c>
      <c r="J181" s="1">
        <v>3200000.0</v>
      </c>
      <c r="K181" s="2">
        <v>45839.0</v>
      </c>
      <c r="L181" s="3" t="str">
        <f t="shared" si="1"/>
        <v>STOCKOUT</v>
      </c>
    </row>
    <row r="182">
      <c r="A182" s="1" t="s">
        <v>21</v>
      </c>
      <c r="B182" s="1" t="s">
        <v>22</v>
      </c>
      <c r="C182" s="1" t="s">
        <v>23</v>
      </c>
      <c r="D182" s="1">
        <v>13.0</v>
      </c>
      <c r="E182" s="1">
        <v>50.0</v>
      </c>
      <c r="F182" s="1">
        <v>8.0</v>
      </c>
      <c r="G182" s="1">
        <v>4.0</v>
      </c>
      <c r="H182" s="1" t="s">
        <v>24</v>
      </c>
      <c r="I182" s="2">
        <v>45691.0</v>
      </c>
      <c r="J182" s="1">
        <v>350000.0</v>
      </c>
      <c r="K182" s="2">
        <v>45689.0</v>
      </c>
      <c r="L182" s="3" t="str">
        <f t="shared" si="1"/>
        <v>STOCKOUT</v>
      </c>
    </row>
    <row r="183">
      <c r="A183" s="1" t="s">
        <v>55</v>
      </c>
      <c r="B183" s="1" t="s">
        <v>56</v>
      </c>
      <c r="C183" s="1" t="s">
        <v>36</v>
      </c>
      <c r="D183" s="1">
        <v>19.0</v>
      </c>
      <c r="E183" s="1">
        <v>100.0</v>
      </c>
      <c r="F183" s="1">
        <v>16.0</v>
      </c>
      <c r="G183" s="1">
        <v>4.0</v>
      </c>
      <c r="H183" s="1" t="s">
        <v>37</v>
      </c>
      <c r="I183" s="2">
        <v>45965.0</v>
      </c>
      <c r="J183" s="1">
        <v>85000.0</v>
      </c>
      <c r="K183" s="2">
        <v>45962.0</v>
      </c>
      <c r="L183" s="3" t="str">
        <f t="shared" si="1"/>
        <v>STOCKOUT</v>
      </c>
    </row>
    <row r="184">
      <c r="A184" s="1" t="s">
        <v>55</v>
      </c>
      <c r="B184" s="1" t="s">
        <v>56</v>
      </c>
      <c r="C184" s="1" t="s">
        <v>36</v>
      </c>
      <c r="D184" s="1">
        <v>36.0</v>
      </c>
      <c r="E184" s="1">
        <v>100.0</v>
      </c>
      <c r="F184" s="1">
        <v>16.0</v>
      </c>
      <c r="G184" s="1">
        <v>5.0</v>
      </c>
      <c r="H184" s="1" t="s">
        <v>37</v>
      </c>
      <c r="I184" s="2">
        <v>45851.0</v>
      </c>
      <c r="J184" s="1">
        <v>85000.0</v>
      </c>
      <c r="K184" s="2">
        <v>45839.0</v>
      </c>
      <c r="L184" s="3" t="str">
        <f t="shared" si="1"/>
        <v>STOCKOUT</v>
      </c>
    </row>
    <row r="185">
      <c r="A185" s="1" t="s">
        <v>34</v>
      </c>
      <c r="B185" s="1" t="s">
        <v>35</v>
      </c>
      <c r="C185" s="1" t="s">
        <v>36</v>
      </c>
      <c r="D185" s="1">
        <v>33.0</v>
      </c>
      <c r="E185" s="1">
        <v>80.0</v>
      </c>
      <c r="F185" s="1">
        <v>13.0</v>
      </c>
      <c r="G185" s="1">
        <v>4.0</v>
      </c>
      <c r="H185" s="1" t="s">
        <v>37</v>
      </c>
      <c r="I185" s="2">
        <v>45697.0</v>
      </c>
      <c r="J185" s="1">
        <v>65000.0</v>
      </c>
      <c r="K185" s="2">
        <v>45689.0</v>
      </c>
      <c r="L185" s="3" t="str">
        <f t="shared" si="1"/>
        <v>STOCKOUT</v>
      </c>
    </row>
    <row r="186">
      <c r="A186" s="1" t="s">
        <v>15</v>
      </c>
      <c r="B186" s="1" t="s">
        <v>16</v>
      </c>
      <c r="C186" s="1" t="s">
        <v>17</v>
      </c>
      <c r="D186" s="1">
        <v>0.0</v>
      </c>
      <c r="E186" s="1">
        <v>15.0</v>
      </c>
      <c r="F186" s="1">
        <v>2.0</v>
      </c>
      <c r="G186" s="1">
        <v>8.0</v>
      </c>
      <c r="H186" s="1" t="s">
        <v>18</v>
      </c>
      <c r="I186" s="2">
        <v>45994.0</v>
      </c>
      <c r="J186" s="1">
        <v>8500000.0</v>
      </c>
      <c r="K186" s="2">
        <v>45992.0</v>
      </c>
      <c r="L186" s="3" t="str">
        <f t="shared" si="1"/>
        <v>STOCKOUT</v>
      </c>
    </row>
    <row r="187">
      <c r="A187" s="1" t="s">
        <v>62</v>
      </c>
      <c r="B187" s="1" t="s">
        <v>63</v>
      </c>
      <c r="C187" s="1" t="s">
        <v>13</v>
      </c>
      <c r="D187" s="1">
        <v>427.0</v>
      </c>
      <c r="E187" s="1">
        <v>80.0</v>
      </c>
      <c r="F187" s="1">
        <v>2.0</v>
      </c>
      <c r="G187" s="1">
        <v>5.0</v>
      </c>
      <c r="H187" s="1" t="s">
        <v>33</v>
      </c>
      <c r="I187" s="2">
        <v>45838.0</v>
      </c>
      <c r="J187" s="1">
        <v>85000.0</v>
      </c>
      <c r="K187" s="2">
        <v>45809.0</v>
      </c>
      <c r="L187" s="3" t="str">
        <f t="shared" si="1"/>
        <v>OK</v>
      </c>
    </row>
    <row r="188">
      <c r="A188" s="1" t="s">
        <v>51</v>
      </c>
      <c r="B188" s="1" t="s">
        <v>52</v>
      </c>
      <c r="C188" s="1" t="s">
        <v>36</v>
      </c>
      <c r="D188" s="1">
        <v>14.0</v>
      </c>
      <c r="E188" s="1">
        <v>60.0</v>
      </c>
      <c r="F188" s="1">
        <v>8.0</v>
      </c>
      <c r="G188" s="1">
        <v>6.0</v>
      </c>
      <c r="H188" s="1" t="s">
        <v>50</v>
      </c>
      <c r="I188" s="2">
        <v>45930.0</v>
      </c>
      <c r="J188" s="1">
        <v>175000.0</v>
      </c>
      <c r="K188" s="2">
        <v>45901.0</v>
      </c>
      <c r="L188" s="3" t="str">
        <f t="shared" si="1"/>
        <v>STOCKOUT</v>
      </c>
    </row>
    <row r="189">
      <c r="A189" s="1" t="s">
        <v>25</v>
      </c>
      <c r="B189" s="1" t="s">
        <v>26</v>
      </c>
      <c r="C189" s="1" t="s">
        <v>17</v>
      </c>
      <c r="D189" s="1">
        <v>32.0</v>
      </c>
      <c r="E189" s="1">
        <v>25.0</v>
      </c>
      <c r="F189" s="1">
        <v>6.0</v>
      </c>
      <c r="G189" s="1">
        <v>17.0</v>
      </c>
      <c r="H189" s="1" t="s">
        <v>27</v>
      </c>
      <c r="I189" s="2">
        <v>46026.0</v>
      </c>
      <c r="J189" s="1">
        <v>4500000.0</v>
      </c>
      <c r="K189" s="2">
        <v>46023.0</v>
      </c>
      <c r="L189" s="3" t="str">
        <f t="shared" si="1"/>
        <v>OK</v>
      </c>
    </row>
    <row r="190">
      <c r="A190" s="1" t="s">
        <v>15</v>
      </c>
      <c r="B190" s="1" t="s">
        <v>16</v>
      </c>
      <c r="C190" s="1" t="s">
        <v>17</v>
      </c>
      <c r="D190" s="1">
        <v>28.0</v>
      </c>
      <c r="E190" s="1">
        <v>15.0</v>
      </c>
      <c r="F190" s="1">
        <v>1.0</v>
      </c>
      <c r="G190" s="1">
        <v>6.0</v>
      </c>
      <c r="H190" s="1" t="s">
        <v>18</v>
      </c>
      <c r="I190" s="2">
        <v>45800.0</v>
      </c>
      <c r="J190" s="1">
        <v>8500000.0</v>
      </c>
      <c r="K190" s="2">
        <v>45778.0</v>
      </c>
      <c r="L190" s="3" t="str">
        <f t="shared" si="1"/>
        <v>OK</v>
      </c>
    </row>
    <row r="191">
      <c r="A191" s="1" t="s">
        <v>64</v>
      </c>
      <c r="B191" s="1" t="s">
        <v>65</v>
      </c>
      <c r="C191" s="1" t="s">
        <v>42</v>
      </c>
      <c r="D191" s="1">
        <v>21.0</v>
      </c>
      <c r="E191" s="1">
        <v>20.0</v>
      </c>
      <c r="F191" s="1">
        <v>2.0</v>
      </c>
      <c r="G191" s="1">
        <v>9.0</v>
      </c>
      <c r="H191" s="1" t="s">
        <v>59</v>
      </c>
      <c r="I191" s="2">
        <v>45724.0</v>
      </c>
      <c r="J191" s="1">
        <v>750000.0</v>
      </c>
      <c r="K191" s="2">
        <v>45717.0</v>
      </c>
      <c r="L191" s="3" t="str">
        <f t="shared" si="1"/>
        <v>OK</v>
      </c>
    </row>
    <row r="192">
      <c r="A192" s="1" t="s">
        <v>60</v>
      </c>
      <c r="B192" s="1" t="s">
        <v>61</v>
      </c>
      <c r="C192" s="1" t="s">
        <v>17</v>
      </c>
      <c r="D192" s="1">
        <v>12.0</v>
      </c>
      <c r="E192" s="1">
        <v>20.0</v>
      </c>
      <c r="F192" s="1">
        <v>2.0</v>
      </c>
      <c r="G192" s="1">
        <v>16.0</v>
      </c>
      <c r="H192" s="1" t="s">
        <v>27</v>
      </c>
      <c r="I192" s="2">
        <v>45724.0</v>
      </c>
      <c r="J192" s="1">
        <v>3200000.0</v>
      </c>
      <c r="K192" s="2">
        <v>45717.0</v>
      </c>
      <c r="L192" s="3" t="str">
        <f t="shared" si="1"/>
        <v>STOCKOUT</v>
      </c>
    </row>
    <row r="193">
      <c r="A193" s="1" t="s">
        <v>48</v>
      </c>
      <c r="B193" s="1" t="s">
        <v>49</v>
      </c>
      <c r="C193" s="1" t="s">
        <v>36</v>
      </c>
      <c r="D193" s="1">
        <v>72.0</v>
      </c>
      <c r="E193" s="1">
        <v>120.0</v>
      </c>
      <c r="F193" s="1">
        <v>18.0</v>
      </c>
      <c r="G193" s="1">
        <v>7.0</v>
      </c>
      <c r="H193" s="1" t="s">
        <v>50</v>
      </c>
      <c r="I193" s="2">
        <v>45815.0</v>
      </c>
      <c r="J193" s="1">
        <v>55000.0</v>
      </c>
      <c r="K193" s="2">
        <v>45809.0</v>
      </c>
      <c r="L193" s="3" t="str">
        <f t="shared" si="1"/>
        <v>STOCKOUT</v>
      </c>
    </row>
    <row r="194">
      <c r="A194" s="1" t="s">
        <v>40</v>
      </c>
      <c r="B194" s="1" t="s">
        <v>41</v>
      </c>
      <c r="C194" s="1" t="s">
        <v>42</v>
      </c>
      <c r="D194" s="1">
        <v>33.0</v>
      </c>
      <c r="E194" s="1">
        <v>15.0</v>
      </c>
      <c r="F194" s="1">
        <v>2.0</v>
      </c>
      <c r="G194" s="1">
        <v>10.0</v>
      </c>
      <c r="H194" s="1" t="s">
        <v>43</v>
      </c>
      <c r="I194" s="2">
        <v>46032.0</v>
      </c>
      <c r="J194" s="1">
        <v>1200000.0</v>
      </c>
      <c r="K194" s="2">
        <v>46023.0</v>
      </c>
      <c r="L194" s="3" t="str">
        <f t="shared" si="1"/>
        <v>OK</v>
      </c>
    </row>
    <row r="195">
      <c r="A195" s="1" t="s">
        <v>53</v>
      </c>
      <c r="B195" s="1" t="s">
        <v>54</v>
      </c>
      <c r="C195" s="1" t="s">
        <v>13</v>
      </c>
      <c r="D195" s="1">
        <v>246.0</v>
      </c>
      <c r="E195" s="1">
        <v>60.0</v>
      </c>
      <c r="F195" s="1">
        <v>3.0</v>
      </c>
      <c r="G195" s="1">
        <v>7.0</v>
      </c>
      <c r="H195" s="1" t="s">
        <v>14</v>
      </c>
      <c r="I195" s="2">
        <v>46049.0</v>
      </c>
      <c r="J195" s="1">
        <v>165000.0</v>
      </c>
      <c r="K195" s="2">
        <v>46023.0</v>
      </c>
      <c r="L195" s="3" t="str">
        <f t="shared" si="1"/>
        <v>OK</v>
      </c>
    </row>
    <row r="196">
      <c r="A196" s="1" t="s">
        <v>34</v>
      </c>
      <c r="B196" s="1" t="s">
        <v>35</v>
      </c>
      <c r="C196" s="1" t="s">
        <v>36</v>
      </c>
      <c r="D196" s="1">
        <v>64.0</v>
      </c>
      <c r="E196" s="1">
        <v>80.0</v>
      </c>
      <c r="F196" s="1">
        <v>13.0</v>
      </c>
      <c r="G196" s="1">
        <v>5.0</v>
      </c>
      <c r="H196" s="1" t="s">
        <v>37</v>
      </c>
      <c r="I196" s="2">
        <v>45970.0</v>
      </c>
      <c r="J196" s="1">
        <v>65000.0</v>
      </c>
      <c r="K196" s="2">
        <v>45962.0</v>
      </c>
      <c r="L196" s="3" t="str">
        <f t="shared" si="1"/>
        <v>STOCKOUT</v>
      </c>
    </row>
    <row r="197">
      <c r="A197" s="1" t="s">
        <v>57</v>
      </c>
      <c r="B197" s="1" t="s">
        <v>58</v>
      </c>
      <c r="C197" s="1" t="s">
        <v>42</v>
      </c>
      <c r="D197" s="1">
        <v>37.0</v>
      </c>
      <c r="E197" s="1">
        <v>25.0</v>
      </c>
      <c r="F197" s="1">
        <v>1.0</v>
      </c>
      <c r="G197" s="1">
        <v>9.0</v>
      </c>
      <c r="H197" s="1" t="s">
        <v>59</v>
      </c>
      <c r="I197" s="2">
        <v>45775.0</v>
      </c>
      <c r="J197" s="1">
        <v>450000.0</v>
      </c>
      <c r="K197" s="2">
        <v>45748.0</v>
      </c>
      <c r="L197" s="3" t="str">
        <f t="shared" si="1"/>
        <v>OK</v>
      </c>
    </row>
    <row r="198">
      <c r="A198" s="1" t="s">
        <v>21</v>
      </c>
      <c r="B198" s="1" t="s">
        <v>22</v>
      </c>
      <c r="C198" s="1" t="s">
        <v>23</v>
      </c>
      <c r="D198" s="1">
        <v>0.0</v>
      </c>
      <c r="E198" s="1">
        <v>50.0</v>
      </c>
      <c r="F198" s="1">
        <v>13.0</v>
      </c>
      <c r="G198" s="1">
        <v>3.0</v>
      </c>
      <c r="H198" s="1" t="s">
        <v>24</v>
      </c>
      <c r="I198" s="2">
        <v>45747.0</v>
      </c>
      <c r="J198" s="1">
        <v>350000.0</v>
      </c>
      <c r="K198" s="2">
        <v>45717.0</v>
      </c>
      <c r="L198" s="3" t="str">
        <f t="shared" si="1"/>
        <v>STOCKOUT</v>
      </c>
    </row>
    <row r="199">
      <c r="A199" s="1" t="s">
        <v>53</v>
      </c>
      <c r="B199" s="1" t="s">
        <v>54</v>
      </c>
      <c r="C199" s="1" t="s">
        <v>13</v>
      </c>
      <c r="D199" s="1">
        <v>230.0</v>
      </c>
      <c r="E199" s="1">
        <v>60.0</v>
      </c>
      <c r="F199" s="1">
        <v>2.0</v>
      </c>
      <c r="G199" s="1">
        <v>8.0</v>
      </c>
      <c r="H199" s="1" t="s">
        <v>14</v>
      </c>
      <c r="I199" s="2">
        <v>45817.0</v>
      </c>
      <c r="J199" s="1">
        <v>165000.0</v>
      </c>
      <c r="K199" s="2">
        <v>45809.0</v>
      </c>
      <c r="L199" s="3" t="str">
        <f t="shared" si="1"/>
        <v>OK</v>
      </c>
    </row>
    <row r="200">
      <c r="A200" s="1" t="s">
        <v>57</v>
      </c>
      <c r="B200" s="1" t="s">
        <v>58</v>
      </c>
      <c r="C200" s="1" t="s">
        <v>42</v>
      </c>
      <c r="D200" s="1">
        <v>52.0</v>
      </c>
      <c r="E200" s="1">
        <v>25.0</v>
      </c>
      <c r="F200" s="1">
        <v>4.0</v>
      </c>
      <c r="G200" s="1">
        <v>9.0</v>
      </c>
      <c r="H200" s="1" t="s">
        <v>59</v>
      </c>
      <c r="I200" s="2">
        <v>45671.0</v>
      </c>
      <c r="J200" s="1">
        <v>450000.0</v>
      </c>
      <c r="K200" s="2">
        <v>45658.0</v>
      </c>
      <c r="L200" s="3" t="str">
        <f t="shared" si="1"/>
        <v>OK</v>
      </c>
    </row>
    <row r="201">
      <c r="A201" s="1" t="s">
        <v>64</v>
      </c>
      <c r="B201" s="1" t="s">
        <v>65</v>
      </c>
      <c r="C201" s="1" t="s">
        <v>42</v>
      </c>
      <c r="D201" s="1">
        <v>47.0</v>
      </c>
      <c r="E201" s="1">
        <v>20.0</v>
      </c>
      <c r="F201" s="1">
        <v>4.0</v>
      </c>
      <c r="G201" s="1">
        <v>9.0</v>
      </c>
      <c r="H201" s="1" t="s">
        <v>59</v>
      </c>
      <c r="I201" s="2">
        <v>45909.0</v>
      </c>
      <c r="J201" s="1">
        <v>750000.0</v>
      </c>
      <c r="K201" s="2">
        <v>45901.0</v>
      </c>
      <c r="L201" s="3" t="str">
        <f t="shared" si="1"/>
        <v>OK</v>
      </c>
    </row>
    <row r="202">
      <c r="A202" s="1" t="s">
        <v>15</v>
      </c>
      <c r="B202" s="1" t="s">
        <v>16</v>
      </c>
      <c r="C202" s="1" t="s">
        <v>17</v>
      </c>
      <c r="D202" s="1">
        <v>19.0</v>
      </c>
      <c r="E202" s="1">
        <v>15.0</v>
      </c>
      <c r="F202" s="1">
        <v>3.0</v>
      </c>
      <c r="G202" s="1">
        <v>5.0</v>
      </c>
      <c r="H202" s="1" t="s">
        <v>18</v>
      </c>
      <c r="I202" s="2">
        <v>45903.0</v>
      </c>
      <c r="J202" s="1">
        <v>8500000.0</v>
      </c>
      <c r="K202" s="2">
        <v>45901.0</v>
      </c>
      <c r="L202" s="3" t="str">
        <f t="shared" si="1"/>
        <v>OK</v>
      </c>
    </row>
    <row r="203">
      <c r="A203" s="1" t="s">
        <v>21</v>
      </c>
      <c r="B203" s="1" t="s">
        <v>22</v>
      </c>
      <c r="C203" s="1" t="s">
        <v>23</v>
      </c>
      <c r="D203" s="1">
        <v>0.0</v>
      </c>
      <c r="E203" s="1">
        <v>50.0</v>
      </c>
      <c r="F203" s="1">
        <v>12.0</v>
      </c>
      <c r="G203" s="1">
        <v>5.0</v>
      </c>
      <c r="H203" s="1" t="s">
        <v>24</v>
      </c>
      <c r="I203" s="2">
        <v>45971.0</v>
      </c>
      <c r="J203" s="1">
        <v>350000.0</v>
      </c>
      <c r="K203" s="2">
        <v>45962.0</v>
      </c>
      <c r="L203" s="3" t="str">
        <f t="shared" si="1"/>
        <v>STOCKOUT</v>
      </c>
    </row>
    <row r="204">
      <c r="A204" s="1" t="s">
        <v>51</v>
      </c>
      <c r="B204" s="1" t="s">
        <v>52</v>
      </c>
      <c r="C204" s="1" t="s">
        <v>36</v>
      </c>
      <c r="D204" s="1">
        <v>37.0</v>
      </c>
      <c r="E204" s="1">
        <v>60.0</v>
      </c>
      <c r="F204" s="1">
        <v>8.0</v>
      </c>
      <c r="G204" s="1">
        <v>5.0</v>
      </c>
      <c r="H204" s="1" t="s">
        <v>50</v>
      </c>
      <c r="I204" s="2">
        <v>45795.0</v>
      </c>
      <c r="J204" s="1">
        <v>175000.0</v>
      </c>
      <c r="K204" s="2">
        <v>45778.0</v>
      </c>
      <c r="L204" s="3" t="str">
        <f t="shared" si="1"/>
        <v>STOCKOUT</v>
      </c>
    </row>
    <row r="205">
      <c r="A205" s="1" t="s">
        <v>60</v>
      </c>
      <c r="B205" s="1" t="s">
        <v>61</v>
      </c>
      <c r="C205" s="1" t="s">
        <v>17</v>
      </c>
      <c r="D205" s="1">
        <v>22.0</v>
      </c>
      <c r="E205" s="1">
        <v>20.0</v>
      </c>
      <c r="F205" s="1">
        <v>4.0</v>
      </c>
      <c r="G205" s="1">
        <v>8.0</v>
      </c>
      <c r="H205" s="1" t="s">
        <v>27</v>
      </c>
      <c r="I205" s="2">
        <v>46103.0</v>
      </c>
      <c r="J205" s="1">
        <v>3200000.0</v>
      </c>
      <c r="K205" s="2">
        <v>46082.0</v>
      </c>
      <c r="L205" s="3" t="str">
        <f t="shared" si="1"/>
        <v>OK</v>
      </c>
    </row>
    <row r="206">
      <c r="A206" s="1" t="s">
        <v>55</v>
      </c>
      <c r="B206" s="1" t="s">
        <v>56</v>
      </c>
      <c r="C206" s="1" t="s">
        <v>36</v>
      </c>
      <c r="D206" s="1">
        <v>58.0</v>
      </c>
      <c r="E206" s="1">
        <v>100.0</v>
      </c>
      <c r="F206" s="1">
        <v>14.0</v>
      </c>
      <c r="G206" s="1">
        <v>3.0</v>
      </c>
      <c r="H206" s="1" t="s">
        <v>37</v>
      </c>
      <c r="I206" s="2">
        <v>45951.0</v>
      </c>
      <c r="J206" s="1">
        <v>85000.0</v>
      </c>
      <c r="K206" s="2">
        <v>45931.0</v>
      </c>
      <c r="L206" s="3" t="str">
        <f t="shared" si="1"/>
        <v>STOCKOUT</v>
      </c>
    </row>
    <row r="207">
      <c r="A207" s="1" t="s">
        <v>40</v>
      </c>
      <c r="B207" s="1" t="s">
        <v>41</v>
      </c>
      <c r="C207" s="1" t="s">
        <v>42</v>
      </c>
      <c r="D207" s="1">
        <v>14.0</v>
      </c>
      <c r="E207" s="1">
        <v>15.0</v>
      </c>
      <c r="F207" s="1">
        <v>2.0</v>
      </c>
      <c r="G207" s="1">
        <v>5.0</v>
      </c>
      <c r="H207" s="1" t="s">
        <v>43</v>
      </c>
      <c r="I207" s="2">
        <v>45858.0</v>
      </c>
      <c r="J207" s="1">
        <v>1200000.0</v>
      </c>
      <c r="K207" s="2">
        <v>45839.0</v>
      </c>
      <c r="L207" s="3" t="str">
        <f t="shared" si="1"/>
        <v>STOCKOUT</v>
      </c>
    </row>
    <row r="208">
      <c r="A208" s="1" t="s">
        <v>60</v>
      </c>
      <c r="B208" s="1" t="s">
        <v>61</v>
      </c>
      <c r="C208" s="1" t="s">
        <v>17</v>
      </c>
      <c r="D208" s="1">
        <v>0.0</v>
      </c>
      <c r="E208" s="1">
        <v>20.0</v>
      </c>
      <c r="F208" s="1">
        <v>4.0</v>
      </c>
      <c r="G208" s="1">
        <v>17.0</v>
      </c>
      <c r="H208" s="1" t="s">
        <v>27</v>
      </c>
      <c r="I208" s="2">
        <v>45964.0</v>
      </c>
      <c r="J208" s="1">
        <v>3200000.0</v>
      </c>
      <c r="K208" s="2">
        <v>45962.0</v>
      </c>
      <c r="L208" s="3" t="str">
        <f t="shared" si="1"/>
        <v>STOCKOUT</v>
      </c>
    </row>
    <row r="209">
      <c r="A209" s="1" t="s">
        <v>64</v>
      </c>
      <c r="B209" s="1" t="s">
        <v>65</v>
      </c>
      <c r="C209" s="1" t="s">
        <v>42</v>
      </c>
      <c r="D209" s="1">
        <v>26.0</v>
      </c>
      <c r="E209" s="1">
        <v>20.0</v>
      </c>
      <c r="F209" s="1">
        <v>2.0</v>
      </c>
      <c r="G209" s="1">
        <v>10.0</v>
      </c>
      <c r="H209" s="1" t="s">
        <v>59</v>
      </c>
      <c r="I209" s="2">
        <v>45762.0</v>
      </c>
      <c r="J209" s="1">
        <v>750000.0</v>
      </c>
      <c r="K209" s="2">
        <v>45748.0</v>
      </c>
      <c r="L209" s="3" t="str">
        <f t="shared" si="1"/>
        <v>OK</v>
      </c>
    </row>
    <row r="210">
      <c r="A210" s="1" t="s">
        <v>48</v>
      </c>
      <c r="B210" s="1" t="s">
        <v>49</v>
      </c>
      <c r="C210" s="1" t="s">
        <v>36</v>
      </c>
      <c r="D210" s="1">
        <v>12.0</v>
      </c>
      <c r="E210" s="1">
        <v>120.0</v>
      </c>
      <c r="F210" s="1">
        <v>21.0</v>
      </c>
      <c r="G210" s="1">
        <v>5.0</v>
      </c>
      <c r="H210" s="1" t="s">
        <v>50</v>
      </c>
      <c r="I210" s="2">
        <v>45706.0</v>
      </c>
      <c r="J210" s="1">
        <v>55000.0</v>
      </c>
      <c r="K210" s="2">
        <v>45689.0</v>
      </c>
      <c r="L210" s="3" t="str">
        <f t="shared" si="1"/>
        <v>STOCKOUT</v>
      </c>
    </row>
    <row r="211">
      <c r="A211" s="1" t="s">
        <v>53</v>
      </c>
      <c r="B211" s="1" t="s">
        <v>54</v>
      </c>
      <c r="C211" s="1" t="s">
        <v>13</v>
      </c>
      <c r="D211" s="1">
        <v>292.0</v>
      </c>
      <c r="E211" s="1">
        <v>60.0</v>
      </c>
      <c r="F211" s="1">
        <v>3.0</v>
      </c>
      <c r="G211" s="1">
        <v>8.0</v>
      </c>
      <c r="H211" s="1" t="s">
        <v>14</v>
      </c>
      <c r="I211" s="2">
        <v>45869.0</v>
      </c>
      <c r="J211" s="1">
        <v>165000.0</v>
      </c>
      <c r="K211" s="2">
        <v>45839.0</v>
      </c>
      <c r="L211" s="3" t="str">
        <f t="shared" si="1"/>
        <v>OK</v>
      </c>
    </row>
    <row r="212">
      <c r="A212" s="1" t="s">
        <v>40</v>
      </c>
      <c r="B212" s="1" t="s">
        <v>41</v>
      </c>
      <c r="C212" s="1" t="s">
        <v>42</v>
      </c>
      <c r="D212" s="1">
        <v>18.0</v>
      </c>
      <c r="E212" s="1">
        <v>15.0</v>
      </c>
      <c r="F212" s="1">
        <v>3.0</v>
      </c>
      <c r="G212" s="1">
        <v>5.0</v>
      </c>
      <c r="H212" s="1" t="s">
        <v>43</v>
      </c>
      <c r="I212" s="2">
        <v>45774.0</v>
      </c>
      <c r="J212" s="1">
        <v>1200000.0</v>
      </c>
      <c r="K212" s="2">
        <v>45748.0</v>
      </c>
      <c r="L212" s="3" t="str">
        <f t="shared" si="1"/>
        <v>OK</v>
      </c>
    </row>
    <row r="213">
      <c r="A213" s="1" t="s">
        <v>25</v>
      </c>
      <c r="B213" s="1" t="s">
        <v>26</v>
      </c>
      <c r="C213" s="1" t="s">
        <v>17</v>
      </c>
      <c r="D213" s="1">
        <v>29.0</v>
      </c>
      <c r="E213" s="1">
        <v>25.0</v>
      </c>
      <c r="F213" s="1">
        <v>4.0</v>
      </c>
      <c r="G213" s="1">
        <v>11.0</v>
      </c>
      <c r="H213" s="1" t="s">
        <v>27</v>
      </c>
      <c r="I213" s="2">
        <v>45917.0</v>
      </c>
      <c r="J213" s="1">
        <v>4500000.0</v>
      </c>
      <c r="K213" s="2">
        <v>45901.0</v>
      </c>
      <c r="L213" s="3" t="str">
        <f t="shared" si="1"/>
        <v>OK</v>
      </c>
    </row>
    <row r="214">
      <c r="A214" s="1" t="s">
        <v>48</v>
      </c>
      <c r="B214" s="1" t="s">
        <v>49</v>
      </c>
      <c r="C214" s="1" t="s">
        <v>36</v>
      </c>
      <c r="D214" s="1">
        <v>68.0</v>
      </c>
      <c r="E214" s="1">
        <v>120.0</v>
      </c>
      <c r="F214" s="1">
        <v>16.0</v>
      </c>
      <c r="G214" s="1">
        <v>6.0</v>
      </c>
      <c r="H214" s="1" t="s">
        <v>50</v>
      </c>
      <c r="I214" s="2">
        <v>45672.0</v>
      </c>
      <c r="J214" s="1">
        <v>55000.0</v>
      </c>
      <c r="K214" s="2">
        <v>45658.0</v>
      </c>
      <c r="L214" s="3" t="str">
        <f t="shared" si="1"/>
        <v>STOCKOUT</v>
      </c>
    </row>
    <row r="215">
      <c r="A215" s="1" t="s">
        <v>38</v>
      </c>
      <c r="B215" s="1" t="s">
        <v>39</v>
      </c>
      <c r="C215" s="1" t="s">
        <v>23</v>
      </c>
      <c r="D215" s="1">
        <v>15.0</v>
      </c>
      <c r="E215" s="1">
        <v>45.0</v>
      </c>
      <c r="F215" s="1">
        <v>7.0</v>
      </c>
      <c r="G215" s="1">
        <v>4.0</v>
      </c>
      <c r="H215" s="1" t="s">
        <v>24</v>
      </c>
      <c r="I215" s="2">
        <v>45856.0</v>
      </c>
      <c r="J215" s="1">
        <v>450000.0</v>
      </c>
      <c r="K215" s="2">
        <v>45839.0</v>
      </c>
      <c r="L215" s="3" t="str">
        <f t="shared" si="1"/>
        <v>STOCKOUT</v>
      </c>
    </row>
    <row r="216">
      <c r="A216" s="1" t="s">
        <v>11</v>
      </c>
      <c r="B216" s="1" t="s">
        <v>12</v>
      </c>
      <c r="C216" s="1" t="s">
        <v>13</v>
      </c>
      <c r="D216" s="1">
        <v>172.0</v>
      </c>
      <c r="E216" s="1">
        <v>50.0</v>
      </c>
      <c r="F216" s="1">
        <v>2.0</v>
      </c>
      <c r="G216" s="1">
        <v>6.0</v>
      </c>
      <c r="H216" s="1" t="s">
        <v>14</v>
      </c>
      <c r="I216" s="2">
        <v>46018.0</v>
      </c>
      <c r="J216" s="1">
        <v>125000.0</v>
      </c>
      <c r="K216" s="2">
        <v>45992.0</v>
      </c>
      <c r="L216" s="3" t="str">
        <f t="shared" si="1"/>
        <v>OK</v>
      </c>
    </row>
    <row r="217">
      <c r="A217" s="1" t="s">
        <v>62</v>
      </c>
      <c r="B217" s="1" t="s">
        <v>63</v>
      </c>
      <c r="C217" s="1" t="s">
        <v>13</v>
      </c>
      <c r="D217" s="1">
        <v>392.0</v>
      </c>
      <c r="E217" s="1">
        <v>80.0</v>
      </c>
      <c r="F217" s="1">
        <v>3.0</v>
      </c>
      <c r="G217" s="1">
        <v>6.0</v>
      </c>
      <c r="H217" s="1" t="s">
        <v>33</v>
      </c>
      <c r="I217" s="2">
        <v>46030.0</v>
      </c>
      <c r="J217" s="1">
        <v>85000.0</v>
      </c>
      <c r="K217" s="2">
        <v>46023.0</v>
      </c>
      <c r="L217" s="3" t="str">
        <f t="shared" si="1"/>
        <v>OK</v>
      </c>
    </row>
    <row r="218">
      <c r="A218" s="1" t="s">
        <v>53</v>
      </c>
      <c r="B218" s="1" t="s">
        <v>54</v>
      </c>
      <c r="C218" s="1" t="s">
        <v>13</v>
      </c>
      <c r="D218" s="1">
        <v>205.0</v>
      </c>
      <c r="E218" s="1">
        <v>60.0</v>
      </c>
      <c r="F218" s="1">
        <v>4.0</v>
      </c>
      <c r="G218" s="1">
        <v>7.0</v>
      </c>
      <c r="H218" s="1" t="s">
        <v>14</v>
      </c>
      <c r="I218" s="2">
        <v>45739.0</v>
      </c>
      <c r="J218" s="1">
        <v>165000.0</v>
      </c>
      <c r="K218" s="2">
        <v>45717.0</v>
      </c>
      <c r="L218" s="3" t="str">
        <f t="shared" si="1"/>
        <v>OK</v>
      </c>
    </row>
    <row r="219">
      <c r="A219" s="1" t="s">
        <v>60</v>
      </c>
      <c r="B219" s="1" t="s">
        <v>61</v>
      </c>
      <c r="C219" s="1" t="s">
        <v>17</v>
      </c>
      <c r="D219" s="1">
        <v>7.0</v>
      </c>
      <c r="E219" s="1">
        <v>20.0</v>
      </c>
      <c r="F219" s="1">
        <v>2.0</v>
      </c>
      <c r="G219" s="1">
        <v>7.0</v>
      </c>
      <c r="H219" s="1" t="s">
        <v>27</v>
      </c>
      <c r="I219" s="2">
        <v>45933.0</v>
      </c>
      <c r="J219" s="1">
        <v>3200000.0</v>
      </c>
      <c r="K219" s="2">
        <v>45931.0</v>
      </c>
      <c r="L219" s="3" t="str">
        <f t="shared" si="1"/>
        <v>STOCKOUT</v>
      </c>
    </row>
    <row r="220">
      <c r="A220" s="1" t="s">
        <v>55</v>
      </c>
      <c r="B220" s="1" t="s">
        <v>56</v>
      </c>
      <c r="C220" s="1" t="s">
        <v>36</v>
      </c>
      <c r="D220" s="1">
        <v>60.0</v>
      </c>
      <c r="E220" s="1">
        <v>100.0</v>
      </c>
      <c r="F220" s="1">
        <v>22.0</v>
      </c>
      <c r="G220" s="1">
        <v>5.0</v>
      </c>
      <c r="H220" s="1" t="s">
        <v>37</v>
      </c>
      <c r="I220" s="2">
        <v>46109.0</v>
      </c>
      <c r="J220" s="1">
        <v>85000.0</v>
      </c>
      <c r="K220" s="2">
        <v>46082.0</v>
      </c>
      <c r="L220" s="3" t="str">
        <f t="shared" si="1"/>
        <v>STOCKOUT</v>
      </c>
    </row>
    <row r="221">
      <c r="A221" s="1" t="s">
        <v>34</v>
      </c>
      <c r="B221" s="1" t="s">
        <v>35</v>
      </c>
      <c r="C221" s="1" t="s">
        <v>36</v>
      </c>
      <c r="D221" s="1">
        <v>0.0</v>
      </c>
      <c r="E221" s="1">
        <v>80.0</v>
      </c>
      <c r="F221" s="1">
        <v>17.0</v>
      </c>
      <c r="G221" s="1">
        <v>5.0</v>
      </c>
      <c r="H221" s="1" t="s">
        <v>37</v>
      </c>
      <c r="I221" s="2">
        <v>46012.0</v>
      </c>
      <c r="J221" s="1">
        <v>65000.0</v>
      </c>
      <c r="K221" s="2">
        <v>45992.0</v>
      </c>
      <c r="L221" s="3" t="str">
        <f t="shared" si="1"/>
        <v>STOCKOUT</v>
      </c>
    </row>
    <row r="222">
      <c r="A222" s="1" t="s">
        <v>62</v>
      </c>
      <c r="B222" s="1" t="s">
        <v>63</v>
      </c>
      <c r="C222" s="1" t="s">
        <v>13</v>
      </c>
      <c r="D222" s="1">
        <v>302.0</v>
      </c>
      <c r="E222" s="1">
        <v>80.0</v>
      </c>
      <c r="F222" s="1">
        <v>3.0</v>
      </c>
      <c r="G222" s="1">
        <v>5.0</v>
      </c>
      <c r="H222" s="1" t="s">
        <v>33</v>
      </c>
      <c r="I222" s="2">
        <v>45797.0</v>
      </c>
      <c r="J222" s="1">
        <v>85000.0</v>
      </c>
      <c r="K222" s="2">
        <v>45778.0</v>
      </c>
      <c r="L222" s="3" t="str">
        <f t="shared" si="1"/>
        <v>OK</v>
      </c>
    </row>
    <row r="223">
      <c r="A223" s="1" t="s">
        <v>15</v>
      </c>
      <c r="B223" s="1" t="s">
        <v>16</v>
      </c>
      <c r="C223" s="1" t="s">
        <v>17</v>
      </c>
      <c r="D223" s="1">
        <v>9.0</v>
      </c>
      <c r="E223" s="1">
        <v>15.0</v>
      </c>
      <c r="F223" s="1">
        <v>1.0</v>
      </c>
      <c r="G223" s="1">
        <v>6.0</v>
      </c>
      <c r="H223" s="1" t="s">
        <v>18</v>
      </c>
      <c r="I223" s="2">
        <v>46109.0</v>
      </c>
      <c r="J223" s="1">
        <v>8500000.0</v>
      </c>
      <c r="K223" s="2">
        <v>46082.0</v>
      </c>
      <c r="L223" s="3" t="str">
        <f t="shared" si="1"/>
        <v>STOCKOUT</v>
      </c>
    </row>
    <row r="224">
      <c r="A224" s="1" t="s">
        <v>19</v>
      </c>
      <c r="B224" s="1" t="s">
        <v>20</v>
      </c>
      <c r="C224" s="1" t="s">
        <v>17</v>
      </c>
      <c r="D224" s="1">
        <v>26.0</v>
      </c>
      <c r="E224" s="1">
        <v>30.0</v>
      </c>
      <c r="F224" s="1">
        <v>2.0</v>
      </c>
      <c r="G224" s="1">
        <v>9.0</v>
      </c>
      <c r="H224" s="1" t="s">
        <v>18</v>
      </c>
      <c r="I224" s="2">
        <v>45731.0</v>
      </c>
      <c r="J224" s="1">
        <v>1200000.0</v>
      </c>
      <c r="K224" s="2">
        <v>45717.0</v>
      </c>
      <c r="L224" s="3" t="str">
        <f t="shared" si="1"/>
        <v>STOCKOUT</v>
      </c>
    </row>
    <row r="225">
      <c r="A225" s="1" t="s">
        <v>28</v>
      </c>
      <c r="B225" s="1" t="s">
        <v>29</v>
      </c>
      <c r="C225" s="1" t="s">
        <v>23</v>
      </c>
      <c r="D225" s="1">
        <v>20.0</v>
      </c>
      <c r="E225" s="1">
        <v>35.0</v>
      </c>
      <c r="F225" s="1">
        <v>5.0</v>
      </c>
      <c r="G225" s="1">
        <v>8.0</v>
      </c>
      <c r="H225" s="1" t="s">
        <v>30</v>
      </c>
      <c r="I225" s="2">
        <v>45784.0</v>
      </c>
      <c r="J225" s="1">
        <v>1250000.0</v>
      </c>
      <c r="K225" s="2">
        <v>45778.0</v>
      </c>
      <c r="L225" s="3" t="str">
        <f t="shared" si="1"/>
        <v>STOCKOUT</v>
      </c>
    </row>
    <row r="226">
      <c r="A226" s="1" t="s">
        <v>51</v>
      </c>
      <c r="B226" s="1" t="s">
        <v>52</v>
      </c>
      <c r="C226" s="1" t="s">
        <v>36</v>
      </c>
      <c r="D226" s="1">
        <v>15.0</v>
      </c>
      <c r="E226" s="1">
        <v>60.0</v>
      </c>
      <c r="F226" s="1">
        <v>7.0</v>
      </c>
      <c r="G226" s="1">
        <v>5.0</v>
      </c>
      <c r="H226" s="1" t="s">
        <v>50</v>
      </c>
      <c r="I226" s="2">
        <v>45827.0</v>
      </c>
      <c r="J226" s="1">
        <v>175000.0</v>
      </c>
      <c r="K226" s="2">
        <v>45809.0</v>
      </c>
      <c r="L226" s="3" t="str">
        <f t="shared" si="1"/>
        <v>STOCKOUT</v>
      </c>
    </row>
    <row r="227">
      <c r="A227" s="1" t="s">
        <v>51</v>
      </c>
      <c r="B227" s="1" t="s">
        <v>52</v>
      </c>
      <c r="C227" s="1" t="s">
        <v>36</v>
      </c>
      <c r="D227" s="1">
        <v>0.0</v>
      </c>
      <c r="E227" s="1">
        <v>60.0</v>
      </c>
      <c r="F227" s="1">
        <v>11.0</v>
      </c>
      <c r="G227" s="1">
        <v>5.0</v>
      </c>
      <c r="H227" s="1" t="s">
        <v>50</v>
      </c>
      <c r="I227" s="2">
        <v>46083.0</v>
      </c>
      <c r="J227" s="1">
        <v>175000.0</v>
      </c>
      <c r="K227" s="2">
        <v>46082.0</v>
      </c>
      <c r="L227" s="3" t="str">
        <f t="shared" si="1"/>
        <v>STOCKOUT</v>
      </c>
    </row>
    <row r="228">
      <c r="A228" s="1" t="s">
        <v>62</v>
      </c>
      <c r="B228" s="1" t="s">
        <v>63</v>
      </c>
      <c r="C228" s="1" t="s">
        <v>13</v>
      </c>
      <c r="D228" s="1">
        <v>386.0</v>
      </c>
      <c r="E228" s="1">
        <v>80.0</v>
      </c>
      <c r="F228" s="1">
        <v>3.0</v>
      </c>
      <c r="G228" s="1">
        <v>6.0</v>
      </c>
      <c r="H228" s="1" t="s">
        <v>33</v>
      </c>
      <c r="I228" s="2">
        <v>45852.0</v>
      </c>
      <c r="J228" s="1">
        <v>85000.0</v>
      </c>
      <c r="K228" s="2">
        <v>45839.0</v>
      </c>
      <c r="L228" s="3" t="str">
        <f t="shared" si="1"/>
        <v>OK</v>
      </c>
    </row>
    <row r="229">
      <c r="A229" s="1" t="s">
        <v>40</v>
      </c>
      <c r="B229" s="1" t="s">
        <v>41</v>
      </c>
      <c r="C229" s="1" t="s">
        <v>42</v>
      </c>
      <c r="D229" s="1">
        <v>9.0</v>
      </c>
      <c r="E229" s="1">
        <v>15.0</v>
      </c>
      <c r="F229" s="1">
        <v>1.0</v>
      </c>
      <c r="G229" s="1">
        <v>8.0</v>
      </c>
      <c r="H229" s="1" t="s">
        <v>43</v>
      </c>
      <c r="I229" s="2">
        <v>46014.0</v>
      </c>
      <c r="J229" s="1">
        <v>1200000.0</v>
      </c>
      <c r="K229" s="2">
        <v>45992.0</v>
      </c>
      <c r="L229" s="3" t="str">
        <f t="shared" si="1"/>
        <v>STOCKOUT</v>
      </c>
    </row>
    <row r="230">
      <c r="A230" s="1" t="s">
        <v>60</v>
      </c>
      <c r="B230" s="1" t="s">
        <v>61</v>
      </c>
      <c r="C230" s="1" t="s">
        <v>17</v>
      </c>
      <c r="D230" s="1">
        <v>27.0</v>
      </c>
      <c r="E230" s="1">
        <v>20.0</v>
      </c>
      <c r="F230" s="1">
        <v>2.0</v>
      </c>
      <c r="G230" s="1">
        <v>13.0</v>
      </c>
      <c r="H230" s="1" t="s">
        <v>27</v>
      </c>
      <c r="I230" s="2">
        <v>46057.0</v>
      </c>
      <c r="J230" s="1">
        <v>3200000.0</v>
      </c>
      <c r="K230" s="2">
        <v>46054.0</v>
      </c>
      <c r="L230" s="3" t="str">
        <f t="shared" si="1"/>
        <v>OK</v>
      </c>
    </row>
    <row r="231">
      <c r="A231" s="1" t="s">
        <v>53</v>
      </c>
      <c r="B231" s="1" t="s">
        <v>54</v>
      </c>
      <c r="C231" s="1" t="s">
        <v>13</v>
      </c>
      <c r="D231" s="1">
        <v>292.0</v>
      </c>
      <c r="E231" s="1">
        <v>60.0</v>
      </c>
      <c r="F231" s="1">
        <v>3.0</v>
      </c>
      <c r="G231" s="1">
        <v>6.0</v>
      </c>
      <c r="H231" s="1" t="s">
        <v>14</v>
      </c>
      <c r="I231" s="2">
        <v>45888.0</v>
      </c>
      <c r="J231" s="1">
        <v>165000.0</v>
      </c>
      <c r="K231" s="2">
        <v>45870.0</v>
      </c>
      <c r="L231" s="3" t="str">
        <f t="shared" si="1"/>
        <v>OK</v>
      </c>
    </row>
    <row r="232">
      <c r="A232" s="1" t="s">
        <v>31</v>
      </c>
      <c r="B232" s="1" t="s">
        <v>32</v>
      </c>
      <c r="C232" s="1" t="s">
        <v>13</v>
      </c>
      <c r="D232" s="1">
        <v>186.0</v>
      </c>
      <c r="E232" s="1">
        <v>40.0</v>
      </c>
      <c r="F232" s="1">
        <v>2.0</v>
      </c>
      <c r="G232" s="1">
        <v>4.0</v>
      </c>
      <c r="H232" s="1" t="s">
        <v>33</v>
      </c>
      <c r="I232" s="2">
        <v>45971.0</v>
      </c>
      <c r="J232" s="1">
        <v>550000.0</v>
      </c>
      <c r="K232" s="2">
        <v>45962.0</v>
      </c>
      <c r="L232" s="3" t="str">
        <f t="shared" si="1"/>
        <v>OK</v>
      </c>
    </row>
    <row r="233">
      <c r="A233" s="1" t="s">
        <v>34</v>
      </c>
      <c r="B233" s="1" t="s">
        <v>35</v>
      </c>
      <c r="C233" s="1" t="s">
        <v>36</v>
      </c>
      <c r="D233" s="1">
        <v>35.0</v>
      </c>
      <c r="E233" s="1">
        <v>80.0</v>
      </c>
      <c r="F233" s="1">
        <v>13.0</v>
      </c>
      <c r="G233" s="1">
        <v>4.0</v>
      </c>
      <c r="H233" s="1" t="s">
        <v>37</v>
      </c>
      <c r="I233" s="2">
        <v>45800.0</v>
      </c>
      <c r="J233" s="1">
        <v>65000.0</v>
      </c>
      <c r="K233" s="2">
        <v>45778.0</v>
      </c>
      <c r="L233" s="3" t="str">
        <f t="shared" si="1"/>
        <v>STOCKOUT</v>
      </c>
    </row>
    <row r="234">
      <c r="A234" s="1" t="s">
        <v>46</v>
      </c>
      <c r="B234" s="1" t="s">
        <v>47</v>
      </c>
      <c r="C234" s="1" t="s">
        <v>23</v>
      </c>
      <c r="D234" s="1">
        <v>14.0</v>
      </c>
      <c r="E234" s="1">
        <v>40.0</v>
      </c>
      <c r="F234" s="1">
        <v>4.0</v>
      </c>
      <c r="G234" s="1">
        <v>8.0</v>
      </c>
      <c r="H234" s="1" t="s">
        <v>30</v>
      </c>
      <c r="I234" s="2">
        <v>45687.0</v>
      </c>
      <c r="J234" s="1">
        <v>550000.0</v>
      </c>
      <c r="K234" s="2">
        <v>45658.0</v>
      </c>
      <c r="L234" s="3" t="str">
        <f t="shared" si="1"/>
        <v>STOCKOUT</v>
      </c>
    </row>
    <row r="235">
      <c r="A235" s="1" t="s">
        <v>19</v>
      </c>
      <c r="B235" s="1" t="s">
        <v>20</v>
      </c>
      <c r="C235" s="1" t="s">
        <v>17</v>
      </c>
      <c r="D235" s="1">
        <v>31.0</v>
      </c>
      <c r="E235" s="1">
        <v>30.0</v>
      </c>
      <c r="F235" s="1">
        <v>3.0</v>
      </c>
      <c r="G235" s="1">
        <v>8.0</v>
      </c>
      <c r="H235" s="1" t="s">
        <v>18</v>
      </c>
      <c r="I235" s="2">
        <v>45929.0</v>
      </c>
      <c r="J235" s="1">
        <v>1200000.0</v>
      </c>
      <c r="K235" s="2">
        <v>45901.0</v>
      </c>
      <c r="L235" s="3" t="str">
        <f t="shared" si="1"/>
        <v>OK</v>
      </c>
    </row>
    <row r="236">
      <c r="A236" s="1" t="s">
        <v>15</v>
      </c>
      <c r="B236" s="1" t="s">
        <v>16</v>
      </c>
      <c r="C236" s="1" t="s">
        <v>17</v>
      </c>
      <c r="D236" s="1">
        <v>13.0</v>
      </c>
      <c r="E236" s="1">
        <v>15.0</v>
      </c>
      <c r="F236" s="1">
        <v>1.0</v>
      </c>
      <c r="G236" s="1">
        <v>5.0</v>
      </c>
      <c r="H236" s="1" t="s">
        <v>18</v>
      </c>
      <c r="I236" s="2">
        <v>45710.0</v>
      </c>
      <c r="J236" s="1">
        <v>8500000.0</v>
      </c>
      <c r="K236" s="2">
        <v>45689.0</v>
      </c>
      <c r="L236" s="3" t="str">
        <f t="shared" si="1"/>
        <v>STOCKOUT</v>
      </c>
    </row>
    <row r="237">
      <c r="A237" s="1" t="s">
        <v>19</v>
      </c>
      <c r="B237" s="1" t="s">
        <v>20</v>
      </c>
      <c r="C237" s="1" t="s">
        <v>17</v>
      </c>
      <c r="D237" s="1">
        <v>26.0</v>
      </c>
      <c r="E237" s="1">
        <v>30.0</v>
      </c>
      <c r="F237" s="1">
        <v>4.0</v>
      </c>
      <c r="G237" s="1">
        <v>8.0</v>
      </c>
      <c r="H237" s="1" t="s">
        <v>18</v>
      </c>
      <c r="I237" s="2">
        <v>45803.0</v>
      </c>
      <c r="J237" s="1">
        <v>1200000.0</v>
      </c>
      <c r="K237" s="2">
        <v>45778.0</v>
      </c>
      <c r="L237" s="3" t="str">
        <f t="shared" si="1"/>
        <v>STOCKOUT</v>
      </c>
    </row>
    <row r="238">
      <c r="A238" s="1" t="s">
        <v>38</v>
      </c>
      <c r="B238" s="1" t="s">
        <v>39</v>
      </c>
      <c r="C238" s="1" t="s">
        <v>23</v>
      </c>
      <c r="D238" s="1">
        <v>36.0</v>
      </c>
      <c r="E238" s="1">
        <v>45.0</v>
      </c>
      <c r="F238" s="1">
        <v>4.0</v>
      </c>
      <c r="G238" s="1">
        <v>3.0</v>
      </c>
      <c r="H238" s="1" t="s">
        <v>24</v>
      </c>
      <c r="I238" s="2">
        <v>45812.0</v>
      </c>
      <c r="J238" s="1">
        <v>450000.0</v>
      </c>
      <c r="K238" s="2">
        <v>45809.0</v>
      </c>
      <c r="L238" s="3" t="str">
        <f t="shared" si="1"/>
        <v>STOCKOUT</v>
      </c>
    </row>
    <row r="239">
      <c r="A239" s="1" t="s">
        <v>62</v>
      </c>
      <c r="B239" s="1" t="s">
        <v>63</v>
      </c>
      <c r="C239" s="1" t="s">
        <v>13</v>
      </c>
      <c r="D239" s="1">
        <v>264.0</v>
      </c>
      <c r="E239" s="1">
        <v>80.0</v>
      </c>
      <c r="F239" s="1">
        <v>3.0</v>
      </c>
      <c r="G239" s="1">
        <v>5.0</v>
      </c>
      <c r="H239" s="1" t="s">
        <v>33</v>
      </c>
      <c r="I239" s="2">
        <v>45984.0</v>
      </c>
      <c r="J239" s="1">
        <v>85000.0</v>
      </c>
      <c r="K239" s="2">
        <v>45962.0</v>
      </c>
      <c r="L239" s="3" t="str">
        <f t="shared" si="1"/>
        <v>OK</v>
      </c>
    </row>
    <row r="240">
      <c r="A240" s="1" t="s">
        <v>60</v>
      </c>
      <c r="B240" s="1" t="s">
        <v>61</v>
      </c>
      <c r="C240" s="1" t="s">
        <v>17</v>
      </c>
      <c r="D240" s="1">
        <v>38.0</v>
      </c>
      <c r="E240" s="1">
        <v>20.0</v>
      </c>
      <c r="F240" s="1">
        <v>2.0</v>
      </c>
      <c r="G240" s="1">
        <v>11.0</v>
      </c>
      <c r="H240" s="1" t="s">
        <v>27</v>
      </c>
      <c r="I240" s="2">
        <v>45782.0</v>
      </c>
      <c r="J240" s="1">
        <v>3200000.0</v>
      </c>
      <c r="K240" s="2">
        <v>45778.0</v>
      </c>
      <c r="L240" s="3" t="str">
        <f t="shared" si="1"/>
        <v>OK</v>
      </c>
    </row>
    <row r="241">
      <c r="A241" s="1" t="s">
        <v>34</v>
      </c>
      <c r="B241" s="1" t="s">
        <v>35</v>
      </c>
      <c r="C241" s="1" t="s">
        <v>36</v>
      </c>
      <c r="D241" s="1">
        <v>46.0</v>
      </c>
      <c r="E241" s="1">
        <v>80.0</v>
      </c>
      <c r="F241" s="1">
        <v>13.0</v>
      </c>
      <c r="G241" s="1">
        <v>5.0</v>
      </c>
      <c r="H241" s="1" t="s">
        <v>37</v>
      </c>
      <c r="I241" s="2">
        <v>45924.0</v>
      </c>
      <c r="J241" s="1">
        <v>65000.0</v>
      </c>
      <c r="K241" s="2">
        <v>45901.0</v>
      </c>
      <c r="L241" s="3" t="str">
        <f t="shared" si="1"/>
        <v>STOCKOUT</v>
      </c>
    </row>
    <row r="242">
      <c r="A242" s="1" t="s">
        <v>28</v>
      </c>
      <c r="B242" s="1" t="s">
        <v>29</v>
      </c>
      <c r="C242" s="1" t="s">
        <v>23</v>
      </c>
      <c r="D242" s="1">
        <v>27.0</v>
      </c>
      <c r="E242" s="1">
        <v>35.0</v>
      </c>
      <c r="F242" s="1">
        <v>5.0</v>
      </c>
      <c r="G242" s="1">
        <v>3.0</v>
      </c>
      <c r="H242" s="1" t="s">
        <v>30</v>
      </c>
      <c r="I242" s="2">
        <v>45701.0</v>
      </c>
      <c r="J242" s="1">
        <v>1250000.0</v>
      </c>
      <c r="K242" s="2">
        <v>45689.0</v>
      </c>
      <c r="L242" s="3" t="str">
        <f t="shared" si="1"/>
        <v>STOCKOUT</v>
      </c>
    </row>
    <row r="243">
      <c r="A243" s="1" t="s">
        <v>19</v>
      </c>
      <c r="B243" s="1" t="s">
        <v>20</v>
      </c>
      <c r="C243" s="1" t="s">
        <v>17</v>
      </c>
      <c r="D243" s="1">
        <v>44.0</v>
      </c>
      <c r="E243" s="1">
        <v>30.0</v>
      </c>
      <c r="F243" s="1">
        <v>4.0</v>
      </c>
      <c r="G243" s="1">
        <v>8.0</v>
      </c>
      <c r="H243" s="1" t="s">
        <v>18</v>
      </c>
      <c r="I243" s="2">
        <v>45885.0</v>
      </c>
      <c r="J243" s="1">
        <v>1200000.0</v>
      </c>
      <c r="K243" s="2">
        <v>45870.0</v>
      </c>
      <c r="L243" s="3" t="str">
        <f t="shared" si="1"/>
        <v>OK</v>
      </c>
    </row>
    <row r="244">
      <c r="A244" s="1" t="s">
        <v>34</v>
      </c>
      <c r="B244" s="1" t="s">
        <v>35</v>
      </c>
      <c r="C244" s="1" t="s">
        <v>36</v>
      </c>
      <c r="D244" s="1">
        <v>34.0</v>
      </c>
      <c r="E244" s="1">
        <v>80.0</v>
      </c>
      <c r="F244" s="1">
        <v>9.0</v>
      </c>
      <c r="G244" s="1">
        <v>3.0</v>
      </c>
      <c r="H244" s="1" t="s">
        <v>37</v>
      </c>
      <c r="I244" s="2">
        <v>45950.0</v>
      </c>
      <c r="J244" s="1">
        <v>65000.0</v>
      </c>
      <c r="K244" s="2">
        <v>45931.0</v>
      </c>
      <c r="L244" s="3" t="str">
        <f t="shared" si="1"/>
        <v>STOCKOUT</v>
      </c>
    </row>
    <row r="245">
      <c r="A245" s="1" t="s">
        <v>55</v>
      </c>
      <c r="B245" s="1" t="s">
        <v>56</v>
      </c>
      <c r="C245" s="1" t="s">
        <v>36</v>
      </c>
      <c r="D245" s="1">
        <v>145.0</v>
      </c>
      <c r="E245" s="1">
        <v>100.0</v>
      </c>
      <c r="F245" s="1">
        <v>17.0</v>
      </c>
      <c r="G245" s="1">
        <v>4.0</v>
      </c>
      <c r="H245" s="1" t="s">
        <v>37</v>
      </c>
      <c r="I245" s="2">
        <v>45711.0</v>
      </c>
      <c r="J245" s="1">
        <v>85000.0</v>
      </c>
      <c r="K245" s="2">
        <v>45689.0</v>
      </c>
      <c r="L245" s="3" t="str">
        <f t="shared" si="1"/>
        <v>OK</v>
      </c>
    </row>
    <row r="246">
      <c r="A246" s="1" t="s">
        <v>15</v>
      </c>
      <c r="B246" s="1" t="s">
        <v>16</v>
      </c>
      <c r="C246" s="1" t="s">
        <v>17</v>
      </c>
      <c r="D246" s="1">
        <v>15.0</v>
      </c>
      <c r="E246" s="1">
        <v>15.0</v>
      </c>
      <c r="F246" s="1">
        <v>1.0</v>
      </c>
      <c r="G246" s="1">
        <v>5.0</v>
      </c>
      <c r="H246" s="1" t="s">
        <v>18</v>
      </c>
      <c r="I246" s="2">
        <v>46055.0</v>
      </c>
      <c r="J246" s="1">
        <v>8500000.0</v>
      </c>
      <c r="K246" s="2">
        <v>46054.0</v>
      </c>
      <c r="L246" s="3" t="str">
        <f t="shared" si="1"/>
        <v>STOCKOUT</v>
      </c>
    </row>
    <row r="247">
      <c r="A247" s="1" t="s">
        <v>38</v>
      </c>
      <c r="B247" s="1" t="s">
        <v>39</v>
      </c>
      <c r="C247" s="1" t="s">
        <v>23</v>
      </c>
      <c r="D247" s="1">
        <v>12.0</v>
      </c>
      <c r="E247" s="1">
        <v>45.0</v>
      </c>
      <c r="F247" s="1">
        <v>8.0</v>
      </c>
      <c r="G247" s="1">
        <v>6.0</v>
      </c>
      <c r="H247" s="1" t="s">
        <v>24</v>
      </c>
      <c r="I247" s="2">
        <v>46054.0</v>
      </c>
      <c r="J247" s="1">
        <v>450000.0</v>
      </c>
      <c r="K247" s="2">
        <v>46054.0</v>
      </c>
      <c r="L247" s="3" t="str">
        <f t="shared" si="1"/>
        <v>STOCKOUT</v>
      </c>
    </row>
    <row r="248">
      <c r="A248" s="1" t="s">
        <v>51</v>
      </c>
      <c r="B248" s="1" t="s">
        <v>52</v>
      </c>
      <c r="C248" s="1" t="s">
        <v>36</v>
      </c>
      <c r="D248" s="1">
        <v>19.0</v>
      </c>
      <c r="E248" s="1">
        <v>60.0</v>
      </c>
      <c r="F248" s="1">
        <v>6.0</v>
      </c>
      <c r="G248" s="1">
        <v>6.0</v>
      </c>
      <c r="H248" s="1" t="s">
        <v>50</v>
      </c>
      <c r="I248" s="2">
        <v>45775.0</v>
      </c>
      <c r="J248" s="1">
        <v>175000.0</v>
      </c>
      <c r="K248" s="2">
        <v>45748.0</v>
      </c>
      <c r="L248" s="3" t="str">
        <f t="shared" si="1"/>
        <v>STOCKOUT</v>
      </c>
    </row>
    <row r="249">
      <c r="A249" s="1" t="s">
        <v>64</v>
      </c>
      <c r="B249" s="1" t="s">
        <v>65</v>
      </c>
      <c r="C249" s="1" t="s">
        <v>42</v>
      </c>
      <c r="D249" s="1">
        <v>41.0</v>
      </c>
      <c r="E249" s="1">
        <v>20.0</v>
      </c>
      <c r="F249" s="1">
        <v>3.0</v>
      </c>
      <c r="G249" s="1">
        <v>9.0</v>
      </c>
      <c r="H249" s="1" t="s">
        <v>59</v>
      </c>
      <c r="I249" s="2">
        <v>46092.0</v>
      </c>
      <c r="J249" s="1">
        <v>750000.0</v>
      </c>
      <c r="K249" s="2">
        <v>46082.0</v>
      </c>
      <c r="L249" s="3" t="str">
        <f t="shared" si="1"/>
        <v>OK</v>
      </c>
    </row>
    <row r="250">
      <c r="A250" s="1" t="s">
        <v>55</v>
      </c>
      <c r="B250" s="1" t="s">
        <v>56</v>
      </c>
      <c r="C250" s="1" t="s">
        <v>36</v>
      </c>
      <c r="D250" s="1">
        <v>125.0</v>
      </c>
      <c r="E250" s="1">
        <v>100.0</v>
      </c>
      <c r="F250" s="1">
        <v>14.0</v>
      </c>
      <c r="G250" s="1">
        <v>4.0</v>
      </c>
      <c r="H250" s="1" t="s">
        <v>37</v>
      </c>
      <c r="I250" s="2">
        <v>45775.0</v>
      </c>
      <c r="J250" s="1">
        <v>85000.0</v>
      </c>
      <c r="K250" s="2">
        <v>45748.0</v>
      </c>
      <c r="L250" s="3" t="str">
        <f t="shared" si="1"/>
        <v>OK</v>
      </c>
    </row>
    <row r="251">
      <c r="A251" s="1" t="s">
        <v>19</v>
      </c>
      <c r="B251" s="1" t="s">
        <v>20</v>
      </c>
      <c r="C251" s="1" t="s">
        <v>17</v>
      </c>
      <c r="D251" s="1">
        <v>42.0</v>
      </c>
      <c r="E251" s="1">
        <v>30.0</v>
      </c>
      <c r="F251" s="1">
        <v>4.0</v>
      </c>
      <c r="G251" s="1">
        <v>7.0</v>
      </c>
      <c r="H251" s="1" t="s">
        <v>18</v>
      </c>
      <c r="I251" s="2">
        <v>45960.0</v>
      </c>
      <c r="J251" s="1">
        <v>1200000.0</v>
      </c>
      <c r="K251" s="2">
        <v>45931.0</v>
      </c>
      <c r="L251" s="3" t="str">
        <f t="shared" si="1"/>
        <v>OK</v>
      </c>
    </row>
    <row r="252">
      <c r="A252" s="1" t="s">
        <v>44</v>
      </c>
      <c r="B252" s="1" t="s">
        <v>45</v>
      </c>
      <c r="C252" s="1" t="s">
        <v>42</v>
      </c>
      <c r="D252" s="1">
        <v>41.0</v>
      </c>
      <c r="E252" s="1">
        <v>30.0</v>
      </c>
      <c r="F252" s="1">
        <v>6.0</v>
      </c>
      <c r="G252" s="1">
        <v>10.0</v>
      </c>
      <c r="H252" s="1" t="s">
        <v>43</v>
      </c>
      <c r="I252" s="2">
        <v>45945.0</v>
      </c>
      <c r="J252" s="1">
        <v>350000.0</v>
      </c>
      <c r="K252" s="2">
        <v>45931.0</v>
      </c>
      <c r="L252" s="3" t="str">
        <f t="shared" si="1"/>
        <v>OK</v>
      </c>
    </row>
    <row r="253">
      <c r="A253" s="1" t="s">
        <v>31</v>
      </c>
      <c r="B253" s="1" t="s">
        <v>32</v>
      </c>
      <c r="C253" s="1" t="s">
        <v>13</v>
      </c>
      <c r="D253" s="1">
        <v>172.0</v>
      </c>
      <c r="E253" s="1">
        <v>40.0</v>
      </c>
      <c r="F253" s="1">
        <v>2.0</v>
      </c>
      <c r="G253" s="1">
        <v>6.0</v>
      </c>
      <c r="H253" s="1" t="s">
        <v>33</v>
      </c>
      <c r="I253" s="2">
        <v>45955.0</v>
      </c>
      <c r="J253" s="1">
        <v>550000.0</v>
      </c>
      <c r="K253" s="2">
        <v>45931.0</v>
      </c>
      <c r="L253" s="3" t="str">
        <f t="shared" si="1"/>
        <v>OK</v>
      </c>
    </row>
    <row r="254">
      <c r="A254" s="1" t="s">
        <v>31</v>
      </c>
      <c r="B254" s="1" t="s">
        <v>32</v>
      </c>
      <c r="C254" s="1" t="s">
        <v>13</v>
      </c>
      <c r="D254" s="1">
        <v>160.0</v>
      </c>
      <c r="E254" s="1">
        <v>40.0</v>
      </c>
      <c r="F254" s="1">
        <v>3.0</v>
      </c>
      <c r="G254" s="1">
        <v>6.0</v>
      </c>
      <c r="H254" s="1" t="s">
        <v>33</v>
      </c>
      <c r="I254" s="2">
        <v>45887.0</v>
      </c>
      <c r="J254" s="1">
        <v>550000.0</v>
      </c>
      <c r="K254" s="2">
        <v>45870.0</v>
      </c>
      <c r="L254" s="3" t="str">
        <f t="shared" si="1"/>
        <v>OK</v>
      </c>
    </row>
    <row r="255">
      <c r="A255" s="1" t="s">
        <v>44</v>
      </c>
      <c r="B255" s="1" t="s">
        <v>45</v>
      </c>
      <c r="C255" s="1" t="s">
        <v>42</v>
      </c>
      <c r="D255" s="1">
        <v>45.0</v>
      </c>
      <c r="E255" s="1">
        <v>30.0</v>
      </c>
      <c r="F255" s="1">
        <v>5.0</v>
      </c>
      <c r="G255" s="1">
        <v>5.0</v>
      </c>
      <c r="H255" s="1" t="s">
        <v>43</v>
      </c>
      <c r="I255" s="2">
        <v>45801.0</v>
      </c>
      <c r="J255" s="1">
        <v>350000.0</v>
      </c>
      <c r="K255" s="2">
        <v>45778.0</v>
      </c>
      <c r="L255" s="3" t="str">
        <f t="shared" si="1"/>
        <v>OK</v>
      </c>
    </row>
    <row r="256">
      <c r="A256" s="1" t="s">
        <v>19</v>
      </c>
      <c r="B256" s="1" t="s">
        <v>20</v>
      </c>
      <c r="C256" s="1" t="s">
        <v>17</v>
      </c>
      <c r="D256" s="1">
        <v>51.0</v>
      </c>
      <c r="E256" s="1">
        <v>30.0</v>
      </c>
      <c r="F256" s="1">
        <v>4.0</v>
      </c>
      <c r="G256" s="1">
        <v>6.0</v>
      </c>
      <c r="H256" s="1" t="s">
        <v>18</v>
      </c>
      <c r="I256" s="2">
        <v>45775.0</v>
      </c>
      <c r="J256" s="1">
        <v>1200000.0</v>
      </c>
      <c r="K256" s="2">
        <v>45748.0</v>
      </c>
      <c r="L256" s="3" t="str">
        <f t="shared" si="1"/>
        <v>OK</v>
      </c>
    </row>
    <row r="257">
      <c r="A257" s="1" t="s">
        <v>11</v>
      </c>
      <c r="B257" s="1" t="s">
        <v>12</v>
      </c>
      <c r="C257" s="1" t="s">
        <v>13</v>
      </c>
      <c r="D257" s="1">
        <v>290.0</v>
      </c>
      <c r="E257" s="1">
        <v>50.0</v>
      </c>
      <c r="F257" s="1">
        <v>3.0</v>
      </c>
      <c r="G257" s="1">
        <v>6.0</v>
      </c>
      <c r="H257" s="1" t="s">
        <v>14</v>
      </c>
      <c r="I257" s="2">
        <v>45991.0</v>
      </c>
      <c r="J257" s="1">
        <v>125000.0</v>
      </c>
      <c r="K257" s="2">
        <v>45962.0</v>
      </c>
      <c r="L257" s="3" t="str">
        <f t="shared" si="1"/>
        <v>OK</v>
      </c>
    </row>
    <row r="258">
      <c r="A258" s="1" t="s">
        <v>55</v>
      </c>
      <c r="B258" s="1" t="s">
        <v>56</v>
      </c>
      <c r="C258" s="1" t="s">
        <v>36</v>
      </c>
      <c r="D258" s="1">
        <v>57.0</v>
      </c>
      <c r="E258" s="1">
        <v>100.0</v>
      </c>
      <c r="F258" s="1">
        <v>15.0</v>
      </c>
      <c r="G258" s="1">
        <v>4.0</v>
      </c>
      <c r="H258" s="1" t="s">
        <v>37</v>
      </c>
      <c r="I258" s="2">
        <v>46034.0</v>
      </c>
      <c r="J258" s="1">
        <v>85000.0</v>
      </c>
      <c r="K258" s="2">
        <v>46023.0</v>
      </c>
      <c r="L258" s="3" t="str">
        <f t="shared" si="1"/>
        <v>STOCKOUT</v>
      </c>
    </row>
    <row r="259">
      <c r="A259" s="1" t="s">
        <v>25</v>
      </c>
      <c r="B259" s="1" t="s">
        <v>26</v>
      </c>
      <c r="C259" s="1" t="s">
        <v>17</v>
      </c>
      <c r="D259" s="1">
        <v>11.0</v>
      </c>
      <c r="E259" s="1">
        <v>25.0</v>
      </c>
      <c r="F259" s="1">
        <v>7.0</v>
      </c>
      <c r="G259" s="1">
        <v>14.0</v>
      </c>
      <c r="H259" s="1" t="s">
        <v>27</v>
      </c>
      <c r="I259" s="2">
        <v>45862.0</v>
      </c>
      <c r="J259" s="1">
        <v>4500000.0</v>
      </c>
      <c r="K259" s="2">
        <v>45839.0</v>
      </c>
      <c r="L259" s="3" t="str">
        <f t="shared" si="1"/>
        <v>STOCKOUT</v>
      </c>
    </row>
    <row r="260">
      <c r="A260" s="1" t="s">
        <v>40</v>
      </c>
      <c r="B260" s="1" t="s">
        <v>41</v>
      </c>
      <c r="C260" s="1" t="s">
        <v>42</v>
      </c>
      <c r="D260" s="1">
        <v>21.0</v>
      </c>
      <c r="E260" s="1">
        <v>15.0</v>
      </c>
      <c r="F260" s="1">
        <v>1.0</v>
      </c>
      <c r="G260" s="1">
        <v>9.0</v>
      </c>
      <c r="H260" s="1" t="s">
        <v>43</v>
      </c>
      <c r="I260" s="2">
        <v>45968.0</v>
      </c>
      <c r="J260" s="1">
        <v>1200000.0</v>
      </c>
      <c r="K260" s="2">
        <v>45962.0</v>
      </c>
      <c r="L260" s="3" t="str">
        <f t="shared" si="1"/>
        <v>OK</v>
      </c>
    </row>
    <row r="261">
      <c r="A261" s="1" t="s">
        <v>51</v>
      </c>
      <c r="B261" s="1" t="s">
        <v>52</v>
      </c>
      <c r="C261" s="1" t="s">
        <v>36</v>
      </c>
      <c r="D261" s="1">
        <v>44.0</v>
      </c>
      <c r="E261" s="1">
        <v>60.0</v>
      </c>
      <c r="F261" s="1">
        <v>6.0</v>
      </c>
      <c r="G261" s="1">
        <v>6.0</v>
      </c>
      <c r="H261" s="1" t="s">
        <v>50</v>
      </c>
      <c r="I261" s="2">
        <v>45839.0</v>
      </c>
      <c r="J261" s="1">
        <v>175000.0</v>
      </c>
      <c r="K261" s="2">
        <v>45839.0</v>
      </c>
      <c r="L261" s="3" t="str">
        <f t="shared" si="1"/>
        <v>STOCKOUT</v>
      </c>
    </row>
    <row r="262">
      <c r="A262" s="1" t="s">
        <v>31</v>
      </c>
      <c r="B262" s="1" t="s">
        <v>32</v>
      </c>
      <c r="C262" s="1" t="s">
        <v>13</v>
      </c>
      <c r="D262" s="1">
        <v>127.0</v>
      </c>
      <c r="E262" s="1">
        <v>40.0</v>
      </c>
      <c r="F262" s="1">
        <v>3.0</v>
      </c>
      <c r="G262" s="1">
        <v>4.0</v>
      </c>
      <c r="H262" s="1" t="s">
        <v>33</v>
      </c>
      <c r="I262" s="2">
        <v>46001.0</v>
      </c>
      <c r="J262" s="1">
        <v>550000.0</v>
      </c>
      <c r="K262" s="2">
        <v>45992.0</v>
      </c>
      <c r="L262" s="3" t="str">
        <f t="shared" si="1"/>
        <v>OK</v>
      </c>
    </row>
    <row r="263">
      <c r="A263" s="1" t="s">
        <v>48</v>
      </c>
      <c r="B263" s="1" t="s">
        <v>49</v>
      </c>
      <c r="C263" s="1" t="s">
        <v>36</v>
      </c>
      <c r="D263" s="1">
        <v>170.0</v>
      </c>
      <c r="E263" s="1">
        <v>120.0</v>
      </c>
      <c r="F263" s="1">
        <v>17.0</v>
      </c>
      <c r="G263" s="1">
        <v>3.0</v>
      </c>
      <c r="H263" s="1" t="s">
        <v>50</v>
      </c>
      <c r="I263" s="2">
        <v>45905.0</v>
      </c>
      <c r="J263" s="1">
        <v>55000.0</v>
      </c>
      <c r="K263" s="2">
        <v>45901.0</v>
      </c>
      <c r="L263" s="3" t="str">
        <f t="shared" si="1"/>
        <v>OK</v>
      </c>
    </row>
    <row r="264">
      <c r="A264" s="1" t="s">
        <v>34</v>
      </c>
      <c r="B264" s="1" t="s">
        <v>35</v>
      </c>
      <c r="C264" s="1" t="s">
        <v>36</v>
      </c>
      <c r="D264" s="1">
        <v>0.0</v>
      </c>
      <c r="E264" s="1">
        <v>80.0</v>
      </c>
      <c r="F264" s="1">
        <v>18.0</v>
      </c>
      <c r="G264" s="1">
        <v>4.0</v>
      </c>
      <c r="H264" s="1" t="s">
        <v>37</v>
      </c>
      <c r="I264" s="2">
        <v>45745.0</v>
      </c>
      <c r="J264" s="1">
        <v>65000.0</v>
      </c>
      <c r="K264" s="2">
        <v>45717.0</v>
      </c>
      <c r="L264" s="3" t="str">
        <f t="shared" si="1"/>
        <v>STOCKOUT</v>
      </c>
    </row>
    <row r="265">
      <c r="A265" s="1" t="s">
        <v>57</v>
      </c>
      <c r="B265" s="1" t="s">
        <v>58</v>
      </c>
      <c r="C265" s="1" t="s">
        <v>42</v>
      </c>
      <c r="D265" s="1">
        <v>44.0</v>
      </c>
      <c r="E265" s="1">
        <v>25.0</v>
      </c>
      <c r="F265" s="1">
        <v>4.0</v>
      </c>
      <c r="G265" s="1">
        <v>8.0</v>
      </c>
      <c r="H265" s="1" t="s">
        <v>59</v>
      </c>
      <c r="I265" s="2">
        <v>46108.0</v>
      </c>
      <c r="J265" s="1">
        <v>450000.0</v>
      </c>
      <c r="K265" s="2">
        <v>46082.0</v>
      </c>
      <c r="L265" s="3" t="str">
        <f t="shared" si="1"/>
        <v>OK</v>
      </c>
    </row>
    <row r="266">
      <c r="A266" s="1" t="s">
        <v>64</v>
      </c>
      <c r="B266" s="1" t="s">
        <v>65</v>
      </c>
      <c r="C266" s="1" t="s">
        <v>42</v>
      </c>
      <c r="D266" s="1">
        <v>27.0</v>
      </c>
      <c r="E266" s="1">
        <v>20.0</v>
      </c>
      <c r="F266" s="1">
        <v>3.0</v>
      </c>
      <c r="G266" s="1">
        <v>8.0</v>
      </c>
      <c r="H266" s="1" t="s">
        <v>59</v>
      </c>
      <c r="I266" s="2">
        <v>45976.0</v>
      </c>
      <c r="J266" s="1">
        <v>750000.0</v>
      </c>
      <c r="K266" s="2">
        <v>45962.0</v>
      </c>
      <c r="L266" s="3" t="str">
        <f t="shared" si="1"/>
        <v>OK</v>
      </c>
    </row>
    <row r="267">
      <c r="A267" s="1" t="s">
        <v>40</v>
      </c>
      <c r="B267" s="1" t="s">
        <v>41</v>
      </c>
      <c r="C267" s="1" t="s">
        <v>42</v>
      </c>
      <c r="D267" s="1">
        <v>22.0</v>
      </c>
      <c r="E267" s="1">
        <v>15.0</v>
      </c>
      <c r="F267" s="1">
        <v>2.0</v>
      </c>
      <c r="G267" s="1">
        <v>5.0</v>
      </c>
      <c r="H267" s="1" t="s">
        <v>43</v>
      </c>
      <c r="I267" s="2">
        <v>45709.0</v>
      </c>
      <c r="J267" s="1">
        <v>1200000.0</v>
      </c>
      <c r="K267" s="2">
        <v>45689.0</v>
      </c>
      <c r="L267" s="3" t="str">
        <f t="shared" si="1"/>
        <v>OK</v>
      </c>
    </row>
    <row r="268">
      <c r="A268" s="1" t="s">
        <v>28</v>
      </c>
      <c r="B268" s="1" t="s">
        <v>29</v>
      </c>
      <c r="C268" s="1" t="s">
        <v>23</v>
      </c>
      <c r="D268" s="1">
        <v>18.0</v>
      </c>
      <c r="E268" s="1">
        <v>35.0</v>
      </c>
      <c r="F268" s="1">
        <v>5.0</v>
      </c>
      <c r="G268" s="1">
        <v>4.0</v>
      </c>
      <c r="H268" s="1" t="s">
        <v>30</v>
      </c>
      <c r="I268" s="2">
        <v>45949.0</v>
      </c>
      <c r="J268" s="1">
        <v>1250000.0</v>
      </c>
      <c r="K268" s="2">
        <v>45931.0</v>
      </c>
      <c r="L268" s="3" t="str">
        <f t="shared" si="1"/>
        <v>STOCKOUT</v>
      </c>
    </row>
    <row r="269">
      <c r="A269" s="1" t="s">
        <v>38</v>
      </c>
      <c r="B269" s="1" t="s">
        <v>39</v>
      </c>
      <c r="C269" s="1" t="s">
        <v>23</v>
      </c>
      <c r="D269" s="1">
        <v>17.0</v>
      </c>
      <c r="E269" s="1">
        <v>45.0</v>
      </c>
      <c r="F269" s="1">
        <v>8.0</v>
      </c>
      <c r="G269" s="1">
        <v>4.0</v>
      </c>
      <c r="H269" s="1" t="s">
        <v>24</v>
      </c>
      <c r="I269" s="2">
        <v>46050.0</v>
      </c>
      <c r="J269" s="1">
        <v>450000.0</v>
      </c>
      <c r="K269" s="2">
        <v>46023.0</v>
      </c>
      <c r="L269" s="3" t="str">
        <f t="shared" si="1"/>
        <v>STOCKOUT</v>
      </c>
    </row>
    <row r="270">
      <c r="A270" s="1" t="s">
        <v>53</v>
      </c>
      <c r="B270" s="1" t="s">
        <v>54</v>
      </c>
      <c r="C270" s="1" t="s">
        <v>13</v>
      </c>
      <c r="D270" s="1">
        <v>273.0</v>
      </c>
      <c r="E270" s="1">
        <v>60.0</v>
      </c>
      <c r="F270" s="1">
        <v>1.0</v>
      </c>
      <c r="G270" s="1">
        <v>4.0</v>
      </c>
      <c r="H270" s="1" t="s">
        <v>14</v>
      </c>
      <c r="I270" s="2">
        <v>45806.0</v>
      </c>
      <c r="J270" s="1">
        <v>165000.0</v>
      </c>
      <c r="K270" s="2">
        <v>45778.0</v>
      </c>
      <c r="L270" s="3" t="str">
        <f t="shared" si="1"/>
        <v>OK</v>
      </c>
    </row>
    <row r="271">
      <c r="A271" s="1" t="s">
        <v>64</v>
      </c>
      <c r="B271" s="1" t="s">
        <v>65</v>
      </c>
      <c r="C271" s="1" t="s">
        <v>42</v>
      </c>
      <c r="D271" s="1">
        <v>40.0</v>
      </c>
      <c r="E271" s="1">
        <v>20.0</v>
      </c>
      <c r="F271" s="1">
        <v>1.0</v>
      </c>
      <c r="G271" s="1">
        <v>7.0</v>
      </c>
      <c r="H271" s="1" t="s">
        <v>59</v>
      </c>
      <c r="I271" s="2">
        <v>45693.0</v>
      </c>
      <c r="J271" s="1">
        <v>750000.0</v>
      </c>
      <c r="K271" s="2">
        <v>45689.0</v>
      </c>
      <c r="L271" s="3" t="str">
        <f t="shared" si="1"/>
        <v>OK</v>
      </c>
    </row>
    <row r="272">
      <c r="A272" s="1" t="s">
        <v>25</v>
      </c>
      <c r="B272" s="1" t="s">
        <v>26</v>
      </c>
      <c r="C272" s="1" t="s">
        <v>17</v>
      </c>
      <c r="D272" s="1">
        <v>5.0</v>
      </c>
      <c r="E272" s="1">
        <v>25.0</v>
      </c>
      <c r="F272" s="1">
        <v>7.0</v>
      </c>
      <c r="G272" s="1">
        <v>19.0</v>
      </c>
      <c r="H272" s="1" t="s">
        <v>27</v>
      </c>
      <c r="I272" s="2">
        <v>45837.0</v>
      </c>
      <c r="J272" s="1">
        <v>4500000.0</v>
      </c>
      <c r="K272" s="2">
        <v>45809.0</v>
      </c>
      <c r="L272" s="3" t="str">
        <f t="shared" si="1"/>
        <v>STOCKOUT</v>
      </c>
    </row>
    <row r="273">
      <c r="A273" s="1" t="s">
        <v>31</v>
      </c>
      <c r="B273" s="1" t="s">
        <v>32</v>
      </c>
      <c r="C273" s="1" t="s">
        <v>13</v>
      </c>
      <c r="D273" s="1">
        <v>129.0</v>
      </c>
      <c r="E273" s="1">
        <v>40.0</v>
      </c>
      <c r="F273" s="1">
        <v>4.0</v>
      </c>
      <c r="G273" s="1">
        <v>6.0</v>
      </c>
      <c r="H273" s="1" t="s">
        <v>33</v>
      </c>
      <c r="I273" s="2">
        <v>45916.0</v>
      </c>
      <c r="J273" s="1">
        <v>550000.0</v>
      </c>
      <c r="K273" s="2">
        <v>45901.0</v>
      </c>
      <c r="L273" s="3" t="str">
        <f t="shared" si="1"/>
        <v>OK</v>
      </c>
    </row>
    <row r="274">
      <c r="A274" s="1" t="s">
        <v>21</v>
      </c>
      <c r="B274" s="1" t="s">
        <v>22</v>
      </c>
      <c r="C274" s="1" t="s">
        <v>23</v>
      </c>
      <c r="D274" s="1">
        <v>0.0</v>
      </c>
      <c r="E274" s="1">
        <v>50.0</v>
      </c>
      <c r="F274" s="1">
        <v>14.0</v>
      </c>
      <c r="G274" s="1">
        <v>7.0</v>
      </c>
      <c r="H274" s="1" t="s">
        <v>24</v>
      </c>
      <c r="I274" s="2">
        <v>46014.0</v>
      </c>
      <c r="J274" s="1">
        <v>350000.0</v>
      </c>
      <c r="K274" s="2">
        <v>45992.0</v>
      </c>
      <c r="L274" s="3" t="str">
        <f t="shared" si="1"/>
        <v>STOCKOUT</v>
      </c>
    </row>
    <row r="275">
      <c r="A275" s="1" t="s">
        <v>46</v>
      </c>
      <c r="B275" s="1" t="s">
        <v>47</v>
      </c>
      <c r="C275" s="1" t="s">
        <v>23</v>
      </c>
      <c r="D275" s="1">
        <v>9.0</v>
      </c>
      <c r="E275" s="1">
        <v>40.0</v>
      </c>
      <c r="F275" s="1">
        <v>5.0</v>
      </c>
      <c r="G275" s="1">
        <v>8.0</v>
      </c>
      <c r="H275" s="1" t="s">
        <v>30</v>
      </c>
      <c r="I275" s="2">
        <v>45698.0</v>
      </c>
      <c r="J275" s="1">
        <v>550000.0</v>
      </c>
      <c r="K275" s="2">
        <v>45689.0</v>
      </c>
      <c r="L275" s="3" t="str">
        <f t="shared" si="1"/>
        <v>STOCKOUT</v>
      </c>
    </row>
    <row r="276">
      <c r="A276" s="1" t="s">
        <v>51</v>
      </c>
      <c r="B276" s="1" t="s">
        <v>52</v>
      </c>
      <c r="C276" s="1" t="s">
        <v>36</v>
      </c>
      <c r="D276" s="1">
        <v>20.0</v>
      </c>
      <c r="E276" s="1">
        <v>60.0</v>
      </c>
      <c r="F276" s="1">
        <v>9.0</v>
      </c>
      <c r="G276" s="1">
        <v>5.0</v>
      </c>
      <c r="H276" s="1" t="s">
        <v>50</v>
      </c>
      <c r="I276" s="2">
        <v>45687.0</v>
      </c>
      <c r="J276" s="1">
        <v>175000.0</v>
      </c>
      <c r="K276" s="2">
        <v>45658.0</v>
      </c>
      <c r="L276" s="3" t="str">
        <f t="shared" si="1"/>
        <v>STOCKOUT</v>
      </c>
    </row>
    <row r="277">
      <c r="A277" s="1" t="s">
        <v>28</v>
      </c>
      <c r="B277" s="1" t="s">
        <v>29</v>
      </c>
      <c r="C277" s="1" t="s">
        <v>23</v>
      </c>
      <c r="D277" s="1">
        <v>16.0</v>
      </c>
      <c r="E277" s="1">
        <v>35.0</v>
      </c>
      <c r="F277" s="1">
        <v>7.0</v>
      </c>
      <c r="G277" s="1">
        <v>5.0</v>
      </c>
      <c r="H277" s="1" t="s">
        <v>30</v>
      </c>
      <c r="I277" s="2">
        <v>46024.0</v>
      </c>
      <c r="J277" s="1">
        <v>1250000.0</v>
      </c>
      <c r="K277" s="2">
        <v>46023.0</v>
      </c>
      <c r="L277" s="3" t="str">
        <f t="shared" si="1"/>
        <v>STOCKOUT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11" width="17.5"/>
    <col customWidth="1" min="22" max="22" width="24.5"/>
    <col customWidth="1" min="24" max="24" width="15.0"/>
  </cols>
  <sheetData>
    <row r="1">
      <c r="K1" s="3" t="s">
        <v>0</v>
      </c>
      <c r="L1" s="3" t="s">
        <v>68</v>
      </c>
      <c r="M1" s="3" t="s">
        <v>2</v>
      </c>
      <c r="N1" s="4" t="s">
        <v>69</v>
      </c>
      <c r="O1" s="3" t="s">
        <v>70</v>
      </c>
      <c r="P1" s="5" t="s">
        <v>71</v>
      </c>
      <c r="Q1" s="6" t="s">
        <v>72</v>
      </c>
      <c r="R1" s="3" t="s">
        <v>73</v>
      </c>
      <c r="S1" s="7" t="s">
        <v>74</v>
      </c>
      <c r="U1" s="1" t="s">
        <v>0</v>
      </c>
      <c r="V1" s="1" t="s">
        <v>75</v>
      </c>
      <c r="W1" s="1" t="s">
        <v>2</v>
      </c>
      <c r="X1" s="1" t="s">
        <v>76</v>
      </c>
      <c r="Y1" s="1" t="s">
        <v>69</v>
      </c>
    </row>
    <row r="2">
      <c r="K2" s="3" t="str">
        <f>IFERROR(__xludf.DUMMYFUNCTION("QUERY(A2:I21, ""SELECT * WHERE G &gt; 0.8 ORDER BY G DESC, F DESC"", 0)"),"SKU-007")</f>
        <v>SKU-007</v>
      </c>
      <c r="L2" s="3" t="str">
        <f>IFERROR(__xludf.DUMMYFUNCTION("""COMPUTED_VALUE"""),"Sepatu Sneakers Nike")</f>
        <v>Sepatu Sneakers Nike</v>
      </c>
      <c r="M2" s="3" t="str">
        <f>IFERROR(__xludf.DUMMYFUNCTION("""COMPUTED_VALUE"""),"Fashion")</f>
        <v>Fashion</v>
      </c>
      <c r="N2" s="4">
        <f>IFERROR(__xludf.DUMMYFUNCTION("""COMPUTED_VALUE"""),6.933333333333334)</f>
        <v>6.933333333</v>
      </c>
      <c r="O2" s="5">
        <f>IFERROR(__xludf.DUMMYFUNCTION("""COMPUTED_VALUE"""),15.0)</f>
        <v>15</v>
      </c>
      <c r="P2" s="5">
        <f>IFERROR(__xludf.DUMMYFUNCTION("""COMPUTED_VALUE"""),15.0)</f>
        <v>15</v>
      </c>
      <c r="Q2" s="6">
        <f>IFERROR(__xludf.DUMMYFUNCTION("""COMPUTED_VALUE"""),1.0)</f>
        <v>1</v>
      </c>
      <c r="R2" s="4">
        <f>IFERROR(__xludf.DUMMYFUNCTION("""COMPUTED_VALUE"""),35.0)</f>
        <v>35</v>
      </c>
      <c r="S2" s="4">
        <f>IFERROR(__xludf.DUMMYFUNCTION("""COMPUTED_VALUE"""),5.466666666666667)</f>
        <v>5.466666667</v>
      </c>
      <c r="U2" s="3" t="str">
        <f t="shared" ref="U2:W2" si="1">K2</f>
        <v>SKU-007</v>
      </c>
      <c r="V2" s="3" t="str">
        <f t="shared" si="1"/>
        <v>Sepatu Sneakers Nike</v>
      </c>
      <c r="W2" s="3" t="str">
        <f t="shared" si="1"/>
        <v>Fashion</v>
      </c>
      <c r="X2" s="3" t="str">
        <f t="shared" ref="X2:X9" si="3">TEXTJOIN("",TRUE,P2,"/",O2," (",Q2,")")</f>
        <v>15/15 (100.00%)</v>
      </c>
      <c r="Y2" s="8" t="str">
        <f t="shared" ref="Y2:Y9" si="4">textjoin("", TRUE, N2, "/hari")</f>
        <v>6.9/hari</v>
      </c>
    </row>
    <row r="3">
      <c r="K3" s="3" t="str">
        <f>IFERROR(__xludf.DUMMYFUNCTION("""COMPUTED_VALUE"""),"SKU-005")</f>
        <v>SKU-005</v>
      </c>
      <c r="L3" s="3" t="str">
        <f>IFERROR(__xludf.DUMMYFUNCTION("""COMPUTED_VALUE"""),"Kemeja Formal Pria")</f>
        <v>Kemeja Formal Pria</v>
      </c>
      <c r="M3" s="3" t="str">
        <f>IFERROR(__xludf.DUMMYFUNCTION("""COMPUTED_VALUE"""),"Fashion")</f>
        <v>Fashion</v>
      </c>
      <c r="N3" s="4">
        <f>IFERROR(__xludf.DUMMYFUNCTION("""COMPUTED_VALUE"""),9.285714285714286)</f>
        <v>9.285714286</v>
      </c>
      <c r="O3" s="5">
        <f>IFERROR(__xludf.DUMMYFUNCTION("""COMPUTED_VALUE"""),14.0)</f>
        <v>14</v>
      </c>
      <c r="P3" s="5">
        <f>IFERROR(__xludf.DUMMYFUNCTION("""COMPUTED_VALUE"""),14.0)</f>
        <v>14</v>
      </c>
      <c r="Q3" s="6">
        <f>IFERROR(__xludf.DUMMYFUNCTION("""COMPUTED_VALUE"""),1.0)</f>
        <v>1</v>
      </c>
      <c r="R3" s="4">
        <f>IFERROR(__xludf.DUMMYFUNCTION("""COMPUTED_VALUE"""),50.0)</f>
        <v>50</v>
      </c>
      <c r="S3" s="4">
        <f>IFERROR(__xludf.DUMMYFUNCTION("""COMPUTED_VALUE"""),4.857142857142857)</f>
        <v>4.857142857</v>
      </c>
      <c r="U3" s="3" t="str">
        <f t="shared" ref="U3:W3" si="2">K3</f>
        <v>SKU-005</v>
      </c>
      <c r="V3" s="3" t="str">
        <f t="shared" si="2"/>
        <v>Kemeja Formal Pria</v>
      </c>
      <c r="W3" s="3" t="str">
        <f t="shared" si="2"/>
        <v>Fashion</v>
      </c>
      <c r="X3" s="3" t="str">
        <f t="shared" si="3"/>
        <v>14/14 (100.00%)</v>
      </c>
      <c r="Y3" s="8" t="str">
        <f t="shared" si="4"/>
        <v>9.3/hari</v>
      </c>
    </row>
    <row r="4">
      <c r="K4" s="3" t="str">
        <f>IFERROR(__xludf.DUMMYFUNCTION("""COMPUTED_VALUE"""),"SKU-006")</f>
        <v>SKU-006</v>
      </c>
      <c r="L4" s="3" t="str">
        <f>IFERROR(__xludf.DUMMYFUNCTION("""COMPUTED_VALUE"""),"Dress Casual Wanita")</f>
        <v>Dress Casual Wanita</v>
      </c>
      <c r="M4" s="3" t="str">
        <f>IFERROR(__xludf.DUMMYFUNCTION("""COMPUTED_VALUE"""),"Fashion")</f>
        <v>Fashion</v>
      </c>
      <c r="N4" s="4">
        <f>IFERROR(__xludf.DUMMYFUNCTION("""COMPUTED_VALUE"""),8.285714285714286)</f>
        <v>8.285714286</v>
      </c>
      <c r="O4" s="5">
        <f>IFERROR(__xludf.DUMMYFUNCTION("""COMPUTED_VALUE"""),14.0)</f>
        <v>14</v>
      </c>
      <c r="P4" s="5">
        <f>IFERROR(__xludf.DUMMYFUNCTION("""COMPUTED_VALUE"""),14.0)</f>
        <v>14</v>
      </c>
      <c r="Q4" s="6">
        <f>IFERROR(__xludf.DUMMYFUNCTION("""COMPUTED_VALUE"""),1.0)</f>
        <v>1</v>
      </c>
      <c r="R4" s="4">
        <f>IFERROR(__xludf.DUMMYFUNCTION("""COMPUTED_VALUE"""),45.0)</f>
        <v>45</v>
      </c>
      <c r="S4" s="4">
        <f>IFERROR(__xludf.DUMMYFUNCTION("""COMPUTED_VALUE"""),4.357142857142857)</f>
        <v>4.357142857</v>
      </c>
      <c r="U4" s="3" t="str">
        <f t="shared" ref="U4:W4" si="5">K4</f>
        <v>SKU-006</v>
      </c>
      <c r="V4" s="3" t="str">
        <f t="shared" si="5"/>
        <v>Dress Casual Wanita</v>
      </c>
      <c r="W4" s="3" t="str">
        <f t="shared" si="5"/>
        <v>Fashion</v>
      </c>
      <c r="X4" s="3" t="str">
        <f t="shared" si="3"/>
        <v>14/14 (100.00%)</v>
      </c>
      <c r="Y4" s="8" t="str">
        <f t="shared" si="4"/>
        <v>8.3/hari</v>
      </c>
    </row>
    <row r="5">
      <c r="K5" s="3" t="str">
        <f>IFERROR(__xludf.DUMMYFUNCTION("""COMPUTED_VALUE"""),"SKU-018")</f>
        <v>SKU-018</v>
      </c>
      <c r="L5" s="3" t="str">
        <f>IFERROR(__xludf.DUMMYFUNCTION("""COMPUTED_VALUE"""),"Teh Organik Premium Box")</f>
        <v>Teh Organik Premium Box</v>
      </c>
      <c r="M5" s="3" t="str">
        <f>IFERROR(__xludf.DUMMYFUNCTION("""COMPUTED_VALUE"""),"Food &amp; Beverage")</f>
        <v>Food &amp; Beverage</v>
      </c>
      <c r="N5" s="4">
        <f>IFERROR(__xludf.DUMMYFUNCTION("""COMPUTED_VALUE"""),13.0)</f>
        <v>13</v>
      </c>
      <c r="O5" s="5">
        <f>IFERROR(__xludf.DUMMYFUNCTION("""COMPUTED_VALUE"""),14.0)</f>
        <v>14</v>
      </c>
      <c r="P5" s="5">
        <f>IFERROR(__xludf.DUMMYFUNCTION("""COMPUTED_VALUE"""),14.0)</f>
        <v>14</v>
      </c>
      <c r="Q5" s="6">
        <f>IFERROR(__xludf.DUMMYFUNCTION("""COMPUTED_VALUE"""),1.0)</f>
        <v>1</v>
      </c>
      <c r="R5" s="4">
        <f>IFERROR(__xludf.DUMMYFUNCTION("""COMPUTED_VALUE"""),80.0)</f>
        <v>80</v>
      </c>
      <c r="S5" s="4">
        <f>IFERROR(__xludf.DUMMYFUNCTION("""COMPUTED_VALUE"""),4.214285714285714)</f>
        <v>4.214285714</v>
      </c>
      <c r="U5" s="3" t="str">
        <f t="shared" ref="U5:W5" si="6">K5</f>
        <v>SKU-018</v>
      </c>
      <c r="V5" s="3" t="str">
        <f t="shared" si="6"/>
        <v>Teh Organik Premium Box</v>
      </c>
      <c r="W5" s="3" t="str">
        <f t="shared" si="6"/>
        <v>Food &amp; Beverage</v>
      </c>
      <c r="X5" s="3" t="str">
        <f t="shared" si="3"/>
        <v>14/14 (100.00%)</v>
      </c>
      <c r="Y5" s="8" t="str">
        <f t="shared" si="4"/>
        <v>13.0/hari</v>
      </c>
    </row>
    <row r="6">
      <c r="K6" s="3" t="str">
        <f>IFERROR(__xludf.DUMMYFUNCTION("""COMPUTED_VALUE"""),"SKU-019")</f>
        <v>SKU-019</v>
      </c>
      <c r="L6" s="3" t="str">
        <f>IFERROR(__xludf.DUMMYFUNCTION("""COMPUTED_VALUE"""),"Madu Hutan Asli 500ml")</f>
        <v>Madu Hutan Asli 500ml</v>
      </c>
      <c r="M6" s="3" t="str">
        <f>IFERROR(__xludf.DUMMYFUNCTION("""COMPUTED_VALUE"""),"Food &amp; Beverage")</f>
        <v>Food &amp; Beverage</v>
      </c>
      <c r="N6" s="4">
        <f>IFERROR(__xludf.DUMMYFUNCTION("""COMPUTED_VALUE"""),8.833333333333334)</f>
        <v>8.833333333</v>
      </c>
      <c r="O6" s="5">
        <f>IFERROR(__xludf.DUMMYFUNCTION("""COMPUTED_VALUE"""),12.0)</f>
        <v>12</v>
      </c>
      <c r="P6" s="5">
        <f>IFERROR(__xludf.DUMMYFUNCTION("""COMPUTED_VALUE"""),12.0)</f>
        <v>12</v>
      </c>
      <c r="Q6" s="6">
        <f>IFERROR(__xludf.DUMMYFUNCTION("""COMPUTED_VALUE"""),1.0)</f>
        <v>1</v>
      </c>
      <c r="R6" s="4">
        <f>IFERROR(__xludf.DUMMYFUNCTION("""COMPUTED_VALUE"""),60.0)</f>
        <v>60</v>
      </c>
      <c r="S6" s="4">
        <f>IFERROR(__xludf.DUMMYFUNCTION("""COMPUTED_VALUE"""),5.25)</f>
        <v>5.25</v>
      </c>
      <c r="U6" s="3" t="str">
        <f t="shared" ref="U6:W6" si="7">K6</f>
        <v>SKU-019</v>
      </c>
      <c r="V6" s="3" t="str">
        <f t="shared" si="7"/>
        <v>Madu Hutan Asli 500ml</v>
      </c>
      <c r="W6" s="3" t="str">
        <f t="shared" si="7"/>
        <v>Food &amp; Beverage</v>
      </c>
      <c r="X6" s="3" t="str">
        <f t="shared" si="3"/>
        <v>12/12 (100.00%)</v>
      </c>
      <c r="Y6" s="8" t="str">
        <f t="shared" si="4"/>
        <v>8.8/hari</v>
      </c>
    </row>
    <row r="7">
      <c r="K7" s="3" t="str">
        <f>IFERROR(__xludf.DUMMYFUNCTION("""COMPUTED_VALUE"""),"SKU-008")</f>
        <v>SKU-008</v>
      </c>
      <c r="L7" s="3" t="str">
        <f>IFERROR(__xludf.DUMMYFUNCTION("""COMPUTED_VALUE"""),"Tas Ransel Eiger")</f>
        <v>Tas Ransel Eiger</v>
      </c>
      <c r="M7" s="3" t="str">
        <f>IFERROR(__xludf.DUMMYFUNCTION("""COMPUTED_VALUE"""),"Fashion")</f>
        <v>Fashion</v>
      </c>
      <c r="N7" s="4">
        <f>IFERROR(__xludf.DUMMYFUNCTION("""COMPUTED_VALUE"""),5.857142857142857)</f>
        <v>5.857142857</v>
      </c>
      <c r="O7" s="5">
        <f>IFERROR(__xludf.DUMMYFUNCTION("""COMPUTED_VALUE"""),14.0)</f>
        <v>14</v>
      </c>
      <c r="P7" s="5">
        <f>IFERROR(__xludf.DUMMYFUNCTION("""COMPUTED_VALUE"""),12.0)</f>
        <v>12</v>
      </c>
      <c r="Q7" s="6">
        <f>IFERROR(__xludf.DUMMYFUNCTION("""COMPUTED_VALUE"""),0.8571428571428571)</f>
        <v>0.8571428571</v>
      </c>
      <c r="R7" s="4">
        <f>IFERROR(__xludf.DUMMYFUNCTION("""COMPUTED_VALUE"""),40.0)</f>
        <v>40</v>
      </c>
      <c r="S7" s="4">
        <f>IFERROR(__xludf.DUMMYFUNCTION("""COMPUTED_VALUE"""),6.142857142857143)</f>
        <v>6.142857143</v>
      </c>
      <c r="U7" s="3" t="str">
        <f t="shared" ref="U7:W7" si="8">K7</f>
        <v>SKU-008</v>
      </c>
      <c r="V7" s="3" t="str">
        <f t="shared" si="8"/>
        <v>Tas Ransel Eiger</v>
      </c>
      <c r="W7" s="3" t="str">
        <f t="shared" si="8"/>
        <v>Fashion</v>
      </c>
      <c r="X7" s="3" t="str">
        <f t="shared" si="3"/>
        <v>12/14 (85.71%)</v>
      </c>
      <c r="Y7" s="8" t="str">
        <f t="shared" si="4"/>
        <v>5.9/hari</v>
      </c>
    </row>
    <row r="8">
      <c r="K8" s="3" t="str">
        <f>IFERROR(__xludf.DUMMYFUNCTION("""COMPUTED_VALUE"""),"SKU-017")</f>
        <v>SKU-017</v>
      </c>
      <c r="L8" s="3" t="str">
        <f>IFERROR(__xludf.DUMMYFUNCTION("""COMPUTED_VALUE"""),"Kopi Arabika 250g Pack")</f>
        <v>Kopi Arabika 250g Pack</v>
      </c>
      <c r="M8" s="3" t="str">
        <f>IFERROR(__xludf.DUMMYFUNCTION("""COMPUTED_VALUE"""),"Food &amp; Beverage")</f>
        <v>Food &amp; Beverage</v>
      </c>
      <c r="N8" s="4">
        <f>IFERROR(__xludf.DUMMYFUNCTION("""COMPUTED_VALUE"""),16.285714285714285)</f>
        <v>16.28571429</v>
      </c>
      <c r="O8" s="5">
        <f>IFERROR(__xludf.DUMMYFUNCTION("""COMPUTED_VALUE"""),14.0)</f>
        <v>14</v>
      </c>
      <c r="P8" s="5">
        <f>IFERROR(__xludf.DUMMYFUNCTION("""COMPUTED_VALUE"""),12.0)</f>
        <v>12</v>
      </c>
      <c r="Q8" s="6">
        <f>IFERROR(__xludf.DUMMYFUNCTION("""COMPUTED_VALUE"""),0.8571428571428571)</f>
        <v>0.8571428571</v>
      </c>
      <c r="R8" s="4">
        <f>IFERROR(__xludf.DUMMYFUNCTION("""COMPUTED_VALUE"""),100.0)</f>
        <v>100</v>
      </c>
      <c r="S8" s="4">
        <f>IFERROR(__xludf.DUMMYFUNCTION("""COMPUTED_VALUE"""),4.071428571428571)</f>
        <v>4.071428571</v>
      </c>
      <c r="U8" s="3" t="str">
        <f t="shared" ref="U8:W8" si="9">K8</f>
        <v>SKU-017</v>
      </c>
      <c r="V8" s="3" t="str">
        <f t="shared" si="9"/>
        <v>Kopi Arabika 250g Pack</v>
      </c>
      <c r="W8" s="3" t="str">
        <f t="shared" si="9"/>
        <v>Food &amp; Beverage</v>
      </c>
      <c r="X8" s="3" t="str">
        <f t="shared" si="3"/>
        <v>12/14 (85.71%)</v>
      </c>
      <c r="Y8" s="8" t="str">
        <f t="shared" si="4"/>
        <v>16.3/hari</v>
      </c>
    </row>
    <row r="9">
      <c r="K9" s="3" t="str">
        <f>IFERROR(__xludf.DUMMYFUNCTION("""COMPUTED_VALUE"""),"SKU-020")</f>
        <v>SKU-020</v>
      </c>
      <c r="L9" s="3" t="str">
        <f>IFERROR(__xludf.DUMMYFUNCTION("""COMPUTED_VALUE"""),"Snack Granola Mix 500g")</f>
        <v>Snack Granola Mix 500g</v>
      </c>
      <c r="M9" s="3" t="str">
        <f>IFERROR(__xludf.DUMMYFUNCTION("""COMPUTED_VALUE"""),"Food &amp; Beverage")</f>
        <v>Food &amp; Beverage</v>
      </c>
      <c r="N9" s="4">
        <f>IFERROR(__xludf.DUMMYFUNCTION("""COMPUTED_VALUE"""),19.428571428571427)</f>
        <v>19.42857143</v>
      </c>
      <c r="O9" s="5">
        <f>IFERROR(__xludf.DUMMYFUNCTION("""COMPUTED_VALUE"""),14.0)</f>
        <v>14</v>
      </c>
      <c r="P9" s="5">
        <f>IFERROR(__xludf.DUMMYFUNCTION("""COMPUTED_VALUE"""),12.0)</f>
        <v>12</v>
      </c>
      <c r="Q9" s="6">
        <f>IFERROR(__xludf.DUMMYFUNCTION("""COMPUTED_VALUE"""),0.8571428571428571)</f>
        <v>0.8571428571</v>
      </c>
      <c r="R9" s="4">
        <f>IFERROR(__xludf.DUMMYFUNCTION("""COMPUTED_VALUE"""),120.0)</f>
        <v>120</v>
      </c>
      <c r="S9" s="4">
        <f>IFERROR(__xludf.DUMMYFUNCTION("""COMPUTED_VALUE"""),5.357142857142857)</f>
        <v>5.357142857</v>
      </c>
      <c r="U9" s="3" t="str">
        <f t="shared" ref="U9:W9" si="10">K9</f>
        <v>SKU-020</v>
      </c>
      <c r="V9" s="3" t="str">
        <f t="shared" si="10"/>
        <v>Snack Granola Mix 500g</v>
      </c>
      <c r="W9" s="3" t="str">
        <f t="shared" si="10"/>
        <v>Food &amp; Beverage</v>
      </c>
      <c r="X9" s="3" t="str">
        <f t="shared" si="3"/>
        <v>12/14 (85.71%)</v>
      </c>
      <c r="Y9" s="8" t="str">
        <f t="shared" si="4"/>
        <v>19.4/hari</v>
      </c>
    </row>
    <row r="10"/>
    <row r="11">
      <c r="K11" s="1" t="s">
        <v>77</v>
      </c>
    </row>
    <row r="12"/>
    <row r="13">
      <c r="U13" s="1" t="s">
        <v>0</v>
      </c>
      <c r="V13" s="1" t="s">
        <v>75</v>
      </c>
      <c r="W13" s="1" t="s">
        <v>78</v>
      </c>
      <c r="X13" s="1" t="s">
        <v>79</v>
      </c>
      <c r="Y13" s="1" t="s">
        <v>80</v>
      </c>
      <c r="Z13" s="1" t="s">
        <v>81</v>
      </c>
      <c r="AA13" s="1" t="s">
        <v>82</v>
      </c>
    </row>
    <row r="14">
      <c r="U14" s="3" t="str">
        <f t="shared" ref="U14:V14" si="11">U2</f>
        <v>SKU-007</v>
      </c>
      <c r="V14" s="3" t="str">
        <f t="shared" si="11"/>
        <v>Sepatu Sneakers Nike</v>
      </c>
      <c r="W14" s="9">
        <f t="shared" ref="W14:W21" si="13">N2</f>
        <v>6.933333333</v>
      </c>
      <c r="X14" s="5">
        <f t="shared" ref="X14:X21" si="14">R2</f>
        <v>35</v>
      </c>
      <c r="Y14" s="10" t="str">
        <f t="shared" ref="Y14:Y22" si="15">textjoin("", TRUE, round(X14/W14,2),"/hari")</f>
        <v>5.05/hari</v>
      </c>
      <c r="Z14" s="3" t="str">
        <f t="shared" ref="Z14:Z21" si="16">textjoin("",TRUE,"~",S2," hari")</f>
        <v>~5.5 hari</v>
      </c>
      <c r="AA14" s="1" t="s">
        <v>83</v>
      </c>
    </row>
    <row r="15">
      <c r="U15" s="3" t="str">
        <f t="shared" ref="U15:V15" si="12">U3</f>
        <v>SKU-005</v>
      </c>
      <c r="V15" s="3" t="str">
        <f t="shared" si="12"/>
        <v>Kemeja Formal Pria</v>
      </c>
      <c r="W15" s="9">
        <f t="shared" si="13"/>
        <v>9.285714286</v>
      </c>
      <c r="X15" s="5">
        <f t="shared" si="14"/>
        <v>50</v>
      </c>
      <c r="Y15" s="10" t="str">
        <f t="shared" si="15"/>
        <v>5.38/hari</v>
      </c>
      <c r="Z15" s="3" t="str">
        <f t="shared" si="16"/>
        <v>~4.9 hari</v>
      </c>
      <c r="AA15" s="1" t="s">
        <v>83</v>
      </c>
    </row>
    <row r="16">
      <c r="U16" s="3" t="str">
        <f t="shared" ref="U16:V16" si="17">U4</f>
        <v>SKU-006</v>
      </c>
      <c r="V16" s="3" t="str">
        <f t="shared" si="17"/>
        <v>Dress Casual Wanita</v>
      </c>
      <c r="W16" s="9">
        <f t="shared" si="13"/>
        <v>8.285714286</v>
      </c>
      <c r="X16" s="5">
        <f t="shared" si="14"/>
        <v>45</v>
      </c>
      <c r="Y16" s="10" t="str">
        <f t="shared" si="15"/>
        <v>5.43/hari</v>
      </c>
      <c r="Z16" s="3" t="str">
        <f t="shared" si="16"/>
        <v>~4.4 hari</v>
      </c>
      <c r="AA16" s="1" t="s">
        <v>83</v>
      </c>
    </row>
    <row r="17">
      <c r="U17" s="3" t="str">
        <f t="shared" ref="U17:V17" si="18">U5</f>
        <v>SKU-018</v>
      </c>
      <c r="V17" s="3" t="str">
        <f t="shared" si="18"/>
        <v>Teh Organik Premium Box</v>
      </c>
      <c r="W17" s="9">
        <f t="shared" si="13"/>
        <v>13</v>
      </c>
      <c r="X17" s="5">
        <f t="shared" si="14"/>
        <v>80</v>
      </c>
      <c r="Y17" s="10" t="str">
        <f t="shared" si="15"/>
        <v>6.15/hari</v>
      </c>
      <c r="Z17" s="3" t="str">
        <f t="shared" si="16"/>
        <v>~4.2 hari</v>
      </c>
      <c r="AA17" s="1" t="s">
        <v>83</v>
      </c>
    </row>
    <row r="18">
      <c r="U18" s="3" t="str">
        <f t="shared" ref="U18:V18" si="19">U6</f>
        <v>SKU-019</v>
      </c>
      <c r="V18" s="3" t="str">
        <f t="shared" si="19"/>
        <v>Madu Hutan Asli 500ml</v>
      </c>
      <c r="W18" s="9">
        <f t="shared" si="13"/>
        <v>8.833333333</v>
      </c>
      <c r="X18" s="5">
        <f t="shared" si="14"/>
        <v>60</v>
      </c>
      <c r="Y18" s="10" t="str">
        <f t="shared" si="15"/>
        <v>6.79/hari</v>
      </c>
      <c r="Z18" s="3" t="str">
        <f t="shared" si="16"/>
        <v>~5.3 hari</v>
      </c>
      <c r="AA18" s="1" t="s">
        <v>83</v>
      </c>
    </row>
    <row r="19">
      <c r="U19" s="3" t="str">
        <f t="shared" ref="U19:V19" si="20">U7</f>
        <v>SKU-008</v>
      </c>
      <c r="V19" s="3" t="str">
        <f t="shared" si="20"/>
        <v>Tas Ransel Eiger</v>
      </c>
      <c r="W19" s="9">
        <f t="shared" si="13"/>
        <v>5.857142857</v>
      </c>
      <c r="X19" s="5">
        <f t="shared" si="14"/>
        <v>40</v>
      </c>
      <c r="Y19" s="10" t="str">
        <f t="shared" si="15"/>
        <v>6.83/hari</v>
      </c>
      <c r="Z19" s="3" t="str">
        <f t="shared" si="16"/>
        <v>~6.1 hari</v>
      </c>
      <c r="AA19" s="1" t="s">
        <v>83</v>
      </c>
    </row>
    <row r="20">
      <c r="U20" s="3" t="str">
        <f t="shared" ref="U20:V20" si="21">U8</f>
        <v>SKU-017</v>
      </c>
      <c r="V20" s="3" t="str">
        <f t="shared" si="21"/>
        <v>Kopi Arabika 250g Pack</v>
      </c>
      <c r="W20" s="9">
        <f t="shared" si="13"/>
        <v>16.28571429</v>
      </c>
      <c r="X20" s="5">
        <f t="shared" si="14"/>
        <v>100</v>
      </c>
      <c r="Y20" s="10" t="str">
        <f t="shared" si="15"/>
        <v>6.14/hari</v>
      </c>
      <c r="Z20" s="3" t="str">
        <f t="shared" si="16"/>
        <v>~4.1 hari</v>
      </c>
      <c r="AA20" s="1" t="s">
        <v>83</v>
      </c>
    </row>
    <row r="21">
      <c r="U21" s="3" t="str">
        <f t="shared" ref="U21:V21" si="22">U9</f>
        <v>SKU-020</v>
      </c>
      <c r="V21" s="3" t="str">
        <f t="shared" si="22"/>
        <v>Snack Granola Mix 500g</v>
      </c>
      <c r="W21" s="9">
        <f t="shared" si="13"/>
        <v>19.42857143</v>
      </c>
      <c r="X21" s="5">
        <f t="shared" si="14"/>
        <v>120</v>
      </c>
      <c r="Y21" s="10" t="str">
        <f t="shared" si="15"/>
        <v>6.18/hari</v>
      </c>
      <c r="Z21" s="3" t="str">
        <f t="shared" si="16"/>
        <v>~5.4 hari</v>
      </c>
      <c r="AA21" s="1" t="s">
        <v>83</v>
      </c>
    </row>
    <row r="22">
      <c r="U22" s="3" t="str">
        <f t="shared" ref="U22:V22" si="23">A14</f>
        <v>SKU-013</v>
      </c>
      <c r="V22" s="3" t="str">
        <f t="shared" si="23"/>
        <v>Skincare Set Whitelab</v>
      </c>
      <c r="W22" s="4">
        <f>D14</f>
        <v>2.8</v>
      </c>
      <c r="X22" s="4">
        <f>H14</f>
        <v>40</v>
      </c>
      <c r="Y22" s="10" t="str">
        <f t="shared" si="15"/>
        <v>14.29/hari</v>
      </c>
      <c r="Z22" s="3" t="str">
        <f>textjoin("",TRUE,"~",I14," hari")</f>
        <v>~5.0 hari</v>
      </c>
      <c r="AA22" s="1" t="s">
        <v>84</v>
      </c>
    </row>
    <row r="23">
      <c r="F23" s="5"/>
      <c r="G23" s="6"/>
      <c r="I23" s="7"/>
      <c r="U23" s="3" t="str">
        <f>U11</f>
        <v/>
      </c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31">
      <c r="G31" s="12" t="str">
        <f t="shared" ref="G31:K31" si="24">A31</f>
        <v>SupplierID</v>
      </c>
      <c r="H31" s="12" t="str">
        <f t="shared" si="24"/>
        <v>AVERAGE of LeadTime</v>
      </c>
      <c r="I31" s="12" t="str">
        <f t="shared" si="24"/>
        <v>STDEV of LeadTime</v>
      </c>
      <c r="J31" s="12" t="str">
        <f t="shared" si="24"/>
        <v>MIN of LeadTime</v>
      </c>
      <c r="K31" s="12" t="str">
        <f t="shared" si="24"/>
        <v>MAX of LeadTime</v>
      </c>
    </row>
    <row r="32">
      <c r="G32" s="3" t="str">
        <f>IFERROR(__xludf.DUMMYFUNCTION("QUERY(A32:E41, ""SELECT * ORDER BY B DESC"", 0)"),"SUP_EL02")</f>
        <v>SUP_EL02</v>
      </c>
      <c r="H32" s="13">
        <f>IFERROR(__xludf.DUMMYFUNCTION("""COMPUTED_VALUE"""),13.925925925925926)</f>
        <v>13.92592593</v>
      </c>
      <c r="I32" s="13">
        <f>IFERROR(__xludf.DUMMYFUNCTION("""COMPUTED_VALUE"""),4.556701961236083)</f>
        <v>4.556701961</v>
      </c>
      <c r="J32" s="14">
        <f>IFERROR(__xludf.DUMMYFUNCTION("""COMPUTED_VALUE"""),7.0)</f>
        <v>7</v>
      </c>
      <c r="K32" s="14">
        <f>IFERROR(__xludf.DUMMYFUNCTION("""COMPUTED_VALUE"""),23.0)</f>
        <v>23</v>
      </c>
    </row>
    <row r="33">
      <c r="G33" s="3" t="str">
        <f>IFERROR(__xludf.DUMMYFUNCTION("""COMPUTED_VALUE"""),"SUP_HM01")</f>
        <v>SUP_HM01</v>
      </c>
      <c r="H33" s="13">
        <f>IFERROR(__xludf.DUMMYFUNCTION("""COMPUTED_VALUE"""),8.586206896551724)</f>
        <v>8.586206897</v>
      </c>
      <c r="I33" s="13">
        <f>IFERROR(__xludf.DUMMYFUNCTION("""COMPUTED_VALUE"""),1.2397361867784138)</f>
        <v>1.239736187</v>
      </c>
      <c r="J33" s="14">
        <f>IFERROR(__xludf.DUMMYFUNCTION("""COMPUTED_VALUE"""),6.0)</f>
        <v>6</v>
      </c>
      <c r="K33" s="14">
        <f>IFERROR(__xludf.DUMMYFUNCTION("""COMPUTED_VALUE"""),10.0)</f>
        <v>10</v>
      </c>
    </row>
    <row r="34">
      <c r="G34" s="3" t="str">
        <f>IFERROR(__xludf.DUMMYFUNCTION("""COMPUTED_VALUE"""),"SUP_HM02")</f>
        <v>SUP_HM02</v>
      </c>
      <c r="H34" s="13">
        <f>IFERROR(__xludf.DUMMYFUNCTION("""COMPUTED_VALUE"""),7.37037037037037)</f>
        <v>7.37037037</v>
      </c>
      <c r="I34" s="13">
        <f>IFERROR(__xludf.DUMMYFUNCTION("""COMPUTED_VALUE"""),2.1864644476018316)</f>
        <v>2.186464448</v>
      </c>
      <c r="J34" s="14">
        <f>IFERROR(__xludf.DUMMYFUNCTION("""COMPUTED_VALUE"""),4.0)</f>
        <v>4</v>
      </c>
      <c r="K34" s="14">
        <f>IFERROR(__xludf.DUMMYFUNCTION("""COMPUTED_VALUE"""),10.0)</f>
        <v>10</v>
      </c>
    </row>
    <row r="35">
      <c r="G35" s="3" t="str">
        <f>IFERROR(__xludf.DUMMYFUNCTION("""COMPUTED_VALUE"""),"SUP_EL01")</f>
        <v>SUP_EL01</v>
      </c>
      <c r="H35" s="13">
        <f>IFERROR(__xludf.DUMMYFUNCTION("""COMPUTED_VALUE"""),6.555555555555555)</f>
        <v>6.555555556</v>
      </c>
      <c r="I35" s="13">
        <f>IFERROR(__xludf.DUMMYFUNCTION("""COMPUTED_VALUE"""),1.310705427603288)</f>
        <v>1.310705428</v>
      </c>
      <c r="J35" s="14">
        <f>IFERROR(__xludf.DUMMYFUNCTION("""COMPUTED_VALUE"""),5.0)</f>
        <v>5</v>
      </c>
      <c r="K35" s="14">
        <f>IFERROR(__xludf.DUMMYFUNCTION("""COMPUTED_VALUE"""),9.0)</f>
        <v>9</v>
      </c>
    </row>
    <row r="36">
      <c r="G36" s="3" t="str">
        <f>IFERROR(__xludf.DUMMYFUNCTION("""COMPUTED_VALUE"""),"SUP_BT02")</f>
        <v>SUP_BT02</v>
      </c>
      <c r="H36" s="13">
        <f>IFERROR(__xludf.DUMMYFUNCTION("""COMPUTED_VALUE"""),6.269230769230769)</f>
        <v>6.269230769</v>
      </c>
      <c r="I36" s="13">
        <f>IFERROR(__xludf.DUMMYFUNCTION("""COMPUTED_VALUE"""),1.5889038311412635)</f>
        <v>1.588903831</v>
      </c>
      <c r="J36" s="14">
        <f>IFERROR(__xludf.DUMMYFUNCTION("""COMPUTED_VALUE"""),4.0)</f>
        <v>4</v>
      </c>
      <c r="K36" s="14">
        <f>IFERROR(__xludf.DUMMYFUNCTION("""COMPUTED_VALUE"""),8.0)</f>
        <v>8</v>
      </c>
    </row>
    <row r="37">
      <c r="G37" s="3" t="str">
        <f>IFERROR(__xludf.DUMMYFUNCTION("""COMPUTED_VALUE"""),"SUP_FA02")</f>
        <v>SUP_FA02</v>
      </c>
      <c r="H37" s="13">
        <f>IFERROR(__xludf.DUMMYFUNCTION("""COMPUTED_VALUE"""),5.793103448275862)</f>
        <v>5.793103448</v>
      </c>
      <c r="I37" s="13">
        <f>IFERROR(__xludf.DUMMYFUNCTION("""COMPUTED_VALUE"""),1.8396294336637393)</f>
        <v>1.839629434</v>
      </c>
      <c r="J37" s="14">
        <f>IFERROR(__xludf.DUMMYFUNCTION("""COMPUTED_VALUE"""),3.0)</f>
        <v>3</v>
      </c>
      <c r="K37" s="14">
        <f>IFERROR(__xludf.DUMMYFUNCTION("""COMPUTED_VALUE"""),9.0)</f>
        <v>9</v>
      </c>
    </row>
    <row r="38">
      <c r="G38" s="3" t="str">
        <f>IFERROR(__xludf.DUMMYFUNCTION("""COMPUTED_VALUE"""),"SUP_FB02")</f>
        <v>SUP_FB02</v>
      </c>
      <c r="H38" s="13">
        <f>IFERROR(__xludf.DUMMYFUNCTION("""COMPUTED_VALUE"""),5.3076923076923075)</f>
        <v>5.307692308</v>
      </c>
      <c r="I38" s="13">
        <f>IFERROR(__xludf.DUMMYFUNCTION("""COMPUTED_VALUE"""),1.2575923272422036)</f>
        <v>1.257592327</v>
      </c>
      <c r="J38" s="14">
        <f>IFERROR(__xludf.DUMMYFUNCTION("""COMPUTED_VALUE"""),3.0)</f>
        <v>3</v>
      </c>
      <c r="K38" s="14">
        <f>IFERROR(__xludf.DUMMYFUNCTION("""COMPUTED_VALUE"""),7.0)</f>
        <v>7</v>
      </c>
    </row>
    <row r="39">
      <c r="G39" s="3" t="str">
        <f>IFERROR(__xludf.DUMMYFUNCTION("""COMPUTED_VALUE"""),"SUP_BT01")</f>
        <v>SUP_BT01</v>
      </c>
      <c r="H39" s="13">
        <f>IFERROR(__xludf.DUMMYFUNCTION("""COMPUTED_VALUE"""),4.9655172413793105)</f>
        <v>4.965517241</v>
      </c>
      <c r="I39" s="13">
        <f>IFERROR(__xludf.DUMMYFUNCTION("""COMPUTED_VALUE"""),0.8653140891643936)</f>
        <v>0.8653140892</v>
      </c>
      <c r="J39" s="14">
        <f>IFERROR(__xludf.DUMMYFUNCTION("""COMPUTED_VALUE"""),4.0)</f>
        <v>4</v>
      </c>
      <c r="K39" s="14">
        <f>IFERROR(__xludf.DUMMYFUNCTION("""COMPUTED_VALUE"""),6.0)</f>
        <v>6</v>
      </c>
    </row>
    <row r="40">
      <c r="G40" s="3" t="str">
        <f>IFERROR(__xludf.DUMMYFUNCTION("""COMPUTED_VALUE"""),"SUP_FA01")</f>
        <v>SUP_FA01</v>
      </c>
      <c r="H40" s="13">
        <f>IFERROR(__xludf.DUMMYFUNCTION("""COMPUTED_VALUE"""),4.607142857142857)</f>
        <v>4.607142857</v>
      </c>
      <c r="I40" s="13">
        <f>IFERROR(__xludf.DUMMYFUNCTION("""COMPUTED_VALUE"""),1.4991179064218054)</f>
        <v>1.499117906</v>
      </c>
      <c r="J40" s="14">
        <f>IFERROR(__xludf.DUMMYFUNCTION("""COMPUTED_VALUE"""),3.0)</f>
        <v>3</v>
      </c>
      <c r="K40" s="14">
        <f>IFERROR(__xludf.DUMMYFUNCTION("""COMPUTED_VALUE"""),7.0)</f>
        <v>7</v>
      </c>
    </row>
    <row r="41">
      <c r="G41" s="3" t="str">
        <f>IFERROR(__xludf.DUMMYFUNCTION("""COMPUTED_VALUE"""),"SUP_FB01")</f>
        <v>SUP_FB01</v>
      </c>
      <c r="H41" s="13">
        <f>IFERROR(__xludf.DUMMYFUNCTION("""COMPUTED_VALUE"""),4.142857142857143)</f>
        <v>4.142857143</v>
      </c>
      <c r="I41" s="13">
        <f>IFERROR(__xludf.DUMMYFUNCTION("""COMPUTED_VALUE"""),0.7052336473499384)</f>
        <v>0.7052336473</v>
      </c>
      <c r="J41" s="14">
        <f>IFERROR(__xludf.DUMMYFUNCTION("""COMPUTED_VALUE"""),3.0)</f>
        <v>3</v>
      </c>
      <c r="K41" s="14">
        <f>IFERROR(__xludf.DUMMYFUNCTION("""COMPUTED_VALUE"""),5.0)</f>
        <v>5</v>
      </c>
    </row>
    <row r="42"/>
    <row r="44">
      <c r="G44" s="1" t="s">
        <v>90</v>
      </c>
      <c r="H44" s="1" t="s">
        <v>91</v>
      </c>
      <c r="I44" s="15" t="s">
        <v>92</v>
      </c>
      <c r="J44" s="1" t="s">
        <v>93</v>
      </c>
      <c r="K44" s="1" t="s">
        <v>94</v>
      </c>
    </row>
    <row r="45">
      <c r="G45" s="6" t="s">
        <v>27</v>
      </c>
      <c r="H45" s="4">
        <v>13.925925925925926</v>
      </c>
      <c r="I45" s="7">
        <v>4.556701961236083</v>
      </c>
      <c r="J45" s="3" t="s">
        <v>95</v>
      </c>
      <c r="K45" s="1" t="s">
        <v>96</v>
      </c>
    </row>
    <row r="47">
      <c r="G47" s="3" t="str">
        <f t="shared" ref="G47:G58" si="25">G31</f>
        <v>SupplierID</v>
      </c>
      <c r="H47" s="1" t="s">
        <v>91</v>
      </c>
      <c r="I47" s="3" t="s">
        <v>86</v>
      </c>
      <c r="J47" s="1" t="s">
        <v>93</v>
      </c>
      <c r="K47" s="16" t="s">
        <v>94</v>
      </c>
    </row>
    <row r="48">
      <c r="G48" s="3" t="str">
        <f t="shared" si="25"/>
        <v>SUP_EL02</v>
      </c>
      <c r="H48" s="13">
        <f t="shared" ref="H48:I48" si="26">H32</f>
        <v>13.92592593</v>
      </c>
      <c r="I48" s="13">
        <f t="shared" si="26"/>
        <v>4.556701961</v>
      </c>
      <c r="J48" s="8" t="str">
        <f t="shared" ref="J48:J57" si="28">TEXTJOIN("", TRUE,J32,"-",K32," hari")</f>
        <v>7-23 hari</v>
      </c>
      <c r="K48" s="16" t="s">
        <v>96</v>
      </c>
    </row>
    <row r="49">
      <c r="G49" s="3" t="str">
        <f t="shared" si="25"/>
        <v>SUP_HM01</v>
      </c>
      <c r="H49" s="13">
        <f t="shared" ref="H49:I49" si="27">H33</f>
        <v>8.586206897</v>
      </c>
      <c r="I49" s="13">
        <f t="shared" si="27"/>
        <v>1.239736187</v>
      </c>
      <c r="J49" s="8" t="str">
        <f t="shared" si="28"/>
        <v>6-10 hari</v>
      </c>
      <c r="K49" s="16" t="s">
        <v>97</v>
      </c>
    </row>
    <row r="50">
      <c r="G50" s="3" t="str">
        <f t="shared" si="25"/>
        <v>SUP_HM02</v>
      </c>
      <c r="H50" s="13">
        <f t="shared" ref="H50:I50" si="29">H34</f>
        <v>7.37037037</v>
      </c>
      <c r="I50" s="13">
        <f t="shared" si="29"/>
        <v>2.186464448</v>
      </c>
      <c r="J50" s="8" t="str">
        <f t="shared" si="28"/>
        <v>4-10 hari</v>
      </c>
      <c r="K50" s="16" t="s">
        <v>97</v>
      </c>
    </row>
    <row r="51">
      <c r="G51" s="3" t="str">
        <f t="shared" si="25"/>
        <v>SUP_EL01</v>
      </c>
      <c r="H51" s="13">
        <f t="shared" ref="H51:I51" si="30">H35</f>
        <v>6.555555556</v>
      </c>
      <c r="I51" s="13">
        <f t="shared" si="30"/>
        <v>1.310705428</v>
      </c>
      <c r="J51" s="8" t="str">
        <f t="shared" si="28"/>
        <v>5-9 hari</v>
      </c>
      <c r="K51" s="16" t="s">
        <v>97</v>
      </c>
    </row>
    <row r="52">
      <c r="G52" s="3" t="str">
        <f t="shared" si="25"/>
        <v>SUP_BT02</v>
      </c>
      <c r="H52" s="13">
        <f t="shared" ref="H52:I52" si="31">H36</f>
        <v>6.269230769</v>
      </c>
      <c r="I52" s="13">
        <f t="shared" si="31"/>
        <v>1.588903831</v>
      </c>
      <c r="J52" s="8" t="str">
        <f t="shared" si="28"/>
        <v>4-8 hari</v>
      </c>
      <c r="K52" s="16" t="s">
        <v>97</v>
      </c>
    </row>
    <row r="53">
      <c r="G53" s="3" t="str">
        <f t="shared" si="25"/>
        <v>SUP_FA02</v>
      </c>
      <c r="H53" s="13">
        <f t="shared" ref="H53:I53" si="32">H37</f>
        <v>5.793103448</v>
      </c>
      <c r="I53" s="13">
        <f t="shared" si="32"/>
        <v>1.839629434</v>
      </c>
      <c r="J53" s="8" t="str">
        <f t="shared" si="28"/>
        <v>3-9 hari</v>
      </c>
      <c r="K53" s="16" t="s">
        <v>97</v>
      </c>
    </row>
    <row r="54">
      <c r="G54" s="3" t="str">
        <f t="shared" si="25"/>
        <v>SUP_FB02</v>
      </c>
      <c r="H54" s="13">
        <f t="shared" ref="H54:I54" si="33">H38</f>
        <v>5.307692308</v>
      </c>
      <c r="I54" s="13">
        <f t="shared" si="33"/>
        <v>1.257592327</v>
      </c>
      <c r="J54" s="8" t="str">
        <f t="shared" si="28"/>
        <v>3-7 hari</v>
      </c>
      <c r="K54" s="16" t="s">
        <v>97</v>
      </c>
    </row>
    <row r="55">
      <c r="G55" s="3" t="str">
        <f t="shared" si="25"/>
        <v>SUP_BT01</v>
      </c>
      <c r="H55" s="13">
        <f t="shared" ref="H55:I55" si="34">H39</f>
        <v>4.965517241</v>
      </c>
      <c r="I55" s="13">
        <f t="shared" si="34"/>
        <v>0.8653140892</v>
      </c>
      <c r="J55" s="8" t="str">
        <f t="shared" si="28"/>
        <v>4-6 hari</v>
      </c>
      <c r="K55" s="16" t="s">
        <v>97</v>
      </c>
    </row>
    <row r="56">
      <c r="G56" s="3" t="str">
        <f t="shared" si="25"/>
        <v>SUP_FA01</v>
      </c>
      <c r="H56" s="13">
        <f t="shared" ref="H56:I56" si="35">H40</f>
        <v>4.607142857</v>
      </c>
      <c r="I56" s="13">
        <f t="shared" si="35"/>
        <v>1.499117906</v>
      </c>
      <c r="J56" s="8" t="str">
        <f t="shared" si="28"/>
        <v>3-7 hari</v>
      </c>
      <c r="K56" s="16" t="s">
        <v>97</v>
      </c>
    </row>
    <row r="57">
      <c r="G57" s="3" t="str">
        <f t="shared" si="25"/>
        <v>SUP_FB01</v>
      </c>
      <c r="H57" s="13">
        <f t="shared" ref="H57:I57" si="36">H41</f>
        <v>4.142857143</v>
      </c>
      <c r="I57" s="13">
        <f t="shared" si="36"/>
        <v>0.7052336473</v>
      </c>
      <c r="J57" s="8" t="str">
        <f t="shared" si="28"/>
        <v>3-5 hari</v>
      </c>
      <c r="K57" s="16" t="s">
        <v>97</v>
      </c>
    </row>
    <row r="58">
      <c r="G58" s="3" t="str">
        <f t="shared" si="25"/>
        <v/>
      </c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9">
      <c r="F69" s="1" t="s">
        <v>2</v>
      </c>
      <c r="G69" s="1" t="s">
        <v>100</v>
      </c>
      <c r="H69" s="1" t="s">
        <v>94</v>
      </c>
    </row>
    <row r="70">
      <c r="D70" s="13">
        <f t="shared" ref="D70:D74" si="37">B70/C70</f>
        <v>4.316139241</v>
      </c>
      <c r="F70" s="3" t="str">
        <f t="shared" ref="F70:F74" si="38">A70</f>
        <v>Beauty</v>
      </c>
      <c r="G70" s="8" t="str">
        <f t="shared" ref="G70:G74" si="39">textjoin("",TRUE,D70,"x")</f>
        <v>4.3x</v>
      </c>
      <c r="H70" s="1" t="s">
        <v>101</v>
      </c>
    </row>
    <row r="71">
      <c r="D71" s="13">
        <f t="shared" si="37"/>
        <v>0.8783333333</v>
      </c>
      <c r="F71" s="3" t="str">
        <f t="shared" si="38"/>
        <v>Electronics</v>
      </c>
      <c r="G71" s="8" t="str">
        <f t="shared" si="39"/>
        <v>0.9x</v>
      </c>
      <c r="H71" s="1" t="s">
        <v>102</v>
      </c>
    </row>
    <row r="72">
      <c r="D72" s="13">
        <f t="shared" si="37"/>
        <v>0.3739130435</v>
      </c>
      <c r="F72" s="3" t="str">
        <f t="shared" si="38"/>
        <v>Fashion</v>
      </c>
      <c r="G72" s="8" t="str">
        <f t="shared" si="39"/>
        <v>0.4x</v>
      </c>
      <c r="H72" s="1" t="s">
        <v>103</v>
      </c>
    </row>
    <row r="73">
      <c r="D73" s="13">
        <f t="shared" si="37"/>
        <v>0.4459349593</v>
      </c>
      <c r="F73" s="3" t="str">
        <f t="shared" si="38"/>
        <v>Food &amp; Beverage</v>
      </c>
      <c r="G73" s="8" t="str">
        <f t="shared" si="39"/>
        <v>0.4x</v>
      </c>
      <c r="H73" s="1" t="s">
        <v>103</v>
      </c>
    </row>
    <row r="74">
      <c r="D74" s="13">
        <f t="shared" si="37"/>
        <v>1.481422925</v>
      </c>
      <c r="F74" s="3" t="str">
        <f t="shared" si="38"/>
        <v>Home &amp; Living</v>
      </c>
      <c r="G74" s="8" t="str">
        <f t="shared" si="39"/>
        <v>1.5x</v>
      </c>
      <c r="H74" s="1" t="s">
        <v>104</v>
      </c>
    </row>
    <row r="81">
      <c r="G81" s="17"/>
    </row>
    <row r="82">
      <c r="G82" s="17" t="s">
        <v>105</v>
      </c>
      <c r="H82" s="1" t="s">
        <v>106</v>
      </c>
      <c r="I82" s="1" t="s">
        <v>107</v>
      </c>
      <c r="J82" s="1" t="s">
        <v>108</v>
      </c>
      <c r="K82" s="15" t="s">
        <v>109</v>
      </c>
    </row>
    <row r="83">
      <c r="F83" s="18">
        <f>MAXIFS('Data Clean (Live)'!K:K, 'Data Clean (Live)'!A:A, A83)</f>
        <v>46082</v>
      </c>
      <c r="G83" s="5">
        <f t="array" ref="G83">XLOOKUP(1, ('Data Clean (Live)'!A2:A1000=A83) * ('Data Clean (Live)'!K2:K1000=F83), 'Data Clean (Live)'!D2:D1000)</f>
        <v>153</v>
      </c>
      <c r="H83" s="5">
        <f t="array" ref="H83">XLOOKUP(1, ('Data Clean (Live)'!A2:A1000=A83) * ('Data Clean (Live)'!K2:K1000=F83), 'Data Clean (Live)'!E2:E1000)</f>
        <v>40</v>
      </c>
      <c r="I83" s="7">
        <f t="shared" ref="I83:I86" si="40">G83/H83</f>
        <v>3.825</v>
      </c>
      <c r="J83" s="19">
        <f t="array" ref="J83">XLOOKUP(1, ('Data Clean (Live)'!A2:A1000=A83) * ('Data Clean (Live)'!K2:K1000=F83), 'Data Clean (Live)'!J2:J1000)</f>
        <v>550000</v>
      </c>
      <c r="K83" s="19">
        <f t="shared" ref="K83:K86" si="41">J83*G83</f>
        <v>84150000</v>
      </c>
    </row>
    <row r="84">
      <c r="F84" s="18">
        <f>MAXIFS('Data Clean (Live)'!K:K, 'Data Clean (Live)'!A:A, A84)</f>
        <v>46082</v>
      </c>
      <c r="G84" s="5">
        <f t="array" ref="G84">XLOOKUP(1, ('Data Clean (Live)'!A3:A1000=A84) * ('Data Clean (Live)'!K3:K1000=F84), 'Data Clean (Live)'!D3:D1000)</f>
        <v>268</v>
      </c>
      <c r="H84" s="5">
        <f t="array" ref="H84">XLOOKUP(1, ('Data Clean (Live)'!A3:A1000=A84) * ('Data Clean (Live)'!K3:K1000=F84), 'Data Clean (Live)'!E3:E1000)</f>
        <v>80</v>
      </c>
      <c r="I84" s="7">
        <f t="shared" si="40"/>
        <v>3.35</v>
      </c>
      <c r="J84" s="19">
        <f t="array" ref="J84">XLOOKUP(1, ('Data Clean (Live)'!A3:A1000=A84) * ('Data Clean (Live)'!K3:K1000=F84), 'Data Clean (Live)'!J3:J1000)</f>
        <v>85000</v>
      </c>
      <c r="K84" s="19">
        <f t="shared" si="41"/>
        <v>22780000</v>
      </c>
    </row>
    <row r="85">
      <c r="F85" s="18">
        <f>MAXIFS('Data Clean (Live)'!K:K, 'Data Clean (Live)'!A:A, A85)</f>
        <v>46082</v>
      </c>
      <c r="G85" s="5">
        <f t="array" ref="G85">XLOOKUP(1, ('Data Clean (Live)'!A4:A1000=A85) * ('Data Clean (Live)'!K4:K1000=F85), 'Data Clean (Live)'!D4:D1000)</f>
        <v>223</v>
      </c>
      <c r="H85" s="5">
        <f t="array" ref="H85">XLOOKUP(1, ('Data Clean (Live)'!A4:A1000=A85) * ('Data Clean (Live)'!K4:K1000=F85), 'Data Clean (Live)'!E4:E1000)</f>
        <v>60</v>
      </c>
      <c r="I85" s="7">
        <f t="shared" si="40"/>
        <v>3.716666667</v>
      </c>
      <c r="J85" s="19">
        <f t="array" ref="J85">XLOOKUP(1, ('Data Clean (Live)'!A4:A1000=A85) * ('Data Clean (Live)'!K4:K1000=F85), 'Data Clean (Live)'!J4:J1000)</f>
        <v>165000</v>
      </c>
      <c r="K85" s="19">
        <f t="shared" si="41"/>
        <v>36795000</v>
      </c>
    </row>
    <row r="86">
      <c r="F86" s="18">
        <f>MAXIFS('Data Clean (Live)'!K:K, 'Data Clean (Live)'!A:A, A86)</f>
        <v>46082</v>
      </c>
      <c r="G86" s="5">
        <f t="array" ref="G86">XLOOKUP(1, ('Data Clean (Live)'!A5:A1000=A86) * ('Data Clean (Live)'!K5:K1000=F86), 'Data Clean (Live)'!D5:D1000)</f>
        <v>217</v>
      </c>
      <c r="H86" s="5">
        <f t="array" ref="H86">XLOOKUP(1, ('Data Clean (Live)'!A5:A1000=A86) * ('Data Clean (Live)'!K5:K1000=F86), 'Data Clean (Live)'!E5:E1000)</f>
        <v>50</v>
      </c>
      <c r="I86" s="7">
        <f t="shared" si="40"/>
        <v>4.34</v>
      </c>
      <c r="J86" s="19">
        <f t="array" ref="J86">XLOOKUP(1, ('Data Clean (Live)'!A5:A1000=A86) * ('Data Clean (Live)'!K5:K1000=F86), 'Data Clean (Live)'!J5:J1000)</f>
        <v>125000</v>
      </c>
      <c r="K86" s="19">
        <f t="shared" si="41"/>
        <v>27125000</v>
      </c>
    </row>
    <row r="92">
      <c r="F92" s="1" t="s">
        <v>0</v>
      </c>
      <c r="G92" s="17" t="s">
        <v>75</v>
      </c>
      <c r="H92" s="1" t="s">
        <v>105</v>
      </c>
      <c r="I92" s="1" t="s">
        <v>106</v>
      </c>
      <c r="J92" s="15" t="s">
        <v>107</v>
      </c>
      <c r="K92" s="1" t="s">
        <v>109</v>
      </c>
    </row>
    <row r="93">
      <c r="F93" s="3" t="str">
        <f t="shared" ref="F93:G93" si="42">A83</f>
        <v>SKU-013</v>
      </c>
      <c r="G93" s="5" t="str">
        <f t="shared" si="42"/>
        <v>Skincare Set Whitelab</v>
      </c>
      <c r="H93" s="5">
        <f t="shared" ref="H93:J93" si="43">G83</f>
        <v>153</v>
      </c>
      <c r="I93" s="7">
        <f t="shared" si="43"/>
        <v>40</v>
      </c>
      <c r="J93" s="20">
        <f t="shared" si="43"/>
        <v>3.825</v>
      </c>
      <c r="K93" s="19">
        <f t="shared" ref="K93:K96" si="46">K83</f>
        <v>84150000</v>
      </c>
    </row>
    <row r="94">
      <c r="F94" s="3" t="str">
        <f t="shared" ref="F94:G94" si="44">A84</f>
        <v>SKU-014</v>
      </c>
      <c r="G94" s="5" t="str">
        <f t="shared" si="44"/>
        <v>Lipstik Matte Wardah</v>
      </c>
      <c r="H94" s="5">
        <f t="shared" ref="H94:J94" si="45">G84</f>
        <v>268</v>
      </c>
      <c r="I94" s="7">
        <f t="shared" si="45"/>
        <v>80</v>
      </c>
      <c r="J94" s="20">
        <f t="shared" si="45"/>
        <v>3.35</v>
      </c>
      <c r="K94" s="19">
        <f t="shared" si="46"/>
        <v>22780000</v>
      </c>
    </row>
    <row r="95">
      <c r="F95" s="3" t="str">
        <f t="shared" ref="F95:G95" si="47">A85</f>
        <v>SKU-015</v>
      </c>
      <c r="G95" s="5" t="str">
        <f t="shared" si="47"/>
        <v>Foundation Maybelline Fit</v>
      </c>
      <c r="H95" s="5">
        <f t="shared" ref="H95:J95" si="48">G85</f>
        <v>223</v>
      </c>
      <c r="I95" s="7">
        <f t="shared" si="48"/>
        <v>60</v>
      </c>
      <c r="J95" s="20">
        <f t="shared" si="48"/>
        <v>3.716666667</v>
      </c>
      <c r="K95" s="19">
        <f t="shared" si="46"/>
        <v>36795000</v>
      </c>
    </row>
    <row r="96">
      <c r="F96" s="3" t="str">
        <f t="shared" ref="F96:G96" si="49">A86</f>
        <v>SKU-016</v>
      </c>
      <c r="G96" s="5" t="str">
        <f t="shared" si="49"/>
        <v>Parfum EDT Brasov 100ml</v>
      </c>
      <c r="H96" s="5">
        <f t="shared" ref="H96:J96" si="50">G86</f>
        <v>217</v>
      </c>
      <c r="I96" s="7">
        <f t="shared" si="50"/>
        <v>50</v>
      </c>
      <c r="J96" s="20">
        <f t="shared" si="50"/>
        <v>4.34</v>
      </c>
      <c r="K96" s="19">
        <f t="shared" si="46"/>
        <v>27125000</v>
      </c>
    </row>
    <row r="97">
      <c r="F97" s="1" t="s">
        <v>110</v>
      </c>
      <c r="K97" s="19">
        <f>SUM(K93:K96)</f>
        <v>170850000</v>
      </c>
    </row>
  </sheetData>
  <mergeCells count="1">
    <mergeCell ref="F97:J97"/>
  </mergeCells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" width="15.25"/>
    <col customWidth="1" min="20" max="21" width="10.63"/>
    <col customWidth="1" min="22" max="22" width="24.25"/>
    <col customWidth="1" min="23" max="25" width="16.38"/>
  </cols>
  <sheetData>
    <row r="1">
      <c r="K1" s="3" t="s">
        <v>0</v>
      </c>
      <c r="L1" s="3" t="s">
        <v>68</v>
      </c>
      <c r="M1" s="3" t="s">
        <v>2</v>
      </c>
      <c r="N1" s="4" t="s">
        <v>69</v>
      </c>
      <c r="O1" s="3" t="s">
        <v>70</v>
      </c>
      <c r="P1" s="5" t="s">
        <v>71</v>
      </c>
      <c r="Q1" s="6" t="s">
        <v>72</v>
      </c>
      <c r="R1" s="3" t="str">
        <f t="shared" ref="R1:S1" si="1">H1</f>
        <v>Avg Reorder Point</v>
      </c>
      <c r="S1" s="7" t="str">
        <f t="shared" si="1"/>
        <v>Avg LeadTime</v>
      </c>
      <c r="T1" s="21"/>
      <c r="U1" s="21" t="s">
        <v>0</v>
      </c>
      <c r="V1" s="21" t="s">
        <v>75</v>
      </c>
      <c r="W1" s="21" t="s">
        <v>2</v>
      </c>
      <c r="X1" s="21" t="s">
        <v>76</v>
      </c>
      <c r="Y1" s="21" t="s">
        <v>69</v>
      </c>
    </row>
    <row r="2">
      <c r="K2" s="1" t="str">
        <f>IFERROR(__xludf.DUMMYFUNCTION("QUERY(A2:I21, ""SELECT * WHERE G &gt; 0.8 ORDER BY G DESC, F DESC"", 0)"),"SKU-007")</f>
        <v>SKU-007</v>
      </c>
      <c r="L2" s="3" t="str">
        <f>IFERROR(__xludf.DUMMYFUNCTION("""COMPUTED_VALUE"""),"Sepatu Sneakers Nike")</f>
        <v>Sepatu Sneakers Nike</v>
      </c>
      <c r="M2" s="3" t="str">
        <f>IFERROR(__xludf.DUMMYFUNCTION("""COMPUTED_VALUE"""),"Fashion")</f>
        <v>Fashion</v>
      </c>
      <c r="N2" s="4">
        <f>IFERROR(__xludf.DUMMYFUNCTION("""COMPUTED_VALUE"""),6.933333333333334)</f>
        <v>6.933333333</v>
      </c>
      <c r="O2" s="3">
        <f>IFERROR(__xludf.DUMMYFUNCTION("""COMPUTED_VALUE"""),15.0)</f>
        <v>15</v>
      </c>
      <c r="P2" s="5">
        <f>IFERROR(__xludf.DUMMYFUNCTION("""COMPUTED_VALUE"""),15.0)</f>
        <v>15</v>
      </c>
      <c r="Q2" s="6">
        <f>IFERROR(__xludf.DUMMYFUNCTION("""COMPUTED_VALUE"""),1.0)</f>
        <v>1</v>
      </c>
      <c r="R2" s="3">
        <f>IFERROR(__xludf.DUMMYFUNCTION("""COMPUTED_VALUE"""),35.0)</f>
        <v>35</v>
      </c>
      <c r="S2" s="7">
        <f>IFERROR(__xludf.DUMMYFUNCTION("""COMPUTED_VALUE"""),5.466666666666667)</f>
        <v>5.466666667</v>
      </c>
      <c r="U2" s="3" t="str">
        <f t="shared" ref="U2:W2" si="2">K2</f>
        <v>SKU-007</v>
      </c>
      <c r="V2" s="3" t="str">
        <f t="shared" si="2"/>
        <v>Sepatu Sneakers Nike</v>
      </c>
      <c r="W2" s="3" t="str">
        <f t="shared" si="2"/>
        <v>Fashion</v>
      </c>
      <c r="X2" s="8" t="str">
        <f t="shared" ref="X2:X9" si="4">TEXTJOIN("", TRUE,P2,"/",O2," (",Q2,")")</f>
        <v>15/15 (100.00%)</v>
      </c>
      <c r="Y2" s="8" t="str">
        <f t="shared" ref="Y2:Y9" si="5">TEXTJOIN("",true,N2,"/hari")</f>
        <v>6.9/hari</v>
      </c>
    </row>
    <row r="3">
      <c r="K3" s="3" t="str">
        <f>IFERROR(__xludf.DUMMYFUNCTION("""COMPUTED_VALUE"""),"SKU-005")</f>
        <v>SKU-005</v>
      </c>
      <c r="L3" s="3" t="str">
        <f>IFERROR(__xludf.DUMMYFUNCTION("""COMPUTED_VALUE"""),"Kemeja Formal Pria")</f>
        <v>Kemeja Formal Pria</v>
      </c>
      <c r="M3" s="3" t="str">
        <f>IFERROR(__xludf.DUMMYFUNCTION("""COMPUTED_VALUE"""),"Fashion")</f>
        <v>Fashion</v>
      </c>
      <c r="N3" s="4">
        <f>IFERROR(__xludf.DUMMYFUNCTION("""COMPUTED_VALUE"""),9.285714285714286)</f>
        <v>9.285714286</v>
      </c>
      <c r="O3" s="3">
        <f>IFERROR(__xludf.DUMMYFUNCTION("""COMPUTED_VALUE"""),14.0)</f>
        <v>14</v>
      </c>
      <c r="P3" s="5">
        <f>IFERROR(__xludf.DUMMYFUNCTION("""COMPUTED_VALUE"""),14.0)</f>
        <v>14</v>
      </c>
      <c r="Q3" s="6">
        <f>IFERROR(__xludf.DUMMYFUNCTION("""COMPUTED_VALUE"""),1.0)</f>
        <v>1</v>
      </c>
      <c r="R3" s="3">
        <f>IFERROR(__xludf.DUMMYFUNCTION("""COMPUTED_VALUE"""),50.0)</f>
        <v>50</v>
      </c>
      <c r="S3" s="7">
        <f>IFERROR(__xludf.DUMMYFUNCTION("""COMPUTED_VALUE"""),4.857142857142857)</f>
        <v>4.857142857</v>
      </c>
      <c r="U3" s="3" t="str">
        <f t="shared" ref="U3:W3" si="3">K3</f>
        <v>SKU-005</v>
      </c>
      <c r="V3" s="3" t="str">
        <f t="shared" si="3"/>
        <v>Kemeja Formal Pria</v>
      </c>
      <c r="W3" s="3" t="str">
        <f t="shared" si="3"/>
        <v>Fashion</v>
      </c>
      <c r="X3" s="8" t="str">
        <f t="shared" si="4"/>
        <v>14/14 (100.00%)</v>
      </c>
      <c r="Y3" s="8" t="str">
        <f t="shared" si="5"/>
        <v>9.3/hari</v>
      </c>
    </row>
    <row r="4">
      <c r="K4" s="3" t="str">
        <f>IFERROR(__xludf.DUMMYFUNCTION("""COMPUTED_VALUE"""),"SKU-006")</f>
        <v>SKU-006</v>
      </c>
      <c r="L4" s="3" t="str">
        <f>IFERROR(__xludf.DUMMYFUNCTION("""COMPUTED_VALUE"""),"Dress Casual Wanita")</f>
        <v>Dress Casual Wanita</v>
      </c>
      <c r="M4" s="3" t="str">
        <f>IFERROR(__xludf.DUMMYFUNCTION("""COMPUTED_VALUE"""),"Fashion")</f>
        <v>Fashion</v>
      </c>
      <c r="N4" s="4">
        <f>IFERROR(__xludf.DUMMYFUNCTION("""COMPUTED_VALUE"""),8.285714285714286)</f>
        <v>8.285714286</v>
      </c>
      <c r="O4" s="3">
        <f>IFERROR(__xludf.DUMMYFUNCTION("""COMPUTED_VALUE"""),14.0)</f>
        <v>14</v>
      </c>
      <c r="P4" s="5">
        <f>IFERROR(__xludf.DUMMYFUNCTION("""COMPUTED_VALUE"""),14.0)</f>
        <v>14</v>
      </c>
      <c r="Q4" s="6">
        <f>IFERROR(__xludf.DUMMYFUNCTION("""COMPUTED_VALUE"""),1.0)</f>
        <v>1</v>
      </c>
      <c r="R4" s="3">
        <f>IFERROR(__xludf.DUMMYFUNCTION("""COMPUTED_VALUE"""),45.0)</f>
        <v>45</v>
      </c>
      <c r="S4" s="7">
        <f>IFERROR(__xludf.DUMMYFUNCTION("""COMPUTED_VALUE"""),4.357142857142857)</f>
        <v>4.357142857</v>
      </c>
      <c r="U4" s="3" t="str">
        <f t="shared" ref="U4:W4" si="6">K4</f>
        <v>SKU-006</v>
      </c>
      <c r="V4" s="3" t="str">
        <f t="shared" si="6"/>
        <v>Dress Casual Wanita</v>
      </c>
      <c r="W4" s="3" t="str">
        <f t="shared" si="6"/>
        <v>Fashion</v>
      </c>
      <c r="X4" s="8" t="str">
        <f t="shared" si="4"/>
        <v>14/14 (100.00%)</v>
      </c>
      <c r="Y4" s="8" t="str">
        <f t="shared" si="5"/>
        <v>8.3/hari</v>
      </c>
    </row>
    <row r="5">
      <c r="K5" s="3" t="str">
        <f>IFERROR(__xludf.DUMMYFUNCTION("""COMPUTED_VALUE"""),"SKU-018")</f>
        <v>SKU-018</v>
      </c>
      <c r="L5" s="3" t="str">
        <f>IFERROR(__xludf.DUMMYFUNCTION("""COMPUTED_VALUE"""),"Teh Organik Premium Box")</f>
        <v>Teh Organik Premium Box</v>
      </c>
      <c r="M5" s="3" t="str">
        <f>IFERROR(__xludf.DUMMYFUNCTION("""COMPUTED_VALUE"""),"Food &amp; Beverage")</f>
        <v>Food &amp; Beverage</v>
      </c>
      <c r="N5" s="4">
        <f>IFERROR(__xludf.DUMMYFUNCTION("""COMPUTED_VALUE"""),13.0)</f>
        <v>13</v>
      </c>
      <c r="O5" s="3">
        <f>IFERROR(__xludf.DUMMYFUNCTION("""COMPUTED_VALUE"""),14.0)</f>
        <v>14</v>
      </c>
      <c r="P5" s="5">
        <f>IFERROR(__xludf.DUMMYFUNCTION("""COMPUTED_VALUE"""),14.0)</f>
        <v>14</v>
      </c>
      <c r="Q5" s="6">
        <f>IFERROR(__xludf.DUMMYFUNCTION("""COMPUTED_VALUE"""),1.0)</f>
        <v>1</v>
      </c>
      <c r="R5" s="3">
        <f>IFERROR(__xludf.DUMMYFUNCTION("""COMPUTED_VALUE"""),80.0)</f>
        <v>80</v>
      </c>
      <c r="S5" s="7">
        <f>IFERROR(__xludf.DUMMYFUNCTION("""COMPUTED_VALUE"""),4.214285714285714)</f>
        <v>4.214285714</v>
      </c>
      <c r="U5" s="3" t="str">
        <f t="shared" ref="U5:W5" si="7">K5</f>
        <v>SKU-018</v>
      </c>
      <c r="V5" s="3" t="str">
        <f t="shared" si="7"/>
        <v>Teh Organik Premium Box</v>
      </c>
      <c r="W5" s="3" t="str">
        <f t="shared" si="7"/>
        <v>Food &amp; Beverage</v>
      </c>
      <c r="X5" s="8" t="str">
        <f t="shared" si="4"/>
        <v>14/14 (100.00%)</v>
      </c>
      <c r="Y5" s="8" t="str">
        <f t="shared" si="5"/>
        <v>13.0/hari</v>
      </c>
    </row>
    <row r="6">
      <c r="K6" s="3" t="str">
        <f>IFERROR(__xludf.DUMMYFUNCTION("""COMPUTED_VALUE"""),"SKU-019")</f>
        <v>SKU-019</v>
      </c>
      <c r="L6" s="3" t="str">
        <f>IFERROR(__xludf.DUMMYFUNCTION("""COMPUTED_VALUE"""),"Madu Hutan Asli 500ml")</f>
        <v>Madu Hutan Asli 500ml</v>
      </c>
      <c r="M6" s="3" t="str">
        <f>IFERROR(__xludf.DUMMYFUNCTION("""COMPUTED_VALUE"""),"Food &amp; Beverage")</f>
        <v>Food &amp; Beverage</v>
      </c>
      <c r="N6" s="4">
        <f>IFERROR(__xludf.DUMMYFUNCTION("""COMPUTED_VALUE"""),8.615384615384615)</f>
        <v>8.615384615</v>
      </c>
      <c r="O6" s="3">
        <f>IFERROR(__xludf.DUMMYFUNCTION("""COMPUTED_VALUE"""),13.0)</f>
        <v>13</v>
      </c>
      <c r="P6" s="5">
        <f>IFERROR(__xludf.DUMMYFUNCTION("""COMPUTED_VALUE"""),13.0)</f>
        <v>13</v>
      </c>
      <c r="Q6" s="6">
        <f>IFERROR(__xludf.DUMMYFUNCTION("""COMPUTED_VALUE"""),1.0)</f>
        <v>1</v>
      </c>
      <c r="R6" s="3">
        <f>IFERROR(__xludf.DUMMYFUNCTION("""COMPUTED_VALUE"""),60.0)</f>
        <v>60</v>
      </c>
      <c r="S6" s="7">
        <f>IFERROR(__xludf.DUMMYFUNCTION("""COMPUTED_VALUE"""),5.384615384615385)</f>
        <v>5.384615385</v>
      </c>
      <c r="U6" s="3" t="str">
        <f t="shared" ref="U6:W6" si="8">K6</f>
        <v>SKU-019</v>
      </c>
      <c r="V6" s="3" t="str">
        <f t="shared" si="8"/>
        <v>Madu Hutan Asli 500ml</v>
      </c>
      <c r="W6" s="3" t="str">
        <f t="shared" si="8"/>
        <v>Food &amp; Beverage</v>
      </c>
      <c r="X6" s="8" t="str">
        <f t="shared" si="4"/>
        <v>13/13 (100.00%)</v>
      </c>
      <c r="Y6" s="8" t="str">
        <f t="shared" si="5"/>
        <v>8.6/hari</v>
      </c>
    </row>
    <row r="7">
      <c r="K7" s="3" t="str">
        <f>IFERROR(__xludf.DUMMYFUNCTION("""COMPUTED_VALUE"""),"SKU-008")</f>
        <v>SKU-008</v>
      </c>
      <c r="L7" s="3" t="str">
        <f>IFERROR(__xludf.DUMMYFUNCTION("""COMPUTED_VALUE"""),"Tas Ransel Eiger")</f>
        <v>Tas Ransel Eiger</v>
      </c>
      <c r="M7" s="3" t="str">
        <f>IFERROR(__xludf.DUMMYFUNCTION("""COMPUTED_VALUE"""),"Fashion")</f>
        <v>Fashion</v>
      </c>
      <c r="N7" s="4">
        <f>IFERROR(__xludf.DUMMYFUNCTION("""COMPUTED_VALUE"""),5.733333333333333)</f>
        <v>5.733333333</v>
      </c>
      <c r="O7" s="3">
        <f>IFERROR(__xludf.DUMMYFUNCTION("""COMPUTED_VALUE"""),15.0)</f>
        <v>15</v>
      </c>
      <c r="P7" s="5">
        <f>IFERROR(__xludf.DUMMYFUNCTION("""COMPUTED_VALUE"""),13.0)</f>
        <v>13</v>
      </c>
      <c r="Q7" s="6">
        <f>IFERROR(__xludf.DUMMYFUNCTION("""COMPUTED_VALUE"""),0.8666666666666667)</f>
        <v>0.8666666667</v>
      </c>
      <c r="R7" s="3">
        <f>IFERROR(__xludf.DUMMYFUNCTION("""COMPUTED_VALUE"""),40.0)</f>
        <v>40</v>
      </c>
      <c r="S7" s="7">
        <f>IFERROR(__xludf.DUMMYFUNCTION("""COMPUTED_VALUE"""),6.066666666666666)</f>
        <v>6.066666667</v>
      </c>
      <c r="U7" s="3" t="str">
        <f t="shared" ref="U7:W7" si="9">K7</f>
        <v>SKU-008</v>
      </c>
      <c r="V7" s="3" t="str">
        <f t="shared" si="9"/>
        <v>Tas Ransel Eiger</v>
      </c>
      <c r="W7" s="3" t="str">
        <f t="shared" si="9"/>
        <v>Fashion</v>
      </c>
      <c r="X7" s="8" t="str">
        <f t="shared" si="4"/>
        <v>13/15 (86.67%)</v>
      </c>
      <c r="Y7" s="8" t="str">
        <f t="shared" si="5"/>
        <v>5.7/hari</v>
      </c>
    </row>
    <row r="8">
      <c r="K8" s="3" t="str">
        <f>IFERROR(__xludf.DUMMYFUNCTION("""COMPUTED_VALUE"""),"SKU-017")</f>
        <v>SKU-017</v>
      </c>
      <c r="L8" s="3" t="str">
        <f>IFERROR(__xludf.DUMMYFUNCTION("""COMPUTED_VALUE"""),"Kopi Arabika 250g Pack")</f>
        <v>Kopi Arabika 250g Pack</v>
      </c>
      <c r="M8" s="3" t="str">
        <f>IFERROR(__xludf.DUMMYFUNCTION("""COMPUTED_VALUE"""),"Food &amp; Beverage")</f>
        <v>Food &amp; Beverage</v>
      </c>
      <c r="N8" s="4">
        <f>IFERROR(__xludf.DUMMYFUNCTION("""COMPUTED_VALUE"""),16.285714285714285)</f>
        <v>16.28571429</v>
      </c>
      <c r="O8" s="3">
        <f>IFERROR(__xludf.DUMMYFUNCTION("""COMPUTED_VALUE"""),14.0)</f>
        <v>14</v>
      </c>
      <c r="P8" s="5">
        <f>IFERROR(__xludf.DUMMYFUNCTION("""COMPUTED_VALUE"""),12.0)</f>
        <v>12</v>
      </c>
      <c r="Q8" s="6">
        <f>IFERROR(__xludf.DUMMYFUNCTION("""COMPUTED_VALUE"""),0.8571428571428571)</f>
        <v>0.8571428571</v>
      </c>
      <c r="R8" s="3">
        <f>IFERROR(__xludf.DUMMYFUNCTION("""COMPUTED_VALUE"""),100.0)</f>
        <v>100</v>
      </c>
      <c r="S8" s="7">
        <f>IFERROR(__xludf.DUMMYFUNCTION("""COMPUTED_VALUE"""),4.071428571428571)</f>
        <v>4.071428571</v>
      </c>
      <c r="U8" s="3" t="str">
        <f t="shared" ref="U8:W8" si="10">K8</f>
        <v>SKU-017</v>
      </c>
      <c r="V8" s="3" t="str">
        <f t="shared" si="10"/>
        <v>Kopi Arabika 250g Pack</v>
      </c>
      <c r="W8" s="3" t="str">
        <f t="shared" si="10"/>
        <v>Food &amp; Beverage</v>
      </c>
      <c r="X8" s="8" t="str">
        <f t="shared" si="4"/>
        <v>12/14 (85.71%)</v>
      </c>
      <c r="Y8" s="8" t="str">
        <f t="shared" si="5"/>
        <v>16.3/hari</v>
      </c>
    </row>
    <row r="9">
      <c r="K9" s="3" t="str">
        <f>IFERROR(__xludf.DUMMYFUNCTION("""COMPUTED_VALUE"""),"SKU-020")</f>
        <v>SKU-020</v>
      </c>
      <c r="L9" s="3" t="str">
        <f>IFERROR(__xludf.DUMMYFUNCTION("""COMPUTED_VALUE"""),"Snack Granola Mix 500g")</f>
        <v>Snack Granola Mix 500g</v>
      </c>
      <c r="M9" s="3" t="str">
        <f>IFERROR(__xludf.DUMMYFUNCTION("""COMPUTED_VALUE"""),"Food &amp; Beverage")</f>
        <v>Food &amp; Beverage</v>
      </c>
      <c r="N9" s="4">
        <f>IFERROR(__xludf.DUMMYFUNCTION("""COMPUTED_VALUE"""),19.428571428571427)</f>
        <v>19.42857143</v>
      </c>
      <c r="O9" s="3">
        <f>IFERROR(__xludf.DUMMYFUNCTION("""COMPUTED_VALUE"""),14.0)</f>
        <v>14</v>
      </c>
      <c r="P9" s="5">
        <f>IFERROR(__xludf.DUMMYFUNCTION("""COMPUTED_VALUE"""),12.0)</f>
        <v>12</v>
      </c>
      <c r="Q9" s="6">
        <f>IFERROR(__xludf.DUMMYFUNCTION("""COMPUTED_VALUE"""),0.8571428571428571)</f>
        <v>0.8571428571</v>
      </c>
      <c r="R9" s="3">
        <f>IFERROR(__xludf.DUMMYFUNCTION("""COMPUTED_VALUE"""),120.0)</f>
        <v>120</v>
      </c>
      <c r="S9" s="7">
        <f>IFERROR(__xludf.DUMMYFUNCTION("""COMPUTED_VALUE"""),5.357142857142857)</f>
        <v>5.357142857</v>
      </c>
      <c r="U9" s="3" t="str">
        <f t="shared" ref="U9:W9" si="11">K9</f>
        <v>SKU-020</v>
      </c>
      <c r="V9" s="3" t="str">
        <f t="shared" si="11"/>
        <v>Snack Granola Mix 500g</v>
      </c>
      <c r="W9" s="3" t="str">
        <f t="shared" si="11"/>
        <v>Food &amp; Beverage</v>
      </c>
      <c r="X9" s="8" t="str">
        <f t="shared" si="4"/>
        <v>12/14 (85.71%)</v>
      </c>
      <c r="Y9" s="8" t="str">
        <f t="shared" si="5"/>
        <v>19.4/hari</v>
      </c>
    </row>
    <row r="10">
      <c r="S10" s="7"/>
    </row>
    <row r="11">
      <c r="S11" s="7"/>
    </row>
    <row r="12">
      <c r="S12" s="7"/>
    </row>
    <row r="13">
      <c r="N13" s="4"/>
      <c r="P13" s="5"/>
      <c r="Q13" s="6"/>
      <c r="S13" s="7"/>
      <c r="T13" s="1"/>
      <c r="U13" s="1" t="s">
        <v>0</v>
      </c>
      <c r="V13" s="1" t="s">
        <v>75</v>
      </c>
      <c r="W13" s="1" t="s">
        <v>78</v>
      </c>
      <c r="X13" s="1" t="s">
        <v>79</v>
      </c>
      <c r="Y13" s="1" t="s">
        <v>80</v>
      </c>
      <c r="Z13" s="1" t="s">
        <v>81</v>
      </c>
      <c r="AA13" s="1" t="s">
        <v>82</v>
      </c>
    </row>
    <row r="14">
      <c r="S14" s="7"/>
      <c r="U14" s="3" t="str">
        <f t="shared" ref="U14:V14" si="12">K2</f>
        <v>SKU-007</v>
      </c>
      <c r="V14" s="3" t="str">
        <f t="shared" si="12"/>
        <v>Sepatu Sneakers Nike</v>
      </c>
      <c r="W14" s="4">
        <f t="shared" ref="W14:W21" si="14">N2</f>
        <v>6.933333333</v>
      </c>
      <c r="X14" s="3">
        <f t="shared" ref="X14:X21" si="15">R2</f>
        <v>35</v>
      </c>
      <c r="Y14" s="22" t="str">
        <f t="shared" ref="Y14:Y22" si="16">TEXTJOIN("",TRUE,ROUND(X14/W14,2)," hari")</f>
        <v>5.05 hari</v>
      </c>
      <c r="Z14" s="8" t="str">
        <f t="shared" ref="Z14:Z21" si="17">textjoin("",TRUE,"~",S2," hari")</f>
        <v>~5.47 hari</v>
      </c>
      <c r="AA14" s="1" t="s">
        <v>83</v>
      </c>
    </row>
    <row r="15">
      <c r="S15" s="7"/>
      <c r="U15" s="3" t="str">
        <f t="shared" ref="U15:V15" si="13">K3</f>
        <v>SKU-005</v>
      </c>
      <c r="V15" s="3" t="str">
        <f t="shared" si="13"/>
        <v>Kemeja Formal Pria</v>
      </c>
      <c r="W15" s="4">
        <f t="shared" si="14"/>
        <v>9.285714286</v>
      </c>
      <c r="X15" s="3">
        <f t="shared" si="15"/>
        <v>50</v>
      </c>
      <c r="Y15" s="22" t="str">
        <f t="shared" si="16"/>
        <v>5.38 hari</v>
      </c>
      <c r="Z15" s="8" t="str">
        <f t="shared" si="17"/>
        <v>~4.86 hari</v>
      </c>
      <c r="AA15" s="1" t="s">
        <v>83</v>
      </c>
    </row>
    <row r="16">
      <c r="S16" s="7"/>
      <c r="U16" s="3" t="str">
        <f t="shared" ref="U16:V16" si="18">K4</f>
        <v>SKU-006</v>
      </c>
      <c r="V16" s="3" t="str">
        <f t="shared" si="18"/>
        <v>Dress Casual Wanita</v>
      </c>
      <c r="W16" s="4">
        <f t="shared" si="14"/>
        <v>8.285714286</v>
      </c>
      <c r="X16" s="3">
        <f t="shared" si="15"/>
        <v>45</v>
      </c>
      <c r="Y16" s="22" t="str">
        <f t="shared" si="16"/>
        <v>5.43 hari</v>
      </c>
      <c r="Z16" s="8" t="str">
        <f t="shared" si="17"/>
        <v>~4.36 hari</v>
      </c>
      <c r="AA16" s="1" t="s">
        <v>83</v>
      </c>
    </row>
    <row r="17">
      <c r="S17" s="7"/>
      <c r="U17" s="3" t="str">
        <f t="shared" ref="U17:V17" si="19">K5</f>
        <v>SKU-018</v>
      </c>
      <c r="V17" s="3" t="str">
        <f t="shared" si="19"/>
        <v>Teh Organik Premium Box</v>
      </c>
      <c r="W17" s="4">
        <f t="shared" si="14"/>
        <v>13</v>
      </c>
      <c r="X17" s="3">
        <f t="shared" si="15"/>
        <v>80</v>
      </c>
      <c r="Y17" s="22" t="str">
        <f t="shared" si="16"/>
        <v>6.15 hari</v>
      </c>
      <c r="Z17" s="8" t="str">
        <f t="shared" si="17"/>
        <v>~4.21 hari</v>
      </c>
      <c r="AA17" s="1" t="s">
        <v>83</v>
      </c>
    </row>
    <row r="18">
      <c r="S18" s="7"/>
      <c r="U18" s="3" t="str">
        <f t="shared" ref="U18:V18" si="20">K6</f>
        <v>SKU-019</v>
      </c>
      <c r="V18" s="3" t="str">
        <f t="shared" si="20"/>
        <v>Madu Hutan Asli 500ml</v>
      </c>
      <c r="W18" s="4">
        <f t="shared" si="14"/>
        <v>8.615384615</v>
      </c>
      <c r="X18" s="3">
        <f t="shared" si="15"/>
        <v>60</v>
      </c>
      <c r="Y18" s="22" t="str">
        <f t="shared" si="16"/>
        <v>6.96 hari</v>
      </c>
      <c r="Z18" s="8" t="str">
        <f t="shared" si="17"/>
        <v>~5.38 hari</v>
      </c>
      <c r="AA18" s="1" t="s">
        <v>83</v>
      </c>
    </row>
    <row r="19">
      <c r="S19" s="7"/>
      <c r="U19" s="3" t="str">
        <f t="shared" ref="U19:V19" si="21">K7</f>
        <v>SKU-008</v>
      </c>
      <c r="V19" s="3" t="str">
        <f t="shared" si="21"/>
        <v>Tas Ransel Eiger</v>
      </c>
      <c r="W19" s="4">
        <f t="shared" si="14"/>
        <v>5.733333333</v>
      </c>
      <c r="X19" s="3">
        <f t="shared" si="15"/>
        <v>40</v>
      </c>
      <c r="Y19" s="22" t="str">
        <f t="shared" si="16"/>
        <v>6.98 hari</v>
      </c>
      <c r="Z19" s="8" t="str">
        <f t="shared" si="17"/>
        <v>~6.07 hari</v>
      </c>
      <c r="AA19" s="1" t="s">
        <v>83</v>
      </c>
    </row>
    <row r="20">
      <c r="S20" s="7"/>
      <c r="U20" s="3" t="str">
        <f t="shared" ref="U20:V20" si="22">K8</f>
        <v>SKU-017</v>
      </c>
      <c r="V20" s="3" t="str">
        <f t="shared" si="22"/>
        <v>Kopi Arabika 250g Pack</v>
      </c>
      <c r="W20" s="4">
        <f t="shared" si="14"/>
        <v>16.28571429</v>
      </c>
      <c r="X20" s="3">
        <f t="shared" si="15"/>
        <v>100</v>
      </c>
      <c r="Y20" s="22" t="str">
        <f t="shared" si="16"/>
        <v>6.14 hari</v>
      </c>
      <c r="Z20" s="8" t="str">
        <f t="shared" si="17"/>
        <v>~4.07 hari</v>
      </c>
      <c r="AA20" s="1" t="s">
        <v>83</v>
      </c>
    </row>
    <row r="21">
      <c r="S21" s="7"/>
      <c r="U21" s="3" t="str">
        <f t="shared" ref="U21:V21" si="23">K9</f>
        <v>SKU-020</v>
      </c>
      <c r="V21" s="3" t="str">
        <f t="shared" si="23"/>
        <v>Snack Granola Mix 500g</v>
      </c>
      <c r="W21" s="4">
        <f t="shared" si="14"/>
        <v>19.42857143</v>
      </c>
      <c r="X21" s="3">
        <f t="shared" si="15"/>
        <v>120</v>
      </c>
      <c r="Y21" s="22" t="str">
        <f t="shared" si="16"/>
        <v>6.18 hari</v>
      </c>
      <c r="Z21" s="8" t="str">
        <f t="shared" si="17"/>
        <v>~5.36 hari</v>
      </c>
      <c r="AA21" s="1" t="s">
        <v>83</v>
      </c>
    </row>
    <row r="22">
      <c r="D22" s="4"/>
      <c r="F22" s="5"/>
      <c r="G22" s="6"/>
      <c r="I22" s="7"/>
      <c r="S22" s="7"/>
      <c r="U22" s="23" t="str">
        <f t="shared" ref="U22:V22" si="24">A14</f>
        <v>SKU-013</v>
      </c>
      <c r="V22" s="23" t="str">
        <f t="shared" si="24"/>
        <v>Skincare Set Whitelab</v>
      </c>
      <c r="W22" s="24">
        <f>D14</f>
        <v>2.8</v>
      </c>
      <c r="X22" s="23">
        <f>H14</f>
        <v>40</v>
      </c>
      <c r="Y22" s="25" t="str">
        <f t="shared" si="16"/>
        <v>14.29 hari</v>
      </c>
      <c r="Z22" s="26" t="str">
        <f>textjoin("",TRUE,"~",I16," hari")</f>
        <v>~6.40 hari</v>
      </c>
      <c r="AA22" s="27" t="s">
        <v>84</v>
      </c>
    </row>
    <row r="23">
      <c r="D23" s="4"/>
      <c r="F23" s="5"/>
      <c r="G23" s="6"/>
      <c r="I23" s="7"/>
      <c r="S23" s="7"/>
    </row>
    <row r="24">
      <c r="D24" s="4"/>
      <c r="F24" s="5"/>
      <c r="G24" s="6"/>
      <c r="I24" s="7"/>
      <c r="S24" s="7"/>
    </row>
    <row r="25">
      <c r="D25" s="4"/>
      <c r="F25" s="5"/>
      <c r="G25" s="6"/>
      <c r="I25" s="7"/>
      <c r="S25" s="7"/>
    </row>
    <row r="26">
      <c r="D26" s="4"/>
      <c r="F26" s="5"/>
      <c r="G26" s="6"/>
      <c r="I26" s="7"/>
      <c r="S26" s="7"/>
    </row>
    <row r="27">
      <c r="A27" s="11"/>
      <c r="B27" s="11"/>
      <c r="C27" s="11"/>
      <c r="D27" s="28"/>
      <c r="E27" s="11"/>
      <c r="F27" s="29"/>
      <c r="G27" s="29"/>
      <c r="H27" s="30"/>
      <c r="I27" s="31"/>
      <c r="J27" s="30"/>
      <c r="K27" s="11"/>
      <c r="L27" s="11"/>
      <c r="M27" s="11"/>
      <c r="N27" s="11"/>
      <c r="O27" s="11"/>
      <c r="P27" s="11"/>
      <c r="Q27" s="11"/>
      <c r="R27" s="11"/>
      <c r="S27" s="3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D28" s="4"/>
      <c r="F28" s="5"/>
      <c r="G28" s="5"/>
      <c r="H28" s="6"/>
      <c r="I28" s="7"/>
      <c r="J28" s="6"/>
      <c r="S28" s="7"/>
    </row>
    <row r="29">
      <c r="D29" s="4"/>
      <c r="F29" s="5"/>
      <c r="G29" s="5"/>
      <c r="H29" s="6"/>
      <c r="I29" s="7"/>
      <c r="J29" s="6"/>
      <c r="S29" s="7"/>
    </row>
    <row r="30">
      <c r="D30" s="4"/>
      <c r="F30" s="5"/>
      <c r="G30" s="5"/>
      <c r="H30" s="6"/>
      <c r="I30" s="7"/>
      <c r="J30" s="6"/>
      <c r="S30" s="7"/>
    </row>
    <row r="31">
      <c r="F31" s="5"/>
      <c r="G31" s="5" t="str">
        <f t="shared" ref="G31:K31" si="25">A31</f>
        <v>SupplierID</v>
      </c>
      <c r="H31" s="5" t="str">
        <f t="shared" si="25"/>
        <v>AVERAGE of LeadTime</v>
      </c>
      <c r="I31" s="5" t="str">
        <f t="shared" si="25"/>
        <v>STDEV of LeadTime</v>
      </c>
      <c r="J31" s="5" t="str">
        <f t="shared" si="25"/>
        <v>MIN of LeadTime</v>
      </c>
      <c r="K31" s="5" t="str">
        <f t="shared" si="25"/>
        <v>MAX of LeadTime</v>
      </c>
      <c r="L31" s="5"/>
      <c r="S31" s="7"/>
    </row>
    <row r="32">
      <c r="F32" s="5"/>
      <c r="G32" s="5" t="str">
        <f>IFERROR(__xludf.DUMMYFUNCTION("QUERY(A32:E41, ""SELECT * ORDER BY B DESC"", 0)"),"SUP_EL02")</f>
        <v>SUP_EL02</v>
      </c>
      <c r="H32" s="4">
        <f>IFERROR(__xludf.DUMMYFUNCTION("""COMPUTED_VALUE"""),13.925925925925926)</f>
        <v>13.92592593</v>
      </c>
      <c r="I32" s="4">
        <f>IFERROR(__xludf.DUMMYFUNCTION("""COMPUTED_VALUE"""),4.556701961236083)</f>
        <v>4.556701961</v>
      </c>
      <c r="J32" s="5">
        <f>IFERROR(__xludf.DUMMYFUNCTION("""COMPUTED_VALUE"""),7.0)</f>
        <v>7</v>
      </c>
      <c r="K32" s="5">
        <f>IFERROR(__xludf.DUMMYFUNCTION("""COMPUTED_VALUE"""),23.0)</f>
        <v>23</v>
      </c>
      <c r="S32" s="7"/>
    </row>
    <row r="33">
      <c r="F33" s="5"/>
      <c r="G33" s="5" t="str">
        <f>IFERROR(__xludf.DUMMYFUNCTION("""COMPUTED_VALUE"""),"SUP_HM01")</f>
        <v>SUP_HM01</v>
      </c>
      <c r="H33" s="4">
        <f>IFERROR(__xludf.DUMMYFUNCTION("""COMPUTED_VALUE"""),8.586206896551724)</f>
        <v>8.586206897</v>
      </c>
      <c r="I33" s="4">
        <f>IFERROR(__xludf.DUMMYFUNCTION("""COMPUTED_VALUE"""),1.2397361867784131)</f>
        <v>1.239736187</v>
      </c>
      <c r="J33" s="5">
        <f>IFERROR(__xludf.DUMMYFUNCTION("""COMPUTED_VALUE"""),6.0)</f>
        <v>6</v>
      </c>
      <c r="K33" s="5">
        <f>IFERROR(__xludf.DUMMYFUNCTION("""COMPUTED_VALUE"""),10.0)</f>
        <v>10</v>
      </c>
      <c r="S33" s="7"/>
    </row>
    <row r="34">
      <c r="F34" s="5"/>
      <c r="G34" s="5" t="str">
        <f>IFERROR(__xludf.DUMMYFUNCTION("""COMPUTED_VALUE"""),"SUP_HM02")</f>
        <v>SUP_HM02</v>
      </c>
      <c r="H34" s="4">
        <f>IFERROR(__xludf.DUMMYFUNCTION("""COMPUTED_VALUE"""),7.37037037037037)</f>
        <v>7.37037037</v>
      </c>
      <c r="I34" s="4">
        <f>IFERROR(__xludf.DUMMYFUNCTION("""COMPUTED_VALUE"""),2.1864644476018316)</f>
        <v>2.186464448</v>
      </c>
      <c r="J34" s="5">
        <f>IFERROR(__xludf.DUMMYFUNCTION("""COMPUTED_VALUE"""),4.0)</f>
        <v>4</v>
      </c>
      <c r="K34" s="5">
        <f>IFERROR(__xludf.DUMMYFUNCTION("""COMPUTED_VALUE"""),10.0)</f>
        <v>10</v>
      </c>
      <c r="S34" s="7"/>
    </row>
    <row r="35">
      <c r="F35" s="5"/>
      <c r="G35" s="5" t="str">
        <f>IFERROR(__xludf.DUMMYFUNCTION("""COMPUTED_VALUE"""),"SUP_EL01")</f>
        <v>SUP_EL01</v>
      </c>
      <c r="H35" s="4">
        <f>IFERROR(__xludf.DUMMYFUNCTION("""COMPUTED_VALUE"""),6.586206896551724)</f>
        <v>6.586206897</v>
      </c>
      <c r="I35" s="4">
        <f>IFERROR(__xludf.DUMMYFUNCTION("""COMPUTED_VALUE"""),1.3762589400075622)</f>
        <v>1.37625894</v>
      </c>
      <c r="J35" s="5">
        <f>IFERROR(__xludf.DUMMYFUNCTION("""COMPUTED_VALUE"""),5.0)</f>
        <v>5</v>
      </c>
      <c r="K35" s="5">
        <f>IFERROR(__xludf.DUMMYFUNCTION("""COMPUTED_VALUE"""),9.0)</f>
        <v>9</v>
      </c>
      <c r="S35" s="7"/>
    </row>
    <row r="36">
      <c r="F36" s="5"/>
      <c r="G36" s="5" t="str">
        <f>IFERROR(__xludf.DUMMYFUNCTION("""COMPUTED_VALUE"""),"SUP_BT02")</f>
        <v>SUP_BT02</v>
      </c>
      <c r="H36" s="4">
        <f>IFERROR(__xludf.DUMMYFUNCTION("""COMPUTED_VALUE"""),6.285714285714286)</f>
        <v>6.285714286</v>
      </c>
      <c r="I36" s="4">
        <f>IFERROR(__xludf.DUMMYFUNCTION("""COMPUTED_VALUE"""),1.5361602650076456)</f>
        <v>1.536160265</v>
      </c>
      <c r="J36" s="5">
        <f>IFERROR(__xludf.DUMMYFUNCTION("""COMPUTED_VALUE"""),4.0)</f>
        <v>4</v>
      </c>
      <c r="K36" s="5">
        <f>IFERROR(__xludf.DUMMYFUNCTION("""COMPUTED_VALUE"""),8.0)</f>
        <v>8</v>
      </c>
      <c r="S36" s="7"/>
    </row>
    <row r="37">
      <c r="F37" s="5"/>
      <c r="G37" s="5" t="str">
        <f>IFERROR(__xludf.DUMMYFUNCTION("""COMPUTED_VALUE"""),"SUP_FA02")</f>
        <v>SUP_FA02</v>
      </c>
      <c r="H37" s="4">
        <f>IFERROR(__xludf.DUMMYFUNCTION("""COMPUTED_VALUE"""),5.766666666666667)</f>
        <v>5.766666667</v>
      </c>
      <c r="I37" s="4">
        <f>IFERROR(__xludf.DUMMYFUNCTION("""COMPUTED_VALUE"""),1.8134237638032755)</f>
        <v>1.813423764</v>
      </c>
      <c r="J37" s="5">
        <f>IFERROR(__xludf.DUMMYFUNCTION("""COMPUTED_VALUE"""),3.0)</f>
        <v>3</v>
      </c>
      <c r="K37" s="5">
        <f>IFERROR(__xludf.DUMMYFUNCTION("""COMPUTED_VALUE"""),9.0)</f>
        <v>9</v>
      </c>
      <c r="S37" s="7"/>
    </row>
    <row r="38">
      <c r="F38" s="5"/>
      <c r="G38" s="5" t="str">
        <f>IFERROR(__xludf.DUMMYFUNCTION("""COMPUTED_VALUE"""),"SUP_FB02")</f>
        <v>SUP_FB02</v>
      </c>
      <c r="H38" s="4">
        <f>IFERROR(__xludf.DUMMYFUNCTION("""COMPUTED_VALUE"""),5.37037037037037)</f>
        <v>5.37037037</v>
      </c>
      <c r="I38" s="4">
        <f>IFERROR(__xludf.DUMMYFUNCTION("""COMPUTED_VALUE"""),1.2754531064608476)</f>
        <v>1.275453106</v>
      </c>
      <c r="J38" s="5">
        <f>IFERROR(__xludf.DUMMYFUNCTION("""COMPUTED_VALUE"""),3.0)</f>
        <v>3</v>
      </c>
      <c r="K38" s="5">
        <f>IFERROR(__xludf.DUMMYFUNCTION("""COMPUTED_VALUE"""),7.0)</f>
        <v>7</v>
      </c>
      <c r="S38" s="7"/>
    </row>
    <row r="39">
      <c r="F39" s="5"/>
      <c r="G39" s="5" t="str">
        <f>IFERROR(__xludf.DUMMYFUNCTION("""COMPUTED_VALUE"""),"SUP_BT01")</f>
        <v>SUP_BT01</v>
      </c>
      <c r="H39" s="4">
        <f>IFERROR(__xludf.DUMMYFUNCTION("""COMPUTED_VALUE"""),4.9655172413793105)</f>
        <v>4.965517241</v>
      </c>
      <c r="I39" s="4">
        <f>IFERROR(__xludf.DUMMYFUNCTION("""COMPUTED_VALUE"""),0.8653140891643933)</f>
        <v>0.8653140892</v>
      </c>
      <c r="J39" s="5">
        <f>IFERROR(__xludf.DUMMYFUNCTION("""COMPUTED_VALUE"""),4.0)</f>
        <v>4</v>
      </c>
      <c r="K39" s="5">
        <f>IFERROR(__xludf.DUMMYFUNCTION("""COMPUTED_VALUE"""),6.0)</f>
        <v>6</v>
      </c>
      <c r="S39" s="7"/>
    </row>
    <row r="40">
      <c r="F40" s="5"/>
      <c r="G40" s="5" t="str">
        <f>IFERROR(__xludf.DUMMYFUNCTION("""COMPUTED_VALUE"""),"SUP_FA01")</f>
        <v>SUP_FA01</v>
      </c>
      <c r="H40" s="4">
        <f>IFERROR(__xludf.DUMMYFUNCTION("""COMPUTED_VALUE"""),4.607142857142857)</f>
        <v>4.607142857</v>
      </c>
      <c r="I40" s="4">
        <f>IFERROR(__xludf.DUMMYFUNCTION("""COMPUTED_VALUE"""),1.4991179064218056)</f>
        <v>1.499117906</v>
      </c>
      <c r="J40" s="5">
        <f>IFERROR(__xludf.DUMMYFUNCTION("""COMPUTED_VALUE"""),3.0)</f>
        <v>3</v>
      </c>
      <c r="K40" s="5">
        <f>IFERROR(__xludf.DUMMYFUNCTION("""COMPUTED_VALUE"""),7.0)</f>
        <v>7</v>
      </c>
      <c r="S40" s="7"/>
    </row>
    <row r="41">
      <c r="F41" s="5"/>
      <c r="G41" s="5" t="str">
        <f>IFERROR(__xludf.DUMMYFUNCTION("""COMPUTED_VALUE"""),"SUP_FB01")</f>
        <v>SUP_FB01</v>
      </c>
      <c r="H41" s="4">
        <f>IFERROR(__xludf.DUMMYFUNCTION("""COMPUTED_VALUE"""),4.142857142857143)</f>
        <v>4.142857143</v>
      </c>
      <c r="I41" s="4">
        <f>IFERROR(__xludf.DUMMYFUNCTION("""COMPUTED_VALUE"""),0.7052336473499383)</f>
        <v>0.7052336473</v>
      </c>
      <c r="J41" s="5">
        <f>IFERROR(__xludf.DUMMYFUNCTION("""COMPUTED_VALUE"""),3.0)</f>
        <v>3</v>
      </c>
      <c r="K41" s="5">
        <f>IFERROR(__xludf.DUMMYFUNCTION("""COMPUTED_VALUE"""),5.0)</f>
        <v>5</v>
      </c>
      <c r="S41" s="7"/>
    </row>
    <row r="42">
      <c r="F42" s="5"/>
      <c r="G42" s="5"/>
      <c r="H42" s="6"/>
      <c r="I42" s="7"/>
      <c r="J42" s="6"/>
      <c r="S42" s="7"/>
    </row>
    <row r="43">
      <c r="D43" s="4"/>
      <c r="F43" s="5"/>
      <c r="G43" s="5"/>
      <c r="H43" s="6"/>
      <c r="I43" s="7"/>
      <c r="J43" s="6"/>
      <c r="S43" s="7"/>
    </row>
    <row r="44">
      <c r="D44" s="4"/>
      <c r="F44" s="5"/>
      <c r="G44" s="5"/>
      <c r="H44" s="6"/>
      <c r="I44" s="7"/>
      <c r="J44" s="6"/>
      <c r="S44" s="7"/>
    </row>
    <row r="45">
      <c r="D45" s="4"/>
      <c r="F45" s="5"/>
      <c r="G45" s="5"/>
      <c r="H45" s="6"/>
      <c r="I45" s="7"/>
      <c r="J45" s="6"/>
      <c r="S45" s="7"/>
    </row>
    <row r="46">
      <c r="D46" s="4"/>
      <c r="F46" s="5"/>
      <c r="G46" s="5"/>
      <c r="H46" s="6"/>
      <c r="I46" s="7"/>
      <c r="J46" s="6"/>
      <c r="S46" s="7"/>
    </row>
    <row r="47">
      <c r="D47" s="4"/>
      <c r="F47" s="5"/>
      <c r="G47" s="1" t="s">
        <v>90</v>
      </c>
      <c r="H47" s="1" t="s">
        <v>91</v>
      </c>
      <c r="I47" s="15" t="s">
        <v>92</v>
      </c>
      <c r="J47" s="1" t="s">
        <v>93</v>
      </c>
      <c r="K47" s="16" t="s">
        <v>94</v>
      </c>
      <c r="S47" s="7"/>
    </row>
    <row r="48">
      <c r="D48" s="4"/>
      <c r="F48" s="5"/>
      <c r="G48" s="6" t="str">
        <f t="shared" ref="G48:I48" si="26">G32</f>
        <v>SUP_EL02</v>
      </c>
      <c r="H48" s="4">
        <f t="shared" si="26"/>
        <v>13.92592593</v>
      </c>
      <c r="I48" s="7">
        <f t="shared" si="26"/>
        <v>4.556701961</v>
      </c>
      <c r="J48" s="8" t="str">
        <f t="shared" ref="J48:J57" si="28">TEXTJOIN("",TRUE,J32,"-",K32," hari")</f>
        <v>7-23 hari</v>
      </c>
      <c r="K48" s="16" t="s">
        <v>96</v>
      </c>
      <c r="S48" s="7"/>
    </row>
    <row r="49">
      <c r="D49" s="4"/>
      <c r="F49" s="5"/>
      <c r="G49" s="6" t="str">
        <f t="shared" ref="G49:I49" si="27">G33</f>
        <v>SUP_HM01</v>
      </c>
      <c r="H49" s="4">
        <f t="shared" si="27"/>
        <v>8.586206897</v>
      </c>
      <c r="I49" s="7">
        <f t="shared" si="27"/>
        <v>1.239736187</v>
      </c>
      <c r="J49" s="8" t="str">
        <f t="shared" si="28"/>
        <v>6-10 hari</v>
      </c>
      <c r="K49" s="16" t="s">
        <v>97</v>
      </c>
      <c r="S49" s="7"/>
    </row>
    <row r="50">
      <c r="D50" s="4"/>
      <c r="F50" s="5"/>
      <c r="G50" s="6" t="str">
        <f t="shared" ref="G50:I50" si="29">G34</f>
        <v>SUP_HM02</v>
      </c>
      <c r="H50" s="4">
        <f t="shared" si="29"/>
        <v>7.37037037</v>
      </c>
      <c r="I50" s="7">
        <f t="shared" si="29"/>
        <v>2.186464448</v>
      </c>
      <c r="J50" s="8" t="str">
        <f t="shared" si="28"/>
        <v>4-10 hari</v>
      </c>
      <c r="K50" s="16" t="s">
        <v>97</v>
      </c>
      <c r="S50" s="7"/>
    </row>
    <row r="51">
      <c r="D51" s="4"/>
      <c r="F51" s="5"/>
      <c r="G51" s="6" t="str">
        <f t="shared" ref="G51:I51" si="30">G35</f>
        <v>SUP_EL01</v>
      </c>
      <c r="H51" s="4">
        <f t="shared" si="30"/>
        <v>6.586206897</v>
      </c>
      <c r="I51" s="7">
        <f t="shared" si="30"/>
        <v>1.37625894</v>
      </c>
      <c r="J51" s="8" t="str">
        <f t="shared" si="28"/>
        <v>5-9 hari</v>
      </c>
      <c r="K51" s="16" t="s">
        <v>97</v>
      </c>
      <c r="S51" s="7"/>
    </row>
    <row r="52">
      <c r="D52" s="4"/>
      <c r="F52" s="5"/>
      <c r="G52" s="6" t="str">
        <f t="shared" ref="G52:I52" si="31">G36</f>
        <v>SUP_BT02</v>
      </c>
      <c r="H52" s="4">
        <f t="shared" si="31"/>
        <v>6.285714286</v>
      </c>
      <c r="I52" s="7">
        <f t="shared" si="31"/>
        <v>1.536160265</v>
      </c>
      <c r="J52" s="8" t="str">
        <f t="shared" si="28"/>
        <v>4-8 hari</v>
      </c>
      <c r="K52" s="16" t="s">
        <v>97</v>
      </c>
      <c r="S52" s="7"/>
    </row>
    <row r="53">
      <c r="D53" s="4"/>
      <c r="F53" s="5"/>
      <c r="G53" s="6" t="str">
        <f t="shared" ref="G53:I53" si="32">G37</f>
        <v>SUP_FA02</v>
      </c>
      <c r="H53" s="4">
        <f t="shared" si="32"/>
        <v>5.766666667</v>
      </c>
      <c r="I53" s="7">
        <f t="shared" si="32"/>
        <v>1.813423764</v>
      </c>
      <c r="J53" s="8" t="str">
        <f t="shared" si="28"/>
        <v>3-9 hari</v>
      </c>
      <c r="K53" s="16" t="s">
        <v>97</v>
      </c>
      <c r="S53" s="7"/>
    </row>
    <row r="54">
      <c r="D54" s="4"/>
      <c r="F54" s="5"/>
      <c r="G54" s="6" t="str">
        <f t="shared" ref="G54:I54" si="33">G38</f>
        <v>SUP_FB02</v>
      </c>
      <c r="H54" s="4">
        <f t="shared" si="33"/>
        <v>5.37037037</v>
      </c>
      <c r="I54" s="7">
        <f t="shared" si="33"/>
        <v>1.275453106</v>
      </c>
      <c r="J54" s="8" t="str">
        <f t="shared" si="28"/>
        <v>3-7 hari</v>
      </c>
      <c r="K54" s="16" t="s">
        <v>97</v>
      </c>
      <c r="S54" s="7"/>
    </row>
    <row r="55">
      <c r="D55" s="4"/>
      <c r="F55" s="5"/>
      <c r="G55" s="6" t="str">
        <f t="shared" ref="G55:I55" si="34">G39</f>
        <v>SUP_BT01</v>
      </c>
      <c r="H55" s="4">
        <f t="shared" si="34"/>
        <v>4.965517241</v>
      </c>
      <c r="I55" s="7">
        <f t="shared" si="34"/>
        <v>0.8653140892</v>
      </c>
      <c r="J55" s="8" t="str">
        <f t="shared" si="28"/>
        <v>4-6 hari</v>
      </c>
      <c r="K55" s="16" t="s">
        <v>97</v>
      </c>
      <c r="S55" s="7"/>
    </row>
    <row r="56">
      <c r="D56" s="4"/>
      <c r="F56" s="5"/>
      <c r="G56" s="6" t="str">
        <f t="shared" ref="G56:I56" si="35">G40</f>
        <v>SUP_FA01</v>
      </c>
      <c r="H56" s="4">
        <f t="shared" si="35"/>
        <v>4.607142857</v>
      </c>
      <c r="I56" s="7">
        <f t="shared" si="35"/>
        <v>1.499117906</v>
      </c>
      <c r="J56" s="8" t="str">
        <f t="shared" si="28"/>
        <v>3-7 hari</v>
      </c>
      <c r="K56" s="16" t="s">
        <v>97</v>
      </c>
      <c r="S56" s="7"/>
    </row>
    <row r="57">
      <c r="D57" s="4"/>
      <c r="F57" s="5"/>
      <c r="G57" s="6" t="str">
        <f t="shared" ref="G57:I57" si="36">G41</f>
        <v>SUP_FB01</v>
      </c>
      <c r="H57" s="4">
        <f t="shared" si="36"/>
        <v>4.142857143</v>
      </c>
      <c r="I57" s="7">
        <f t="shared" si="36"/>
        <v>0.7052336473</v>
      </c>
      <c r="J57" s="8" t="str">
        <f t="shared" si="28"/>
        <v>3-5 hari</v>
      </c>
      <c r="K57" s="16" t="s">
        <v>97</v>
      </c>
      <c r="S57" s="7"/>
    </row>
    <row r="58">
      <c r="D58" s="4"/>
      <c r="F58" s="5"/>
      <c r="G58" s="6" t="str">
        <f t="shared" ref="G58:I58" si="37">G42</f>
        <v/>
      </c>
      <c r="H58" s="6" t="str">
        <f t="shared" si="37"/>
        <v/>
      </c>
      <c r="I58" s="7" t="str">
        <f t="shared" si="37"/>
        <v/>
      </c>
      <c r="S58" s="7"/>
    </row>
    <row r="59">
      <c r="D59" s="4"/>
      <c r="F59" s="5"/>
      <c r="G59" s="6" t="str">
        <f t="shared" ref="G59:I59" si="38">G43</f>
        <v/>
      </c>
      <c r="H59" s="6" t="str">
        <f t="shared" si="38"/>
        <v/>
      </c>
      <c r="I59" s="7" t="str">
        <f t="shared" si="38"/>
        <v/>
      </c>
      <c r="S59" s="7"/>
    </row>
    <row r="60">
      <c r="D60" s="4"/>
      <c r="F60" s="5"/>
      <c r="G60" s="6" t="str">
        <f t="shared" ref="G60:I60" si="39">G44</f>
        <v/>
      </c>
      <c r="H60" s="6" t="str">
        <f t="shared" si="39"/>
        <v/>
      </c>
      <c r="I60" s="7" t="str">
        <f t="shared" si="39"/>
        <v/>
      </c>
      <c r="S60" s="7"/>
    </row>
    <row r="61">
      <c r="D61" s="4"/>
      <c r="F61" s="5"/>
      <c r="G61" s="6"/>
      <c r="I61" s="7"/>
      <c r="S61" s="7"/>
    </row>
    <row r="62">
      <c r="D62" s="4"/>
      <c r="F62" s="5"/>
      <c r="G62" s="6"/>
      <c r="I62" s="7"/>
      <c r="S62" s="7"/>
    </row>
    <row r="63">
      <c r="D63" s="4"/>
      <c r="F63" s="5"/>
      <c r="G63" s="6"/>
      <c r="I63" s="7"/>
      <c r="S63" s="7"/>
    </row>
    <row r="64">
      <c r="D64" s="4"/>
      <c r="F64" s="5"/>
      <c r="G64" s="6"/>
      <c r="I64" s="7"/>
      <c r="S64" s="7"/>
    </row>
    <row r="65">
      <c r="A65" s="11"/>
      <c r="B65" s="11"/>
      <c r="C65" s="11"/>
      <c r="D65" s="28"/>
      <c r="E65" s="11"/>
      <c r="F65" s="29"/>
      <c r="G65" s="30"/>
      <c r="H65" s="11"/>
      <c r="I65" s="31"/>
      <c r="J65" s="11"/>
      <c r="K65" s="11"/>
      <c r="L65" s="11"/>
      <c r="M65" s="11"/>
      <c r="N65" s="11"/>
      <c r="O65" s="11"/>
      <c r="P65" s="11"/>
      <c r="Q65" s="11"/>
      <c r="R65" s="11"/>
      <c r="S65" s="3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D66" s="4"/>
      <c r="F66" s="5"/>
      <c r="G66" s="6"/>
      <c r="I66" s="7"/>
      <c r="S66" s="7"/>
    </row>
    <row r="67">
      <c r="D67" s="4"/>
      <c r="F67" s="5"/>
      <c r="G67" s="6"/>
      <c r="I67" s="7"/>
      <c r="S67" s="7"/>
    </row>
    <row r="68">
      <c r="D68" s="4"/>
      <c r="F68" s="5"/>
      <c r="G68" s="6"/>
      <c r="I68" s="7"/>
      <c r="S68" s="7"/>
    </row>
    <row r="69">
      <c r="D69" s="4"/>
      <c r="F69" s="17" t="s">
        <v>111</v>
      </c>
      <c r="G69" s="1" t="s">
        <v>100</v>
      </c>
      <c r="H69" s="1" t="s">
        <v>94</v>
      </c>
      <c r="I69" s="7"/>
      <c r="S69" s="7"/>
    </row>
    <row r="70">
      <c r="D70" s="4">
        <f t="shared" ref="D70:D74" si="40">B70/C70</f>
        <v>4.286850153</v>
      </c>
      <c r="F70" s="5" t="str">
        <f t="shared" ref="F70:F74" si="41">A70</f>
        <v>Beauty</v>
      </c>
      <c r="G70" s="9" t="str">
        <f t="shared" ref="G70:G74" si="42">textjoin("",true,D70,"x")</f>
        <v>4.3x</v>
      </c>
      <c r="H70" s="32" t="s">
        <v>101</v>
      </c>
      <c r="I70" s="7"/>
      <c r="S70" s="7"/>
    </row>
    <row r="71">
      <c r="D71" s="4">
        <f t="shared" si="40"/>
        <v>0.8944444444</v>
      </c>
      <c r="F71" s="5" t="str">
        <f t="shared" si="41"/>
        <v>Electronics</v>
      </c>
      <c r="G71" s="9" t="str">
        <f t="shared" si="42"/>
        <v>0.9x</v>
      </c>
      <c r="H71" s="32" t="s">
        <v>102</v>
      </c>
      <c r="I71" s="7"/>
      <c r="S71" s="7"/>
    </row>
    <row r="72">
      <c r="D72" s="4">
        <f t="shared" si="40"/>
        <v>0.3820773931</v>
      </c>
      <c r="F72" s="5" t="str">
        <f t="shared" si="41"/>
        <v>Fashion</v>
      </c>
      <c r="G72" s="9" t="str">
        <f t="shared" si="42"/>
        <v>0.4x</v>
      </c>
      <c r="H72" s="32" t="s">
        <v>103</v>
      </c>
      <c r="I72" s="7"/>
      <c r="S72" s="7"/>
    </row>
    <row r="73">
      <c r="D73" s="4">
        <f t="shared" si="40"/>
        <v>0.4475903614</v>
      </c>
      <c r="F73" s="5" t="str">
        <f t="shared" si="41"/>
        <v>Food &amp; Beverage</v>
      </c>
      <c r="G73" s="9" t="str">
        <f t="shared" si="42"/>
        <v>0.4x</v>
      </c>
      <c r="H73" s="32" t="s">
        <v>103</v>
      </c>
      <c r="I73" s="7"/>
      <c r="S73" s="7"/>
    </row>
    <row r="74">
      <c r="D74" s="4">
        <f t="shared" si="40"/>
        <v>1.481422925</v>
      </c>
      <c r="F74" s="5" t="str">
        <f t="shared" si="41"/>
        <v>Home &amp; Living</v>
      </c>
      <c r="G74" s="9" t="str">
        <f t="shared" si="42"/>
        <v>1.5x</v>
      </c>
      <c r="H74" s="32" t="s">
        <v>104</v>
      </c>
      <c r="I74" s="7"/>
      <c r="S74" s="7"/>
    </row>
    <row r="75">
      <c r="D75" s="4"/>
      <c r="F75" s="5"/>
      <c r="G75" s="6"/>
      <c r="I75" s="7"/>
      <c r="S75" s="7"/>
    </row>
    <row r="76">
      <c r="D76" s="4"/>
      <c r="F76" s="5"/>
      <c r="G76" s="6"/>
      <c r="I76" s="7"/>
      <c r="S76" s="7"/>
    </row>
    <row r="77">
      <c r="D77" s="4"/>
      <c r="F77" s="5"/>
      <c r="G77" s="6"/>
      <c r="I77" s="7"/>
      <c r="S77" s="7"/>
    </row>
    <row r="78">
      <c r="D78" s="4"/>
      <c r="F78" s="5"/>
      <c r="G78" s="6"/>
      <c r="I78" s="7"/>
      <c r="S78" s="7"/>
    </row>
    <row r="79">
      <c r="D79" s="4"/>
      <c r="F79" s="5"/>
      <c r="G79" s="6"/>
      <c r="I79" s="7"/>
      <c r="S79" s="7"/>
    </row>
    <row r="80">
      <c r="D80" s="4"/>
      <c r="F80" s="5"/>
      <c r="G80" s="6"/>
      <c r="I80" s="7"/>
      <c r="S80" s="7"/>
    </row>
    <row r="81">
      <c r="D81" s="4"/>
      <c r="F81" s="5"/>
      <c r="G81" s="6"/>
      <c r="I81" s="7"/>
      <c r="S81" s="7"/>
    </row>
    <row r="82">
      <c r="D82" s="4"/>
      <c r="F82" s="17" t="s">
        <v>105</v>
      </c>
      <c r="G82" s="1" t="s">
        <v>106</v>
      </c>
      <c r="H82" s="1" t="s">
        <v>107</v>
      </c>
      <c r="J82" s="15" t="s">
        <v>109</v>
      </c>
      <c r="S82" s="7"/>
    </row>
    <row r="83">
      <c r="D83" s="4"/>
      <c r="E83" s="18">
        <f>MAXIFS('Data Clean'!K:K, 'Data Clean'!A:A, A83)</f>
        <v>46082</v>
      </c>
      <c r="F83" s="5">
        <f t="array" ref="F83">XLOOKUP(1, ('Data Clean'!A2:A1000=A83) * ('Data Clean'!K2:K1000=E83), 'Data Clean'!D2:D1000)</f>
        <v>153</v>
      </c>
      <c r="G83" s="5">
        <f t="array" ref="G83">XLOOKUP(1, ('Data Clean'!A2:A1000=A83) * ('Data Clean'!K2:K1000=E83), 'Data Clean'!E2:E1000)</f>
        <v>40</v>
      </c>
      <c r="H83" s="7">
        <f t="shared" ref="H83:H86" si="43">F83/G83</f>
        <v>3.825</v>
      </c>
      <c r="I83" s="19">
        <f t="array" ref="I83">XLOOKUP(1, ('Data Clean'!A2:A1000=A83) * ('Data Clean'!K2:K1000=E83), 'Data Clean'!J2:J1000)</f>
        <v>550000</v>
      </c>
      <c r="J83" s="19">
        <f t="shared" ref="J83:J86" si="44">I83*F83</f>
        <v>84150000</v>
      </c>
      <c r="S83" s="7"/>
    </row>
    <row r="84">
      <c r="D84" s="4"/>
      <c r="E84" s="18">
        <f>MAXIFS('Data Clean'!K:K, 'Data Clean'!A:A, A84)</f>
        <v>46082</v>
      </c>
      <c r="F84" s="5">
        <f t="array" ref="F84">XLOOKUP(1, ('Data Clean'!A3:A1000=A84) * ('Data Clean'!K3:K1000=E84), 'Data Clean'!D3:D1000)</f>
        <v>268</v>
      </c>
      <c r="G84" s="5">
        <f t="array" ref="G84">XLOOKUP(1, ('Data Clean'!A3:A1000=A84) * ('Data Clean'!K3:K1000=E84), 'Data Clean'!E3:E1000)</f>
        <v>80</v>
      </c>
      <c r="H84" s="7">
        <f t="shared" si="43"/>
        <v>3.35</v>
      </c>
      <c r="I84" s="19">
        <f t="array" ref="I84">XLOOKUP(1, ('Data Clean'!A3:A1000=A84) * ('Data Clean'!K3:K1000=E84), 'Data Clean'!J3:J1000)</f>
        <v>85000</v>
      </c>
      <c r="J84" s="19">
        <f t="shared" si="44"/>
        <v>22780000</v>
      </c>
      <c r="S84" s="7"/>
    </row>
    <row r="85">
      <c r="D85" s="4"/>
      <c r="E85" s="18">
        <f>MAXIFS('Data Clean'!K:K, 'Data Clean'!A:A, A85)</f>
        <v>46082</v>
      </c>
      <c r="F85" s="5">
        <f t="array" ref="F85">XLOOKUP(1, ('Data Clean'!A4:A1000=A85) * ('Data Clean'!K4:K1000=E85), 'Data Clean'!D4:D1000)</f>
        <v>223</v>
      </c>
      <c r="G85" s="5">
        <f t="array" ref="G85">XLOOKUP(1, ('Data Clean'!A4:A1000=A85) * ('Data Clean'!K4:K1000=E85), 'Data Clean'!E4:E1000)</f>
        <v>60</v>
      </c>
      <c r="H85" s="7">
        <f t="shared" si="43"/>
        <v>3.716666667</v>
      </c>
      <c r="I85" s="19">
        <f t="array" ref="I85">XLOOKUP(1, ('Data Clean'!A4:A1000=A85) * ('Data Clean'!K4:K1000=E85), 'Data Clean'!J4:J1000)</f>
        <v>165000</v>
      </c>
      <c r="J85" s="19">
        <f t="shared" si="44"/>
        <v>36795000</v>
      </c>
      <c r="S85" s="7"/>
    </row>
    <row r="86">
      <c r="D86" s="4"/>
      <c r="E86" s="18">
        <f>MAXIFS('Data Clean'!K:K, 'Data Clean'!A:A, A86)</f>
        <v>46082</v>
      </c>
      <c r="F86" s="5">
        <f t="array" ref="F86">XLOOKUP(1, ('Data Clean'!A5:A1000=A86) * ('Data Clean'!K5:K1000=E86), 'Data Clean'!D5:D1000)</f>
        <v>217</v>
      </c>
      <c r="G86" s="5">
        <f t="array" ref="G86">XLOOKUP(1, ('Data Clean'!A5:A1000=A86) * ('Data Clean'!K5:K1000=E86), 'Data Clean'!E5:E1000)</f>
        <v>50</v>
      </c>
      <c r="H86" s="7">
        <f t="shared" si="43"/>
        <v>4.34</v>
      </c>
      <c r="I86" s="19">
        <f t="array" ref="I86">XLOOKUP(1, ('Data Clean'!A5:A1000=A86) * ('Data Clean'!K5:K1000=E86), 'Data Clean'!J5:J1000)</f>
        <v>125000</v>
      </c>
      <c r="J86" s="19">
        <f t="shared" si="44"/>
        <v>27125000</v>
      </c>
      <c r="S86" s="7"/>
    </row>
    <row r="87">
      <c r="D87" s="4"/>
      <c r="F87" s="5"/>
      <c r="G87" s="6"/>
      <c r="I87" s="7"/>
      <c r="S87" s="7"/>
    </row>
    <row r="88">
      <c r="D88" s="4"/>
      <c r="F88" s="5"/>
      <c r="G88" s="6"/>
      <c r="I88" s="7"/>
      <c r="S88" s="7"/>
    </row>
    <row r="89">
      <c r="D89" s="4"/>
      <c r="F89" s="5"/>
      <c r="G89" s="6"/>
      <c r="I89" s="7"/>
      <c r="S89" s="7"/>
    </row>
    <row r="90">
      <c r="D90" s="4"/>
      <c r="F90" s="5"/>
      <c r="G90" s="6"/>
      <c r="I90" s="7"/>
      <c r="S90" s="7"/>
    </row>
    <row r="91">
      <c r="D91" s="4"/>
      <c r="E91" s="1" t="s">
        <v>0</v>
      </c>
      <c r="F91" s="17" t="s">
        <v>75</v>
      </c>
      <c r="G91" s="1" t="s">
        <v>105</v>
      </c>
      <c r="H91" s="1" t="s">
        <v>106</v>
      </c>
      <c r="I91" s="15" t="s">
        <v>107</v>
      </c>
      <c r="J91" s="1" t="s">
        <v>109</v>
      </c>
      <c r="S91" s="7"/>
    </row>
    <row r="92">
      <c r="D92" s="4"/>
      <c r="E92" s="3" t="str">
        <f t="shared" ref="E92:F92" si="45">A83</f>
        <v>SKU-013</v>
      </c>
      <c r="F92" s="3" t="str">
        <f t="shared" si="45"/>
        <v>Skincare Set Whitelab</v>
      </c>
      <c r="G92" s="5">
        <f t="shared" ref="G92:I92" si="46">F83</f>
        <v>153</v>
      </c>
      <c r="H92" s="5">
        <f t="shared" si="46"/>
        <v>40</v>
      </c>
      <c r="I92" s="4">
        <f t="shared" si="46"/>
        <v>3.825</v>
      </c>
      <c r="J92" s="33">
        <f t="shared" ref="J92:J95" si="49">J83</f>
        <v>84150000</v>
      </c>
      <c r="S92" s="7"/>
    </row>
    <row r="93">
      <c r="D93" s="4"/>
      <c r="E93" s="3" t="str">
        <f t="shared" ref="E93:F93" si="47">A84</f>
        <v>SKU-014</v>
      </c>
      <c r="F93" s="3" t="str">
        <f t="shared" si="47"/>
        <v>Lipstik Matte Wardah</v>
      </c>
      <c r="G93" s="5">
        <f t="shared" ref="G93:I93" si="48">F84</f>
        <v>268</v>
      </c>
      <c r="H93" s="5">
        <f t="shared" si="48"/>
        <v>80</v>
      </c>
      <c r="I93" s="4">
        <f t="shared" si="48"/>
        <v>3.35</v>
      </c>
      <c r="J93" s="33">
        <f t="shared" si="49"/>
        <v>22780000</v>
      </c>
      <c r="S93" s="7"/>
    </row>
    <row r="94">
      <c r="D94" s="4"/>
      <c r="E94" s="3" t="str">
        <f t="shared" ref="E94:F94" si="50">A85</f>
        <v>SKU-015</v>
      </c>
      <c r="F94" s="3" t="str">
        <f t="shared" si="50"/>
        <v>Foundation Maybelline Fit</v>
      </c>
      <c r="G94" s="5">
        <f t="shared" ref="G94:I94" si="51">F85</f>
        <v>223</v>
      </c>
      <c r="H94" s="5">
        <f t="shared" si="51"/>
        <v>60</v>
      </c>
      <c r="I94" s="4">
        <f t="shared" si="51"/>
        <v>3.716666667</v>
      </c>
      <c r="J94" s="33">
        <f t="shared" si="49"/>
        <v>36795000</v>
      </c>
      <c r="S94" s="7"/>
    </row>
    <row r="95">
      <c r="D95" s="4"/>
      <c r="E95" s="3" t="str">
        <f t="shared" ref="E95:F95" si="52">A86</f>
        <v>SKU-016</v>
      </c>
      <c r="F95" s="3" t="str">
        <f t="shared" si="52"/>
        <v>Parfum EDT Brasov 100ml</v>
      </c>
      <c r="G95" s="5">
        <f t="shared" ref="G95:I95" si="53">F86</f>
        <v>217</v>
      </c>
      <c r="H95" s="5">
        <f t="shared" si="53"/>
        <v>50</v>
      </c>
      <c r="I95" s="4">
        <f t="shared" si="53"/>
        <v>4.34</v>
      </c>
      <c r="J95" s="33">
        <f t="shared" si="49"/>
        <v>27125000</v>
      </c>
      <c r="S95" s="7"/>
    </row>
    <row r="96">
      <c r="D96" s="4"/>
      <c r="E96" s="21" t="s">
        <v>110</v>
      </c>
      <c r="J96" s="33">
        <f>SUM(J92:J95)</f>
        <v>170850000</v>
      </c>
      <c r="S96" s="7"/>
    </row>
    <row r="97">
      <c r="D97" s="4"/>
      <c r="F97" s="5"/>
      <c r="G97" s="6"/>
      <c r="I97" s="7"/>
      <c r="S97" s="7"/>
    </row>
    <row r="98">
      <c r="D98" s="4"/>
      <c r="F98" s="5"/>
      <c r="G98" s="6"/>
      <c r="I98" s="7"/>
      <c r="S98" s="7"/>
    </row>
    <row r="99">
      <c r="D99" s="4"/>
      <c r="F99" s="5"/>
      <c r="G99" s="6"/>
      <c r="I99" s="7"/>
      <c r="S99" s="7"/>
    </row>
    <row r="100">
      <c r="D100" s="4"/>
      <c r="F100" s="5"/>
      <c r="G100" s="6"/>
      <c r="I100" s="7"/>
      <c r="S100" s="7"/>
    </row>
    <row r="101">
      <c r="D101" s="4"/>
      <c r="F101" s="5"/>
      <c r="G101" s="6"/>
      <c r="I101" s="7"/>
      <c r="S101" s="7"/>
    </row>
    <row r="102">
      <c r="D102" s="4"/>
      <c r="F102" s="5"/>
      <c r="G102" s="6"/>
      <c r="I102" s="7"/>
      <c r="S102" s="7"/>
    </row>
    <row r="103">
      <c r="D103" s="4"/>
      <c r="F103" s="5"/>
      <c r="G103" s="6"/>
      <c r="I103" s="7"/>
      <c r="S103" s="7"/>
    </row>
    <row r="104">
      <c r="D104" s="4"/>
      <c r="F104" s="5"/>
      <c r="G104" s="6"/>
      <c r="I104" s="7"/>
      <c r="S104" s="7"/>
    </row>
    <row r="105">
      <c r="D105" s="4"/>
      <c r="F105" s="5"/>
      <c r="G105" s="6"/>
      <c r="I105" s="7"/>
      <c r="S105" s="7"/>
    </row>
    <row r="106">
      <c r="D106" s="4"/>
      <c r="F106" s="5"/>
      <c r="G106" s="6"/>
      <c r="I106" s="7"/>
      <c r="S106" s="7"/>
    </row>
    <row r="107">
      <c r="D107" s="4"/>
      <c r="F107" s="5"/>
      <c r="G107" s="6"/>
      <c r="I107" s="7"/>
      <c r="S107" s="7"/>
    </row>
    <row r="108">
      <c r="D108" s="4"/>
      <c r="F108" s="5"/>
      <c r="G108" s="6"/>
      <c r="I108" s="7"/>
      <c r="S108" s="7"/>
    </row>
    <row r="109">
      <c r="D109" s="4"/>
      <c r="F109" s="5"/>
      <c r="G109" s="6"/>
      <c r="I109" s="7"/>
      <c r="S109" s="7"/>
    </row>
    <row r="110">
      <c r="D110" s="4"/>
      <c r="F110" s="5"/>
      <c r="G110" s="6"/>
      <c r="I110" s="7"/>
      <c r="S110" s="7"/>
    </row>
    <row r="111">
      <c r="D111" s="4"/>
      <c r="F111" s="5"/>
      <c r="G111" s="6"/>
      <c r="I111" s="7"/>
      <c r="S111" s="7"/>
    </row>
    <row r="112">
      <c r="D112" s="4"/>
      <c r="F112" s="5"/>
      <c r="G112" s="6"/>
      <c r="I112" s="7"/>
      <c r="S112" s="7"/>
    </row>
    <row r="113">
      <c r="D113" s="4"/>
      <c r="F113" s="5"/>
      <c r="G113" s="6"/>
      <c r="I113" s="7"/>
      <c r="S113" s="7"/>
    </row>
    <row r="114">
      <c r="D114" s="4"/>
      <c r="F114" s="5"/>
      <c r="G114" s="6"/>
      <c r="I114" s="7"/>
      <c r="S114" s="7"/>
    </row>
    <row r="115">
      <c r="D115" s="4"/>
      <c r="F115" s="5"/>
      <c r="G115" s="6"/>
      <c r="I115" s="7"/>
      <c r="S115" s="7"/>
    </row>
    <row r="116">
      <c r="D116" s="4"/>
      <c r="F116" s="5"/>
      <c r="G116" s="6"/>
      <c r="I116" s="7"/>
      <c r="S116" s="7"/>
    </row>
    <row r="117">
      <c r="D117" s="4"/>
      <c r="F117" s="5"/>
      <c r="G117" s="6"/>
      <c r="I117" s="7"/>
      <c r="S117" s="7"/>
    </row>
    <row r="118">
      <c r="D118" s="4"/>
      <c r="F118" s="5"/>
      <c r="G118" s="6"/>
      <c r="I118" s="7"/>
      <c r="S118" s="7"/>
    </row>
    <row r="119">
      <c r="D119" s="4"/>
      <c r="F119" s="5"/>
      <c r="G119" s="6"/>
      <c r="I119" s="7"/>
      <c r="S119" s="7"/>
    </row>
    <row r="120">
      <c r="D120" s="4"/>
      <c r="F120" s="5"/>
      <c r="G120" s="6"/>
      <c r="I120" s="7"/>
      <c r="S120" s="7"/>
    </row>
    <row r="121">
      <c r="D121" s="4"/>
      <c r="F121" s="5"/>
      <c r="G121" s="6"/>
      <c r="I121" s="7"/>
      <c r="S121" s="7"/>
    </row>
    <row r="122">
      <c r="D122" s="4"/>
      <c r="F122" s="5"/>
      <c r="G122" s="6"/>
      <c r="I122" s="7"/>
      <c r="S122" s="7"/>
    </row>
    <row r="123">
      <c r="D123" s="4"/>
      <c r="F123" s="5"/>
      <c r="G123" s="6"/>
      <c r="I123" s="7"/>
      <c r="S123" s="7"/>
    </row>
    <row r="124">
      <c r="D124" s="4"/>
      <c r="F124" s="5"/>
      <c r="G124" s="6"/>
      <c r="I124" s="7"/>
      <c r="S124" s="7"/>
    </row>
    <row r="125">
      <c r="D125" s="4"/>
      <c r="F125" s="5"/>
      <c r="G125" s="6"/>
      <c r="I125" s="7"/>
      <c r="S125" s="7"/>
    </row>
    <row r="126">
      <c r="D126" s="4"/>
      <c r="F126" s="5"/>
      <c r="G126" s="6"/>
      <c r="I126" s="7"/>
      <c r="S126" s="7"/>
    </row>
    <row r="127">
      <c r="D127" s="4"/>
      <c r="F127" s="5"/>
      <c r="G127" s="6"/>
      <c r="I127" s="7"/>
      <c r="S127" s="7"/>
    </row>
    <row r="128">
      <c r="D128" s="4"/>
      <c r="F128" s="5"/>
      <c r="G128" s="6"/>
      <c r="I128" s="7"/>
      <c r="S128" s="7"/>
    </row>
    <row r="129">
      <c r="D129" s="4"/>
      <c r="F129" s="5"/>
      <c r="G129" s="6"/>
      <c r="I129" s="7"/>
      <c r="S129" s="7"/>
    </row>
    <row r="130">
      <c r="D130" s="4"/>
      <c r="F130" s="5"/>
      <c r="G130" s="6"/>
      <c r="I130" s="7"/>
      <c r="S130" s="7"/>
    </row>
    <row r="131">
      <c r="D131" s="4"/>
      <c r="F131" s="5"/>
      <c r="G131" s="6"/>
      <c r="I131" s="7"/>
      <c r="S131" s="7"/>
    </row>
    <row r="132">
      <c r="D132" s="4"/>
      <c r="F132" s="5"/>
      <c r="G132" s="6"/>
      <c r="I132" s="7"/>
      <c r="S132" s="7"/>
    </row>
    <row r="133">
      <c r="D133" s="4"/>
      <c r="F133" s="5"/>
      <c r="G133" s="6"/>
      <c r="I133" s="7"/>
      <c r="S133" s="7"/>
    </row>
    <row r="134">
      <c r="D134" s="4"/>
      <c r="F134" s="5"/>
      <c r="G134" s="6"/>
      <c r="I134" s="7"/>
      <c r="S134" s="7"/>
    </row>
    <row r="135">
      <c r="D135" s="4"/>
      <c r="F135" s="5"/>
      <c r="G135" s="6"/>
      <c r="I135" s="7"/>
      <c r="S135" s="7"/>
    </row>
    <row r="136">
      <c r="D136" s="4"/>
      <c r="F136" s="5"/>
      <c r="G136" s="6"/>
      <c r="I136" s="7"/>
      <c r="S136" s="7"/>
    </row>
    <row r="137">
      <c r="D137" s="4"/>
      <c r="F137" s="5"/>
      <c r="G137" s="6"/>
      <c r="I137" s="7"/>
      <c r="S137" s="7"/>
    </row>
    <row r="138">
      <c r="D138" s="4"/>
      <c r="F138" s="5"/>
      <c r="G138" s="6"/>
      <c r="I138" s="7"/>
      <c r="S138" s="7"/>
    </row>
    <row r="139">
      <c r="D139" s="4"/>
      <c r="F139" s="5"/>
      <c r="G139" s="6"/>
      <c r="I139" s="7"/>
      <c r="S139" s="7"/>
    </row>
    <row r="140">
      <c r="D140" s="4"/>
      <c r="F140" s="5"/>
      <c r="G140" s="6"/>
      <c r="I140" s="7"/>
      <c r="S140" s="7"/>
    </row>
    <row r="141">
      <c r="D141" s="4"/>
      <c r="F141" s="5"/>
      <c r="G141" s="6"/>
      <c r="I141" s="7"/>
      <c r="S141" s="7"/>
    </row>
    <row r="142">
      <c r="D142" s="4"/>
      <c r="F142" s="5"/>
      <c r="G142" s="6"/>
      <c r="I142" s="7"/>
      <c r="S142" s="7"/>
    </row>
    <row r="143">
      <c r="D143" s="4"/>
      <c r="F143" s="5"/>
      <c r="G143" s="6"/>
      <c r="I143" s="7"/>
      <c r="S143" s="7"/>
    </row>
    <row r="144">
      <c r="D144" s="4"/>
      <c r="F144" s="5"/>
      <c r="G144" s="6"/>
      <c r="I144" s="7"/>
      <c r="S144" s="7"/>
    </row>
    <row r="145">
      <c r="D145" s="4"/>
      <c r="F145" s="5"/>
      <c r="G145" s="6"/>
      <c r="I145" s="7"/>
      <c r="S145" s="7"/>
    </row>
    <row r="146">
      <c r="D146" s="4"/>
      <c r="F146" s="5"/>
      <c r="G146" s="6"/>
      <c r="I146" s="7"/>
      <c r="S146" s="7"/>
    </row>
    <row r="147">
      <c r="D147" s="4"/>
      <c r="F147" s="5"/>
      <c r="G147" s="6"/>
      <c r="I147" s="7"/>
      <c r="S147" s="7"/>
    </row>
    <row r="148">
      <c r="D148" s="4"/>
      <c r="F148" s="5"/>
      <c r="G148" s="6"/>
      <c r="I148" s="7"/>
      <c r="S148" s="7"/>
    </row>
    <row r="149">
      <c r="D149" s="4"/>
      <c r="F149" s="5"/>
      <c r="G149" s="6"/>
      <c r="I149" s="7"/>
      <c r="S149" s="7"/>
    </row>
    <row r="150">
      <c r="D150" s="4"/>
      <c r="F150" s="5"/>
      <c r="G150" s="6"/>
      <c r="I150" s="7"/>
      <c r="S150" s="7"/>
    </row>
    <row r="151">
      <c r="D151" s="4"/>
      <c r="F151" s="5"/>
      <c r="G151" s="6"/>
      <c r="I151" s="7"/>
      <c r="S151" s="7"/>
    </row>
    <row r="152">
      <c r="D152" s="4"/>
      <c r="F152" s="5"/>
      <c r="G152" s="6"/>
      <c r="I152" s="7"/>
      <c r="S152" s="7"/>
    </row>
    <row r="153">
      <c r="D153" s="4"/>
      <c r="F153" s="5"/>
      <c r="G153" s="6"/>
      <c r="I153" s="7"/>
      <c r="S153" s="7"/>
    </row>
    <row r="154">
      <c r="D154" s="4"/>
      <c r="F154" s="5"/>
      <c r="G154" s="6"/>
      <c r="I154" s="7"/>
      <c r="S154" s="7"/>
    </row>
    <row r="155">
      <c r="D155" s="4"/>
      <c r="F155" s="5"/>
      <c r="G155" s="6"/>
      <c r="I155" s="7"/>
      <c r="S155" s="7"/>
    </row>
    <row r="156">
      <c r="D156" s="4"/>
      <c r="F156" s="5"/>
      <c r="G156" s="6"/>
      <c r="I156" s="7"/>
      <c r="S156" s="7"/>
    </row>
    <row r="157">
      <c r="D157" s="4"/>
      <c r="F157" s="5"/>
      <c r="G157" s="6"/>
      <c r="I157" s="7"/>
      <c r="S157" s="7"/>
    </row>
    <row r="158">
      <c r="D158" s="4"/>
      <c r="F158" s="5"/>
      <c r="G158" s="6"/>
      <c r="I158" s="7"/>
      <c r="S158" s="7"/>
    </row>
    <row r="159">
      <c r="D159" s="4"/>
      <c r="F159" s="5"/>
      <c r="G159" s="6"/>
      <c r="I159" s="7"/>
      <c r="S159" s="7"/>
    </row>
    <row r="160">
      <c r="D160" s="4"/>
      <c r="F160" s="5"/>
      <c r="G160" s="6"/>
      <c r="I160" s="7"/>
      <c r="S160" s="7"/>
    </row>
    <row r="161">
      <c r="D161" s="4"/>
      <c r="F161" s="5"/>
      <c r="G161" s="6"/>
      <c r="I161" s="7"/>
      <c r="S161" s="7"/>
    </row>
    <row r="162">
      <c r="D162" s="4"/>
      <c r="F162" s="5"/>
      <c r="G162" s="6"/>
      <c r="I162" s="7"/>
      <c r="S162" s="7"/>
    </row>
    <row r="163">
      <c r="D163" s="4"/>
      <c r="F163" s="5"/>
      <c r="G163" s="6"/>
      <c r="I163" s="7"/>
      <c r="S163" s="7"/>
    </row>
    <row r="164">
      <c r="D164" s="4"/>
      <c r="F164" s="5"/>
      <c r="G164" s="6"/>
      <c r="I164" s="7"/>
      <c r="S164" s="7"/>
    </row>
    <row r="165">
      <c r="D165" s="4"/>
      <c r="F165" s="5"/>
      <c r="G165" s="6"/>
      <c r="I165" s="7"/>
      <c r="S165" s="7"/>
    </row>
    <row r="166">
      <c r="D166" s="4"/>
      <c r="F166" s="5"/>
      <c r="G166" s="6"/>
      <c r="I166" s="7"/>
      <c r="S166" s="7"/>
    </row>
    <row r="167">
      <c r="D167" s="4"/>
      <c r="F167" s="5"/>
      <c r="G167" s="6"/>
      <c r="I167" s="7"/>
      <c r="S167" s="7"/>
    </row>
    <row r="168">
      <c r="D168" s="4"/>
      <c r="F168" s="5"/>
      <c r="G168" s="6"/>
      <c r="I168" s="7"/>
      <c r="S168" s="7"/>
    </row>
    <row r="169">
      <c r="D169" s="4"/>
      <c r="F169" s="5"/>
      <c r="G169" s="6"/>
      <c r="I169" s="7"/>
      <c r="S169" s="7"/>
    </row>
    <row r="170">
      <c r="D170" s="4"/>
      <c r="F170" s="5"/>
      <c r="G170" s="6"/>
      <c r="I170" s="7"/>
      <c r="S170" s="7"/>
    </row>
    <row r="171">
      <c r="D171" s="4"/>
      <c r="F171" s="5"/>
      <c r="G171" s="6"/>
      <c r="I171" s="7"/>
      <c r="S171" s="7"/>
    </row>
    <row r="172">
      <c r="D172" s="4"/>
      <c r="F172" s="5"/>
      <c r="G172" s="6"/>
      <c r="I172" s="7"/>
      <c r="S172" s="7"/>
    </row>
    <row r="173">
      <c r="D173" s="4"/>
      <c r="F173" s="5"/>
      <c r="G173" s="6"/>
      <c r="I173" s="7"/>
      <c r="S173" s="7"/>
    </row>
    <row r="174">
      <c r="D174" s="4"/>
      <c r="F174" s="5"/>
      <c r="G174" s="6"/>
      <c r="I174" s="7"/>
      <c r="S174" s="7"/>
    </row>
    <row r="175">
      <c r="D175" s="4"/>
      <c r="F175" s="5"/>
      <c r="G175" s="6"/>
      <c r="I175" s="7"/>
      <c r="S175" s="7"/>
    </row>
    <row r="176">
      <c r="D176" s="4"/>
      <c r="F176" s="5"/>
      <c r="G176" s="6"/>
      <c r="I176" s="7"/>
      <c r="S176" s="7"/>
    </row>
    <row r="177">
      <c r="D177" s="4"/>
      <c r="F177" s="5"/>
      <c r="G177" s="6"/>
      <c r="I177" s="7"/>
      <c r="S177" s="7"/>
    </row>
    <row r="178">
      <c r="D178" s="4"/>
      <c r="F178" s="5"/>
      <c r="G178" s="6"/>
      <c r="I178" s="7"/>
      <c r="S178" s="7"/>
    </row>
    <row r="179">
      <c r="D179" s="4"/>
      <c r="F179" s="5"/>
      <c r="G179" s="6"/>
      <c r="I179" s="7"/>
      <c r="S179" s="7"/>
    </row>
    <row r="180">
      <c r="D180" s="4"/>
      <c r="F180" s="5"/>
      <c r="G180" s="6"/>
      <c r="I180" s="7"/>
      <c r="S180" s="7"/>
    </row>
    <row r="181">
      <c r="D181" s="4"/>
      <c r="F181" s="5"/>
      <c r="G181" s="6"/>
      <c r="I181" s="7"/>
      <c r="S181" s="7"/>
    </row>
    <row r="182">
      <c r="D182" s="4"/>
      <c r="F182" s="5"/>
      <c r="G182" s="6"/>
      <c r="I182" s="7"/>
      <c r="S182" s="7"/>
    </row>
    <row r="183">
      <c r="D183" s="4"/>
      <c r="F183" s="5"/>
      <c r="G183" s="6"/>
      <c r="I183" s="7"/>
      <c r="S183" s="7"/>
    </row>
    <row r="184">
      <c r="D184" s="4"/>
      <c r="F184" s="5"/>
      <c r="G184" s="6"/>
      <c r="I184" s="7"/>
      <c r="S184" s="7"/>
    </row>
    <row r="185">
      <c r="D185" s="4"/>
      <c r="F185" s="5"/>
      <c r="G185" s="6"/>
      <c r="I185" s="7"/>
      <c r="S185" s="7"/>
    </row>
    <row r="186">
      <c r="D186" s="4"/>
      <c r="F186" s="5"/>
      <c r="G186" s="6"/>
      <c r="I186" s="7"/>
      <c r="S186" s="7"/>
    </row>
    <row r="187">
      <c r="D187" s="4"/>
      <c r="F187" s="5"/>
      <c r="G187" s="6"/>
      <c r="I187" s="7"/>
      <c r="S187" s="7"/>
    </row>
    <row r="188">
      <c r="D188" s="4"/>
      <c r="F188" s="5"/>
      <c r="G188" s="6"/>
      <c r="I188" s="7"/>
      <c r="S188" s="7"/>
    </row>
    <row r="189">
      <c r="D189" s="4"/>
      <c r="F189" s="5"/>
      <c r="G189" s="6"/>
      <c r="I189" s="7"/>
      <c r="S189" s="7"/>
    </row>
    <row r="190">
      <c r="D190" s="4"/>
      <c r="F190" s="5"/>
      <c r="G190" s="6"/>
      <c r="I190" s="7"/>
      <c r="S190" s="7"/>
    </row>
    <row r="191">
      <c r="D191" s="4"/>
      <c r="F191" s="5"/>
      <c r="G191" s="6"/>
      <c r="I191" s="7"/>
      <c r="S191" s="7"/>
    </row>
    <row r="192">
      <c r="D192" s="4"/>
      <c r="F192" s="5"/>
      <c r="G192" s="6"/>
      <c r="I192" s="7"/>
      <c r="S192" s="7"/>
    </row>
    <row r="193">
      <c r="D193" s="4"/>
      <c r="F193" s="5"/>
      <c r="G193" s="6"/>
      <c r="I193" s="7"/>
      <c r="S193" s="7"/>
    </row>
    <row r="194">
      <c r="D194" s="4"/>
      <c r="F194" s="5"/>
      <c r="G194" s="6"/>
      <c r="I194" s="7"/>
      <c r="S194" s="7"/>
    </row>
    <row r="195">
      <c r="D195" s="4"/>
      <c r="F195" s="5"/>
      <c r="G195" s="6"/>
      <c r="I195" s="7"/>
      <c r="S195" s="7"/>
    </row>
    <row r="196">
      <c r="D196" s="4"/>
      <c r="F196" s="5"/>
      <c r="G196" s="6"/>
      <c r="I196" s="7"/>
      <c r="S196" s="7"/>
    </row>
    <row r="197">
      <c r="D197" s="4"/>
      <c r="F197" s="5"/>
      <c r="G197" s="6"/>
      <c r="I197" s="7"/>
      <c r="S197" s="7"/>
    </row>
    <row r="198">
      <c r="D198" s="4"/>
      <c r="F198" s="5"/>
      <c r="G198" s="6"/>
      <c r="I198" s="7"/>
      <c r="S198" s="7"/>
    </row>
    <row r="199">
      <c r="D199" s="4"/>
      <c r="F199" s="5"/>
      <c r="G199" s="6"/>
      <c r="I199" s="7"/>
      <c r="S199" s="7"/>
    </row>
    <row r="200">
      <c r="D200" s="4"/>
      <c r="F200" s="5"/>
      <c r="G200" s="6"/>
      <c r="I200" s="7"/>
      <c r="S200" s="7"/>
    </row>
    <row r="201">
      <c r="D201" s="4"/>
      <c r="F201" s="5"/>
      <c r="G201" s="6"/>
      <c r="I201" s="7"/>
      <c r="S201" s="7"/>
    </row>
    <row r="202">
      <c r="D202" s="4"/>
      <c r="F202" s="5"/>
      <c r="G202" s="6"/>
      <c r="I202" s="7"/>
      <c r="S202" s="7"/>
    </row>
    <row r="203">
      <c r="D203" s="4"/>
      <c r="F203" s="5"/>
      <c r="G203" s="6"/>
      <c r="I203" s="7"/>
      <c r="S203" s="7"/>
    </row>
    <row r="204">
      <c r="D204" s="4"/>
      <c r="F204" s="5"/>
      <c r="G204" s="6"/>
      <c r="I204" s="7"/>
      <c r="S204" s="7"/>
    </row>
    <row r="205">
      <c r="D205" s="4"/>
      <c r="F205" s="5"/>
      <c r="G205" s="6"/>
      <c r="I205" s="7"/>
      <c r="S205" s="7"/>
    </row>
    <row r="206">
      <c r="D206" s="4"/>
      <c r="F206" s="5"/>
      <c r="G206" s="6"/>
      <c r="I206" s="7"/>
      <c r="S206" s="7"/>
    </row>
    <row r="207">
      <c r="D207" s="4"/>
      <c r="F207" s="5"/>
      <c r="G207" s="6"/>
      <c r="I207" s="7"/>
      <c r="S207" s="7"/>
    </row>
    <row r="208">
      <c r="D208" s="4"/>
      <c r="F208" s="5"/>
      <c r="G208" s="6"/>
      <c r="I208" s="7"/>
      <c r="S208" s="7"/>
    </row>
    <row r="209">
      <c r="D209" s="4"/>
      <c r="F209" s="5"/>
      <c r="G209" s="6"/>
      <c r="I209" s="7"/>
      <c r="S209" s="7"/>
    </row>
    <row r="210">
      <c r="D210" s="4"/>
      <c r="F210" s="5"/>
      <c r="G210" s="6"/>
      <c r="I210" s="7"/>
      <c r="S210" s="7"/>
    </row>
    <row r="211">
      <c r="D211" s="4"/>
      <c r="F211" s="5"/>
      <c r="G211" s="6"/>
      <c r="I211" s="7"/>
      <c r="S211" s="7"/>
    </row>
    <row r="212">
      <c r="D212" s="4"/>
      <c r="F212" s="5"/>
      <c r="G212" s="6"/>
      <c r="I212" s="7"/>
      <c r="S212" s="7"/>
    </row>
    <row r="213">
      <c r="D213" s="4"/>
      <c r="F213" s="5"/>
      <c r="G213" s="6"/>
      <c r="I213" s="7"/>
      <c r="S213" s="7"/>
    </row>
    <row r="214">
      <c r="D214" s="4"/>
      <c r="F214" s="5"/>
      <c r="G214" s="6"/>
      <c r="I214" s="7"/>
      <c r="S214" s="7"/>
    </row>
    <row r="215">
      <c r="D215" s="4"/>
      <c r="F215" s="5"/>
      <c r="G215" s="6"/>
      <c r="I215" s="7"/>
      <c r="S215" s="7"/>
    </row>
    <row r="216">
      <c r="D216" s="4"/>
      <c r="F216" s="5"/>
      <c r="G216" s="6"/>
      <c r="I216" s="7"/>
      <c r="S216" s="7"/>
    </row>
    <row r="217">
      <c r="D217" s="4"/>
      <c r="F217" s="5"/>
      <c r="G217" s="6"/>
      <c r="I217" s="7"/>
      <c r="S217" s="7"/>
    </row>
    <row r="218">
      <c r="D218" s="4"/>
      <c r="F218" s="5"/>
      <c r="G218" s="6"/>
      <c r="I218" s="7"/>
      <c r="S218" s="7"/>
    </row>
    <row r="219">
      <c r="D219" s="4"/>
      <c r="F219" s="5"/>
      <c r="G219" s="6"/>
      <c r="I219" s="7"/>
      <c r="S219" s="7"/>
    </row>
    <row r="220">
      <c r="D220" s="4"/>
      <c r="F220" s="5"/>
      <c r="G220" s="6"/>
      <c r="I220" s="7"/>
      <c r="S220" s="7"/>
    </row>
    <row r="221">
      <c r="D221" s="4"/>
      <c r="F221" s="5"/>
      <c r="G221" s="6"/>
      <c r="I221" s="7"/>
      <c r="S221" s="7"/>
    </row>
    <row r="222">
      <c r="D222" s="4"/>
      <c r="F222" s="5"/>
      <c r="G222" s="6"/>
      <c r="I222" s="7"/>
      <c r="S222" s="7"/>
    </row>
    <row r="223">
      <c r="D223" s="4"/>
      <c r="F223" s="5"/>
      <c r="G223" s="6"/>
      <c r="I223" s="7"/>
      <c r="S223" s="7"/>
    </row>
    <row r="224">
      <c r="D224" s="4"/>
      <c r="F224" s="5"/>
      <c r="G224" s="6"/>
      <c r="I224" s="7"/>
      <c r="S224" s="7"/>
    </row>
    <row r="225">
      <c r="D225" s="4"/>
      <c r="F225" s="5"/>
      <c r="G225" s="6"/>
      <c r="I225" s="7"/>
      <c r="S225" s="7"/>
    </row>
    <row r="226">
      <c r="D226" s="4"/>
      <c r="F226" s="5"/>
      <c r="G226" s="6"/>
      <c r="I226" s="7"/>
      <c r="S226" s="7"/>
    </row>
    <row r="227">
      <c r="D227" s="4"/>
      <c r="F227" s="5"/>
      <c r="G227" s="6"/>
      <c r="I227" s="7"/>
      <c r="S227" s="7"/>
    </row>
    <row r="228">
      <c r="D228" s="4"/>
      <c r="F228" s="5"/>
      <c r="G228" s="6"/>
      <c r="I228" s="7"/>
      <c r="S228" s="7"/>
    </row>
    <row r="229">
      <c r="D229" s="4"/>
      <c r="F229" s="5"/>
      <c r="G229" s="6"/>
      <c r="I229" s="7"/>
      <c r="S229" s="7"/>
    </row>
    <row r="230">
      <c r="D230" s="4"/>
      <c r="F230" s="5"/>
      <c r="G230" s="6"/>
      <c r="I230" s="7"/>
      <c r="S230" s="7"/>
    </row>
    <row r="231">
      <c r="D231" s="4"/>
      <c r="F231" s="5"/>
      <c r="G231" s="6"/>
      <c r="I231" s="7"/>
      <c r="S231" s="7"/>
    </row>
    <row r="232">
      <c r="D232" s="4"/>
      <c r="F232" s="5"/>
      <c r="G232" s="6"/>
      <c r="I232" s="7"/>
      <c r="S232" s="7"/>
    </row>
    <row r="233">
      <c r="D233" s="4"/>
      <c r="F233" s="5"/>
      <c r="G233" s="6"/>
      <c r="I233" s="7"/>
      <c r="S233" s="7"/>
    </row>
    <row r="234">
      <c r="D234" s="4"/>
      <c r="F234" s="5"/>
      <c r="G234" s="6"/>
      <c r="I234" s="7"/>
      <c r="S234" s="7"/>
    </row>
    <row r="235">
      <c r="D235" s="4"/>
      <c r="F235" s="5"/>
      <c r="G235" s="6"/>
      <c r="I235" s="7"/>
      <c r="S235" s="7"/>
    </row>
    <row r="236">
      <c r="D236" s="4"/>
      <c r="F236" s="5"/>
      <c r="G236" s="6"/>
      <c r="I236" s="7"/>
      <c r="S236" s="7"/>
    </row>
    <row r="237">
      <c r="D237" s="4"/>
      <c r="F237" s="5"/>
      <c r="G237" s="6"/>
      <c r="I237" s="7"/>
      <c r="S237" s="7"/>
    </row>
    <row r="238">
      <c r="D238" s="4"/>
      <c r="F238" s="5"/>
      <c r="G238" s="6"/>
      <c r="I238" s="7"/>
      <c r="S238" s="7"/>
    </row>
    <row r="239">
      <c r="D239" s="4"/>
      <c r="F239" s="5"/>
      <c r="G239" s="6"/>
      <c r="I239" s="7"/>
      <c r="S239" s="7"/>
    </row>
    <row r="240">
      <c r="D240" s="4"/>
      <c r="F240" s="5"/>
      <c r="G240" s="6"/>
      <c r="I240" s="7"/>
      <c r="S240" s="7"/>
    </row>
    <row r="241">
      <c r="D241" s="4"/>
      <c r="F241" s="5"/>
      <c r="G241" s="6"/>
      <c r="I241" s="7"/>
      <c r="S241" s="7"/>
    </row>
    <row r="242">
      <c r="D242" s="4"/>
      <c r="F242" s="5"/>
      <c r="G242" s="6"/>
      <c r="I242" s="7"/>
      <c r="S242" s="7"/>
    </row>
    <row r="243">
      <c r="D243" s="4"/>
      <c r="F243" s="5"/>
      <c r="G243" s="6"/>
      <c r="I243" s="7"/>
      <c r="S243" s="7"/>
    </row>
    <row r="244">
      <c r="D244" s="4"/>
      <c r="F244" s="5"/>
      <c r="G244" s="6"/>
      <c r="I244" s="7"/>
      <c r="S244" s="7"/>
    </row>
    <row r="245">
      <c r="D245" s="4"/>
      <c r="F245" s="5"/>
      <c r="G245" s="6"/>
      <c r="I245" s="7"/>
      <c r="S245" s="7"/>
    </row>
    <row r="246">
      <c r="D246" s="4"/>
      <c r="F246" s="5"/>
      <c r="G246" s="6"/>
      <c r="I246" s="7"/>
      <c r="S246" s="7"/>
    </row>
    <row r="247">
      <c r="D247" s="4"/>
      <c r="F247" s="5"/>
      <c r="G247" s="6"/>
      <c r="I247" s="7"/>
      <c r="S247" s="7"/>
    </row>
    <row r="248">
      <c r="D248" s="4"/>
      <c r="F248" s="5"/>
      <c r="G248" s="6"/>
      <c r="I248" s="7"/>
      <c r="S248" s="7"/>
    </row>
    <row r="249">
      <c r="D249" s="4"/>
      <c r="F249" s="5"/>
      <c r="G249" s="6"/>
      <c r="I249" s="7"/>
      <c r="S249" s="7"/>
    </row>
    <row r="250">
      <c r="D250" s="4"/>
      <c r="F250" s="5"/>
      <c r="G250" s="6"/>
      <c r="I250" s="7"/>
      <c r="S250" s="7"/>
    </row>
    <row r="251">
      <c r="D251" s="4"/>
      <c r="F251" s="5"/>
      <c r="G251" s="6"/>
      <c r="I251" s="7"/>
      <c r="S251" s="7"/>
    </row>
    <row r="252">
      <c r="D252" s="4"/>
      <c r="F252" s="5"/>
      <c r="G252" s="6"/>
      <c r="I252" s="7"/>
      <c r="S252" s="7"/>
    </row>
    <row r="253">
      <c r="D253" s="4"/>
      <c r="F253" s="5"/>
      <c r="G253" s="6"/>
      <c r="I253" s="7"/>
      <c r="S253" s="7"/>
    </row>
    <row r="254">
      <c r="D254" s="4"/>
      <c r="F254" s="5"/>
      <c r="G254" s="6"/>
      <c r="I254" s="7"/>
      <c r="S254" s="7"/>
    </row>
    <row r="255">
      <c r="D255" s="4"/>
      <c r="F255" s="5"/>
      <c r="G255" s="6"/>
      <c r="I255" s="7"/>
      <c r="S255" s="7"/>
    </row>
    <row r="256">
      <c r="D256" s="4"/>
      <c r="F256" s="5"/>
      <c r="G256" s="6"/>
      <c r="I256" s="7"/>
      <c r="S256" s="7"/>
    </row>
    <row r="257">
      <c r="D257" s="4"/>
      <c r="F257" s="5"/>
      <c r="G257" s="6"/>
      <c r="I257" s="7"/>
      <c r="S257" s="7"/>
    </row>
    <row r="258">
      <c r="D258" s="4"/>
      <c r="F258" s="5"/>
      <c r="G258" s="6"/>
      <c r="I258" s="7"/>
      <c r="S258" s="7"/>
    </row>
    <row r="259">
      <c r="D259" s="4"/>
      <c r="F259" s="5"/>
      <c r="G259" s="6"/>
      <c r="I259" s="7"/>
      <c r="S259" s="7"/>
    </row>
    <row r="260">
      <c r="D260" s="4"/>
      <c r="F260" s="5"/>
      <c r="G260" s="6"/>
      <c r="I260" s="7"/>
      <c r="S260" s="7"/>
    </row>
    <row r="261">
      <c r="D261" s="4"/>
      <c r="F261" s="5"/>
      <c r="G261" s="6"/>
      <c r="I261" s="7"/>
      <c r="S261" s="7"/>
    </row>
    <row r="262">
      <c r="D262" s="4"/>
      <c r="F262" s="5"/>
      <c r="G262" s="6"/>
      <c r="I262" s="7"/>
      <c r="S262" s="7"/>
    </row>
    <row r="263">
      <c r="D263" s="4"/>
      <c r="F263" s="5"/>
      <c r="G263" s="6"/>
      <c r="I263" s="7"/>
      <c r="S263" s="7"/>
    </row>
    <row r="264">
      <c r="D264" s="4"/>
      <c r="F264" s="5"/>
      <c r="G264" s="6"/>
      <c r="I264" s="7"/>
      <c r="S264" s="7"/>
    </row>
    <row r="265">
      <c r="D265" s="4"/>
      <c r="F265" s="5"/>
      <c r="G265" s="6"/>
      <c r="I265" s="7"/>
      <c r="S265" s="7"/>
    </row>
    <row r="266">
      <c r="D266" s="4"/>
      <c r="F266" s="5"/>
      <c r="G266" s="6"/>
      <c r="I266" s="7"/>
      <c r="S266" s="7"/>
    </row>
    <row r="267">
      <c r="D267" s="4"/>
      <c r="F267" s="5"/>
      <c r="G267" s="6"/>
      <c r="I267" s="7"/>
      <c r="S267" s="7"/>
    </row>
    <row r="268">
      <c r="D268" s="4"/>
      <c r="F268" s="5"/>
      <c r="G268" s="6"/>
      <c r="I268" s="7"/>
      <c r="S268" s="7"/>
    </row>
    <row r="269">
      <c r="D269" s="4"/>
      <c r="F269" s="5"/>
      <c r="G269" s="6"/>
      <c r="I269" s="7"/>
      <c r="S269" s="7"/>
    </row>
    <row r="270">
      <c r="D270" s="4"/>
      <c r="F270" s="5"/>
      <c r="G270" s="6"/>
      <c r="I270" s="7"/>
      <c r="S270" s="7"/>
    </row>
    <row r="271">
      <c r="D271" s="4"/>
      <c r="F271" s="5"/>
      <c r="G271" s="6"/>
      <c r="I271" s="7"/>
      <c r="S271" s="7"/>
    </row>
    <row r="272">
      <c r="D272" s="4"/>
      <c r="F272" s="5"/>
      <c r="G272" s="6"/>
      <c r="I272" s="7"/>
      <c r="S272" s="7"/>
    </row>
    <row r="273">
      <c r="D273" s="4"/>
      <c r="F273" s="5"/>
      <c r="G273" s="6"/>
      <c r="I273" s="7"/>
      <c r="S273" s="7"/>
    </row>
    <row r="274">
      <c r="D274" s="4"/>
      <c r="F274" s="5"/>
      <c r="G274" s="6"/>
      <c r="I274" s="7"/>
      <c r="S274" s="7"/>
    </row>
    <row r="275">
      <c r="D275" s="4"/>
      <c r="F275" s="5"/>
      <c r="G275" s="6"/>
      <c r="I275" s="7"/>
      <c r="S275" s="7"/>
    </row>
    <row r="276">
      <c r="D276" s="4"/>
      <c r="F276" s="5"/>
      <c r="G276" s="6"/>
      <c r="I276" s="7"/>
      <c r="S276" s="7"/>
    </row>
    <row r="277">
      <c r="D277" s="4"/>
      <c r="F277" s="5"/>
      <c r="G277" s="6"/>
      <c r="I277" s="7"/>
      <c r="S277" s="7"/>
    </row>
    <row r="278">
      <c r="D278" s="4"/>
      <c r="F278" s="5"/>
      <c r="G278" s="6"/>
      <c r="I278" s="7"/>
      <c r="S278" s="7"/>
    </row>
    <row r="279">
      <c r="D279" s="4"/>
      <c r="F279" s="5"/>
      <c r="G279" s="6"/>
      <c r="I279" s="7"/>
      <c r="S279" s="7"/>
    </row>
    <row r="280">
      <c r="D280" s="4"/>
      <c r="F280" s="5"/>
      <c r="G280" s="6"/>
      <c r="I280" s="7"/>
      <c r="S280" s="7"/>
    </row>
    <row r="281">
      <c r="D281" s="4"/>
      <c r="F281" s="5"/>
      <c r="G281" s="6"/>
      <c r="I281" s="7"/>
      <c r="S281" s="7"/>
    </row>
    <row r="282">
      <c r="D282" s="4"/>
      <c r="F282" s="5"/>
      <c r="G282" s="6"/>
      <c r="I282" s="7"/>
      <c r="S282" s="7"/>
    </row>
    <row r="283">
      <c r="D283" s="4"/>
      <c r="F283" s="5"/>
      <c r="G283" s="6"/>
      <c r="I283" s="7"/>
      <c r="S283" s="7"/>
    </row>
    <row r="284">
      <c r="D284" s="4"/>
      <c r="F284" s="5"/>
      <c r="G284" s="6"/>
      <c r="I284" s="7"/>
      <c r="S284" s="7"/>
    </row>
    <row r="285">
      <c r="D285" s="4"/>
      <c r="F285" s="5"/>
      <c r="G285" s="6"/>
      <c r="I285" s="7"/>
      <c r="S285" s="7"/>
    </row>
    <row r="286">
      <c r="D286" s="4"/>
      <c r="F286" s="5"/>
      <c r="G286" s="6"/>
      <c r="I286" s="7"/>
      <c r="S286" s="7"/>
    </row>
    <row r="287">
      <c r="D287" s="4"/>
      <c r="F287" s="5"/>
      <c r="G287" s="6"/>
      <c r="I287" s="7"/>
      <c r="S287" s="7"/>
    </row>
    <row r="288">
      <c r="D288" s="4"/>
      <c r="F288" s="5"/>
      <c r="G288" s="6"/>
      <c r="I288" s="7"/>
      <c r="S288" s="7"/>
    </row>
    <row r="289">
      <c r="D289" s="4"/>
      <c r="F289" s="5"/>
      <c r="G289" s="6"/>
      <c r="I289" s="7"/>
      <c r="S289" s="7"/>
    </row>
    <row r="290">
      <c r="D290" s="4"/>
      <c r="F290" s="5"/>
      <c r="G290" s="6"/>
      <c r="I290" s="7"/>
      <c r="S290" s="7"/>
    </row>
    <row r="291">
      <c r="D291" s="4"/>
      <c r="F291" s="5"/>
      <c r="G291" s="6"/>
      <c r="I291" s="7"/>
      <c r="S291" s="7"/>
    </row>
    <row r="292">
      <c r="D292" s="4"/>
      <c r="F292" s="5"/>
      <c r="G292" s="6"/>
      <c r="I292" s="7"/>
      <c r="S292" s="7"/>
    </row>
    <row r="293">
      <c r="D293" s="4"/>
      <c r="F293" s="5"/>
      <c r="G293" s="6"/>
      <c r="I293" s="7"/>
      <c r="S293" s="7"/>
    </row>
    <row r="294">
      <c r="D294" s="4"/>
      <c r="F294" s="5"/>
      <c r="G294" s="6"/>
      <c r="I294" s="7"/>
      <c r="S294" s="7"/>
    </row>
    <row r="295">
      <c r="D295" s="4"/>
      <c r="F295" s="5"/>
      <c r="G295" s="6"/>
      <c r="I295" s="7"/>
      <c r="S295" s="7"/>
    </row>
    <row r="296">
      <c r="D296" s="4"/>
      <c r="F296" s="5"/>
      <c r="G296" s="6"/>
      <c r="I296" s="7"/>
      <c r="S296" s="7"/>
    </row>
    <row r="297">
      <c r="D297" s="4"/>
      <c r="F297" s="5"/>
      <c r="G297" s="6"/>
      <c r="I297" s="7"/>
      <c r="S297" s="7"/>
    </row>
    <row r="298">
      <c r="D298" s="4"/>
      <c r="F298" s="5"/>
      <c r="G298" s="6"/>
      <c r="I298" s="7"/>
      <c r="S298" s="7"/>
    </row>
    <row r="299">
      <c r="D299" s="4"/>
      <c r="F299" s="5"/>
      <c r="G299" s="6"/>
      <c r="I299" s="7"/>
      <c r="S299" s="7"/>
    </row>
    <row r="300">
      <c r="D300" s="4"/>
      <c r="F300" s="5"/>
      <c r="G300" s="6"/>
      <c r="I300" s="7"/>
      <c r="S300" s="7"/>
    </row>
    <row r="301">
      <c r="D301" s="4"/>
      <c r="F301" s="5"/>
      <c r="G301" s="6"/>
      <c r="I301" s="7"/>
      <c r="S301" s="7"/>
    </row>
    <row r="302">
      <c r="D302" s="4"/>
      <c r="F302" s="5"/>
      <c r="G302" s="6"/>
      <c r="I302" s="7"/>
      <c r="S302" s="7"/>
    </row>
    <row r="303">
      <c r="D303" s="4"/>
      <c r="F303" s="5"/>
      <c r="G303" s="6"/>
      <c r="I303" s="7"/>
      <c r="S303" s="7"/>
    </row>
    <row r="304">
      <c r="D304" s="4"/>
      <c r="F304" s="5"/>
      <c r="G304" s="6"/>
      <c r="I304" s="7"/>
      <c r="S304" s="7"/>
    </row>
    <row r="305">
      <c r="D305" s="4"/>
      <c r="F305" s="5"/>
      <c r="G305" s="6"/>
      <c r="I305" s="7"/>
      <c r="S305" s="7"/>
    </row>
    <row r="306">
      <c r="D306" s="4"/>
      <c r="F306" s="5"/>
      <c r="G306" s="6"/>
      <c r="I306" s="7"/>
      <c r="S306" s="7"/>
    </row>
    <row r="307">
      <c r="D307" s="4"/>
      <c r="F307" s="5"/>
      <c r="G307" s="6"/>
      <c r="I307" s="7"/>
      <c r="S307" s="7"/>
    </row>
    <row r="308">
      <c r="D308" s="4"/>
      <c r="F308" s="5"/>
      <c r="G308" s="6"/>
      <c r="I308" s="7"/>
      <c r="S308" s="7"/>
    </row>
    <row r="309">
      <c r="D309" s="4"/>
      <c r="F309" s="5"/>
      <c r="G309" s="6"/>
      <c r="I309" s="7"/>
      <c r="S309" s="7"/>
    </row>
    <row r="310">
      <c r="D310" s="4"/>
      <c r="F310" s="5"/>
      <c r="G310" s="6"/>
      <c r="I310" s="7"/>
      <c r="S310" s="7"/>
    </row>
    <row r="311">
      <c r="D311" s="4"/>
      <c r="F311" s="5"/>
      <c r="G311" s="6"/>
      <c r="I311" s="7"/>
      <c r="S311" s="7"/>
    </row>
    <row r="312">
      <c r="D312" s="4"/>
      <c r="F312" s="5"/>
      <c r="G312" s="6"/>
      <c r="I312" s="7"/>
      <c r="S312" s="7"/>
    </row>
    <row r="313">
      <c r="D313" s="4"/>
      <c r="F313" s="5"/>
      <c r="G313" s="6"/>
      <c r="I313" s="7"/>
      <c r="S313" s="7"/>
    </row>
    <row r="314">
      <c r="D314" s="4"/>
      <c r="F314" s="5"/>
      <c r="G314" s="6"/>
      <c r="I314" s="7"/>
      <c r="S314" s="7"/>
    </row>
    <row r="315">
      <c r="D315" s="4"/>
      <c r="F315" s="5"/>
      <c r="G315" s="6"/>
      <c r="I315" s="7"/>
      <c r="S315" s="7"/>
    </row>
    <row r="316">
      <c r="D316" s="4"/>
      <c r="F316" s="5"/>
      <c r="G316" s="6"/>
      <c r="I316" s="7"/>
      <c r="S316" s="7"/>
    </row>
    <row r="317">
      <c r="D317" s="4"/>
      <c r="F317" s="5"/>
      <c r="G317" s="6"/>
      <c r="I317" s="7"/>
      <c r="S317" s="7"/>
    </row>
    <row r="318">
      <c r="D318" s="4"/>
      <c r="F318" s="5"/>
      <c r="G318" s="6"/>
      <c r="I318" s="7"/>
      <c r="S318" s="7"/>
    </row>
    <row r="319">
      <c r="D319" s="4"/>
      <c r="F319" s="5"/>
      <c r="G319" s="6"/>
      <c r="I319" s="7"/>
      <c r="S319" s="7"/>
    </row>
    <row r="320">
      <c r="D320" s="4"/>
      <c r="F320" s="5"/>
      <c r="G320" s="6"/>
      <c r="I320" s="7"/>
      <c r="S320" s="7"/>
    </row>
    <row r="321">
      <c r="D321" s="4"/>
      <c r="F321" s="5"/>
      <c r="G321" s="6"/>
      <c r="I321" s="7"/>
      <c r="S321" s="7"/>
    </row>
    <row r="322">
      <c r="D322" s="4"/>
      <c r="F322" s="5"/>
      <c r="G322" s="6"/>
      <c r="I322" s="7"/>
      <c r="S322" s="7"/>
    </row>
    <row r="323">
      <c r="D323" s="4"/>
      <c r="F323" s="5"/>
      <c r="G323" s="6"/>
      <c r="I323" s="7"/>
      <c r="S323" s="7"/>
    </row>
    <row r="324">
      <c r="D324" s="4"/>
      <c r="F324" s="5"/>
      <c r="G324" s="6"/>
      <c r="I324" s="7"/>
      <c r="S324" s="7"/>
    </row>
    <row r="325">
      <c r="D325" s="4"/>
      <c r="F325" s="5"/>
      <c r="G325" s="6"/>
      <c r="I325" s="7"/>
      <c r="S325" s="7"/>
    </row>
    <row r="326">
      <c r="D326" s="4"/>
      <c r="F326" s="5"/>
      <c r="G326" s="6"/>
      <c r="I326" s="7"/>
      <c r="S326" s="7"/>
    </row>
    <row r="327">
      <c r="D327" s="4"/>
      <c r="F327" s="5"/>
      <c r="G327" s="6"/>
      <c r="I327" s="7"/>
      <c r="S327" s="7"/>
    </row>
    <row r="328">
      <c r="D328" s="4"/>
      <c r="F328" s="5"/>
      <c r="G328" s="6"/>
      <c r="I328" s="7"/>
      <c r="S328" s="7"/>
    </row>
    <row r="329">
      <c r="D329" s="4"/>
      <c r="F329" s="5"/>
      <c r="G329" s="6"/>
      <c r="I329" s="7"/>
      <c r="S329" s="7"/>
    </row>
    <row r="330">
      <c r="D330" s="4"/>
      <c r="F330" s="5"/>
      <c r="G330" s="6"/>
      <c r="I330" s="7"/>
      <c r="S330" s="7"/>
    </row>
    <row r="331">
      <c r="D331" s="4"/>
      <c r="F331" s="5"/>
      <c r="G331" s="6"/>
      <c r="I331" s="7"/>
      <c r="S331" s="7"/>
    </row>
    <row r="332">
      <c r="D332" s="4"/>
      <c r="F332" s="5"/>
      <c r="G332" s="6"/>
      <c r="I332" s="7"/>
      <c r="S332" s="7"/>
    </row>
    <row r="333">
      <c r="D333" s="4"/>
      <c r="F333" s="5"/>
      <c r="G333" s="6"/>
      <c r="I333" s="7"/>
      <c r="S333" s="7"/>
    </row>
    <row r="334">
      <c r="D334" s="4"/>
      <c r="F334" s="5"/>
      <c r="G334" s="6"/>
      <c r="I334" s="7"/>
      <c r="S334" s="7"/>
    </row>
    <row r="335">
      <c r="D335" s="4"/>
      <c r="F335" s="5"/>
      <c r="G335" s="6"/>
      <c r="I335" s="7"/>
      <c r="S335" s="7"/>
    </row>
    <row r="336">
      <c r="D336" s="4"/>
      <c r="F336" s="5"/>
      <c r="G336" s="6"/>
      <c r="I336" s="7"/>
      <c r="S336" s="7"/>
    </row>
    <row r="337">
      <c r="D337" s="4"/>
      <c r="F337" s="5"/>
      <c r="G337" s="6"/>
      <c r="I337" s="7"/>
      <c r="S337" s="7"/>
    </row>
    <row r="338">
      <c r="D338" s="4"/>
      <c r="F338" s="5"/>
      <c r="G338" s="6"/>
      <c r="I338" s="7"/>
      <c r="S338" s="7"/>
    </row>
    <row r="339">
      <c r="D339" s="4"/>
      <c r="F339" s="5"/>
      <c r="G339" s="6"/>
      <c r="I339" s="7"/>
      <c r="S339" s="7"/>
    </row>
    <row r="340">
      <c r="D340" s="4"/>
      <c r="F340" s="5"/>
      <c r="G340" s="6"/>
      <c r="I340" s="7"/>
      <c r="S340" s="7"/>
    </row>
    <row r="341">
      <c r="D341" s="4"/>
      <c r="F341" s="5"/>
      <c r="G341" s="6"/>
      <c r="I341" s="7"/>
      <c r="S341" s="7"/>
    </row>
    <row r="342">
      <c r="D342" s="4"/>
      <c r="F342" s="5"/>
      <c r="G342" s="6"/>
      <c r="I342" s="7"/>
      <c r="S342" s="7"/>
    </row>
    <row r="343">
      <c r="D343" s="4"/>
      <c r="F343" s="5"/>
      <c r="G343" s="6"/>
      <c r="I343" s="7"/>
      <c r="S343" s="7"/>
    </row>
    <row r="344">
      <c r="D344" s="4"/>
      <c r="F344" s="5"/>
      <c r="G344" s="6"/>
      <c r="I344" s="7"/>
      <c r="S344" s="7"/>
    </row>
    <row r="345">
      <c r="D345" s="4"/>
      <c r="F345" s="5"/>
      <c r="G345" s="6"/>
      <c r="I345" s="7"/>
      <c r="S345" s="7"/>
    </row>
    <row r="346">
      <c r="D346" s="4"/>
      <c r="F346" s="5"/>
      <c r="G346" s="6"/>
      <c r="I346" s="7"/>
      <c r="S346" s="7"/>
    </row>
    <row r="347">
      <c r="D347" s="4"/>
      <c r="F347" s="5"/>
      <c r="G347" s="6"/>
      <c r="I347" s="7"/>
      <c r="S347" s="7"/>
    </row>
    <row r="348">
      <c r="D348" s="4"/>
      <c r="F348" s="5"/>
      <c r="G348" s="6"/>
      <c r="I348" s="7"/>
      <c r="S348" s="7"/>
    </row>
    <row r="349">
      <c r="D349" s="4"/>
      <c r="F349" s="5"/>
      <c r="G349" s="6"/>
      <c r="I349" s="7"/>
      <c r="S349" s="7"/>
    </row>
    <row r="350">
      <c r="D350" s="4"/>
      <c r="F350" s="5"/>
      <c r="G350" s="6"/>
      <c r="I350" s="7"/>
      <c r="S350" s="7"/>
    </row>
    <row r="351">
      <c r="D351" s="4"/>
      <c r="F351" s="5"/>
      <c r="G351" s="6"/>
      <c r="I351" s="7"/>
      <c r="S351" s="7"/>
    </row>
    <row r="352">
      <c r="D352" s="4"/>
      <c r="F352" s="5"/>
      <c r="G352" s="6"/>
      <c r="I352" s="7"/>
      <c r="S352" s="7"/>
    </row>
    <row r="353">
      <c r="D353" s="4"/>
      <c r="F353" s="5"/>
      <c r="G353" s="6"/>
      <c r="I353" s="7"/>
      <c r="S353" s="7"/>
    </row>
    <row r="354">
      <c r="D354" s="4"/>
      <c r="F354" s="5"/>
      <c r="G354" s="6"/>
      <c r="I354" s="7"/>
      <c r="S354" s="7"/>
    </row>
    <row r="355">
      <c r="D355" s="4"/>
      <c r="F355" s="5"/>
      <c r="G355" s="6"/>
      <c r="I355" s="7"/>
      <c r="S355" s="7"/>
    </row>
    <row r="356">
      <c r="D356" s="4"/>
      <c r="F356" s="5"/>
      <c r="G356" s="6"/>
      <c r="I356" s="7"/>
      <c r="S356" s="7"/>
    </row>
    <row r="357">
      <c r="D357" s="4"/>
      <c r="F357" s="5"/>
      <c r="G357" s="6"/>
      <c r="I357" s="7"/>
      <c r="S357" s="7"/>
    </row>
    <row r="358">
      <c r="D358" s="4"/>
      <c r="F358" s="5"/>
      <c r="G358" s="6"/>
      <c r="I358" s="7"/>
      <c r="S358" s="7"/>
    </row>
    <row r="359">
      <c r="D359" s="4"/>
      <c r="F359" s="5"/>
      <c r="G359" s="6"/>
      <c r="I359" s="7"/>
      <c r="S359" s="7"/>
    </row>
    <row r="360">
      <c r="D360" s="4"/>
      <c r="F360" s="5"/>
      <c r="G360" s="6"/>
      <c r="I360" s="7"/>
      <c r="S360" s="7"/>
    </row>
    <row r="361">
      <c r="D361" s="4"/>
      <c r="F361" s="5"/>
      <c r="G361" s="6"/>
      <c r="I361" s="7"/>
      <c r="S361" s="7"/>
    </row>
    <row r="362">
      <c r="D362" s="4"/>
      <c r="F362" s="5"/>
      <c r="G362" s="6"/>
      <c r="I362" s="7"/>
      <c r="S362" s="7"/>
    </row>
    <row r="363">
      <c r="D363" s="4"/>
      <c r="F363" s="5"/>
      <c r="G363" s="6"/>
      <c r="I363" s="7"/>
      <c r="S363" s="7"/>
    </row>
    <row r="364">
      <c r="D364" s="4"/>
      <c r="F364" s="5"/>
      <c r="G364" s="6"/>
      <c r="I364" s="7"/>
      <c r="S364" s="7"/>
    </row>
    <row r="365">
      <c r="D365" s="4"/>
      <c r="F365" s="5"/>
      <c r="G365" s="6"/>
      <c r="I365" s="7"/>
      <c r="S365" s="7"/>
    </row>
    <row r="366">
      <c r="D366" s="4"/>
      <c r="F366" s="5"/>
      <c r="G366" s="6"/>
      <c r="I366" s="7"/>
      <c r="S366" s="7"/>
    </row>
    <row r="367">
      <c r="D367" s="4"/>
      <c r="F367" s="5"/>
      <c r="G367" s="6"/>
      <c r="I367" s="7"/>
      <c r="S367" s="7"/>
    </row>
    <row r="368">
      <c r="D368" s="4"/>
      <c r="F368" s="5"/>
      <c r="G368" s="6"/>
      <c r="I368" s="7"/>
      <c r="S368" s="7"/>
    </row>
    <row r="369">
      <c r="D369" s="4"/>
      <c r="F369" s="5"/>
      <c r="G369" s="6"/>
      <c r="I369" s="7"/>
      <c r="S369" s="7"/>
    </row>
    <row r="370">
      <c r="D370" s="4"/>
      <c r="F370" s="5"/>
      <c r="G370" s="6"/>
      <c r="I370" s="7"/>
      <c r="S370" s="7"/>
    </row>
    <row r="371">
      <c r="D371" s="4"/>
      <c r="F371" s="5"/>
      <c r="G371" s="6"/>
      <c r="I371" s="7"/>
      <c r="S371" s="7"/>
    </row>
    <row r="372">
      <c r="D372" s="4"/>
      <c r="F372" s="5"/>
      <c r="G372" s="6"/>
      <c r="I372" s="7"/>
      <c r="S372" s="7"/>
    </row>
    <row r="373">
      <c r="D373" s="4"/>
      <c r="F373" s="5"/>
      <c r="G373" s="6"/>
      <c r="I373" s="7"/>
      <c r="S373" s="7"/>
    </row>
    <row r="374">
      <c r="D374" s="4"/>
      <c r="F374" s="5"/>
      <c r="G374" s="6"/>
      <c r="I374" s="7"/>
      <c r="S374" s="7"/>
    </row>
    <row r="375">
      <c r="D375" s="4"/>
      <c r="F375" s="5"/>
      <c r="G375" s="6"/>
      <c r="I375" s="7"/>
      <c r="S375" s="7"/>
    </row>
    <row r="376">
      <c r="D376" s="4"/>
      <c r="F376" s="5"/>
      <c r="G376" s="6"/>
      <c r="I376" s="7"/>
      <c r="S376" s="7"/>
    </row>
    <row r="377">
      <c r="D377" s="4"/>
      <c r="F377" s="5"/>
      <c r="G377" s="6"/>
      <c r="I377" s="7"/>
      <c r="S377" s="7"/>
    </row>
    <row r="378">
      <c r="D378" s="4"/>
      <c r="F378" s="5"/>
      <c r="G378" s="6"/>
      <c r="I378" s="7"/>
      <c r="S378" s="7"/>
    </row>
    <row r="379">
      <c r="D379" s="4"/>
      <c r="F379" s="5"/>
      <c r="G379" s="6"/>
      <c r="I379" s="7"/>
      <c r="S379" s="7"/>
    </row>
    <row r="380">
      <c r="D380" s="4"/>
      <c r="F380" s="5"/>
      <c r="G380" s="6"/>
      <c r="I380" s="7"/>
      <c r="S380" s="7"/>
    </row>
    <row r="381">
      <c r="D381" s="4"/>
      <c r="F381" s="5"/>
      <c r="G381" s="6"/>
      <c r="I381" s="7"/>
      <c r="S381" s="7"/>
    </row>
    <row r="382">
      <c r="D382" s="4"/>
      <c r="F382" s="5"/>
      <c r="G382" s="6"/>
      <c r="I382" s="7"/>
      <c r="S382" s="7"/>
    </row>
    <row r="383">
      <c r="D383" s="4"/>
      <c r="F383" s="5"/>
      <c r="G383" s="6"/>
      <c r="I383" s="7"/>
      <c r="S383" s="7"/>
    </row>
    <row r="384">
      <c r="D384" s="4"/>
      <c r="F384" s="5"/>
      <c r="G384" s="6"/>
      <c r="I384" s="7"/>
      <c r="S384" s="7"/>
    </row>
    <row r="385">
      <c r="D385" s="4"/>
      <c r="F385" s="5"/>
      <c r="G385" s="6"/>
      <c r="I385" s="7"/>
      <c r="S385" s="7"/>
    </row>
    <row r="386">
      <c r="D386" s="4"/>
      <c r="F386" s="5"/>
      <c r="G386" s="6"/>
      <c r="I386" s="7"/>
      <c r="S386" s="7"/>
    </row>
    <row r="387">
      <c r="D387" s="4"/>
      <c r="F387" s="5"/>
      <c r="G387" s="6"/>
      <c r="I387" s="7"/>
      <c r="S387" s="7"/>
    </row>
    <row r="388">
      <c r="D388" s="4"/>
      <c r="F388" s="5"/>
      <c r="G388" s="6"/>
      <c r="I388" s="7"/>
      <c r="S388" s="7"/>
    </row>
    <row r="389">
      <c r="D389" s="4"/>
      <c r="F389" s="5"/>
      <c r="G389" s="6"/>
      <c r="I389" s="7"/>
      <c r="S389" s="7"/>
    </row>
    <row r="390">
      <c r="D390" s="4"/>
      <c r="F390" s="5"/>
      <c r="G390" s="6"/>
      <c r="I390" s="7"/>
      <c r="S390" s="7"/>
    </row>
    <row r="391">
      <c r="D391" s="4"/>
      <c r="F391" s="5"/>
      <c r="G391" s="6"/>
      <c r="I391" s="7"/>
      <c r="S391" s="7"/>
    </row>
    <row r="392">
      <c r="D392" s="4"/>
      <c r="F392" s="5"/>
      <c r="G392" s="6"/>
      <c r="I392" s="7"/>
      <c r="S392" s="7"/>
    </row>
    <row r="393">
      <c r="D393" s="4"/>
      <c r="F393" s="5"/>
      <c r="G393" s="6"/>
      <c r="I393" s="7"/>
      <c r="S393" s="7"/>
    </row>
    <row r="394">
      <c r="D394" s="4"/>
      <c r="F394" s="5"/>
      <c r="G394" s="6"/>
      <c r="I394" s="7"/>
      <c r="S394" s="7"/>
    </row>
    <row r="395">
      <c r="D395" s="4"/>
      <c r="F395" s="5"/>
      <c r="G395" s="6"/>
      <c r="I395" s="7"/>
      <c r="S395" s="7"/>
    </row>
    <row r="396">
      <c r="D396" s="4"/>
      <c r="F396" s="5"/>
      <c r="G396" s="6"/>
      <c r="I396" s="7"/>
      <c r="S396" s="7"/>
    </row>
    <row r="397">
      <c r="D397" s="4"/>
      <c r="F397" s="5"/>
      <c r="G397" s="6"/>
      <c r="I397" s="7"/>
      <c r="S397" s="7"/>
    </row>
    <row r="398">
      <c r="D398" s="4"/>
      <c r="F398" s="5"/>
      <c r="G398" s="6"/>
      <c r="I398" s="7"/>
      <c r="S398" s="7"/>
    </row>
    <row r="399">
      <c r="D399" s="4"/>
      <c r="F399" s="5"/>
      <c r="G399" s="6"/>
      <c r="I399" s="7"/>
      <c r="S399" s="7"/>
    </row>
    <row r="400">
      <c r="D400" s="4"/>
      <c r="F400" s="5"/>
      <c r="G400" s="6"/>
      <c r="I400" s="7"/>
      <c r="S400" s="7"/>
    </row>
    <row r="401">
      <c r="D401" s="4"/>
      <c r="F401" s="5"/>
      <c r="G401" s="6"/>
      <c r="I401" s="7"/>
      <c r="S401" s="7"/>
    </row>
    <row r="402">
      <c r="D402" s="4"/>
      <c r="F402" s="5"/>
      <c r="G402" s="6"/>
      <c r="I402" s="7"/>
      <c r="S402" s="7"/>
    </row>
    <row r="403">
      <c r="D403" s="4"/>
      <c r="F403" s="5"/>
      <c r="G403" s="6"/>
      <c r="I403" s="7"/>
      <c r="S403" s="7"/>
    </row>
    <row r="404">
      <c r="D404" s="4"/>
      <c r="F404" s="5"/>
      <c r="G404" s="6"/>
      <c r="I404" s="7"/>
      <c r="S404" s="7"/>
    </row>
    <row r="405">
      <c r="D405" s="4"/>
      <c r="F405" s="5"/>
      <c r="G405" s="6"/>
      <c r="I405" s="7"/>
      <c r="S405" s="7"/>
    </row>
    <row r="406">
      <c r="D406" s="4"/>
      <c r="F406" s="5"/>
      <c r="G406" s="6"/>
      <c r="I406" s="7"/>
      <c r="S406" s="7"/>
    </row>
    <row r="407">
      <c r="D407" s="4"/>
      <c r="F407" s="5"/>
      <c r="G407" s="6"/>
      <c r="I407" s="7"/>
      <c r="S407" s="7"/>
    </row>
    <row r="408">
      <c r="D408" s="4"/>
      <c r="F408" s="5"/>
      <c r="G408" s="6"/>
      <c r="I408" s="7"/>
      <c r="S408" s="7"/>
    </row>
    <row r="409">
      <c r="D409" s="4"/>
      <c r="F409" s="5"/>
      <c r="G409" s="6"/>
      <c r="I409" s="7"/>
      <c r="S409" s="7"/>
    </row>
    <row r="410">
      <c r="D410" s="4"/>
      <c r="F410" s="5"/>
      <c r="G410" s="6"/>
      <c r="I410" s="7"/>
      <c r="S410" s="7"/>
    </row>
    <row r="411">
      <c r="D411" s="4"/>
      <c r="F411" s="5"/>
      <c r="G411" s="6"/>
      <c r="I411" s="7"/>
      <c r="S411" s="7"/>
    </row>
    <row r="412">
      <c r="D412" s="4"/>
      <c r="F412" s="5"/>
      <c r="G412" s="6"/>
      <c r="I412" s="7"/>
      <c r="S412" s="7"/>
    </row>
    <row r="413">
      <c r="D413" s="4"/>
      <c r="F413" s="5"/>
      <c r="G413" s="6"/>
      <c r="I413" s="7"/>
      <c r="S413" s="7"/>
    </row>
    <row r="414">
      <c r="D414" s="4"/>
      <c r="F414" s="5"/>
      <c r="G414" s="6"/>
      <c r="I414" s="7"/>
      <c r="S414" s="7"/>
    </row>
    <row r="415">
      <c r="D415" s="4"/>
      <c r="F415" s="5"/>
      <c r="G415" s="6"/>
      <c r="I415" s="7"/>
      <c r="S415" s="7"/>
    </row>
    <row r="416">
      <c r="D416" s="4"/>
      <c r="F416" s="5"/>
      <c r="G416" s="6"/>
      <c r="I416" s="7"/>
      <c r="S416" s="7"/>
    </row>
    <row r="417">
      <c r="D417" s="4"/>
      <c r="F417" s="5"/>
      <c r="G417" s="6"/>
      <c r="I417" s="7"/>
      <c r="S417" s="7"/>
    </row>
    <row r="418">
      <c r="D418" s="4"/>
      <c r="F418" s="5"/>
      <c r="G418" s="6"/>
      <c r="I418" s="7"/>
      <c r="S418" s="7"/>
    </row>
    <row r="419">
      <c r="D419" s="4"/>
      <c r="F419" s="5"/>
      <c r="G419" s="6"/>
      <c r="I419" s="7"/>
      <c r="S419" s="7"/>
    </row>
    <row r="420">
      <c r="D420" s="4"/>
      <c r="F420" s="5"/>
      <c r="G420" s="6"/>
      <c r="I420" s="7"/>
      <c r="S420" s="7"/>
    </row>
    <row r="421">
      <c r="D421" s="4"/>
      <c r="F421" s="5"/>
      <c r="G421" s="6"/>
      <c r="I421" s="7"/>
      <c r="S421" s="7"/>
    </row>
    <row r="422">
      <c r="D422" s="4"/>
      <c r="F422" s="5"/>
      <c r="G422" s="6"/>
      <c r="I422" s="7"/>
      <c r="S422" s="7"/>
    </row>
    <row r="423">
      <c r="D423" s="4"/>
      <c r="F423" s="5"/>
      <c r="G423" s="6"/>
      <c r="I423" s="7"/>
      <c r="S423" s="7"/>
    </row>
    <row r="424">
      <c r="D424" s="4"/>
      <c r="F424" s="5"/>
      <c r="G424" s="6"/>
      <c r="I424" s="7"/>
      <c r="S424" s="7"/>
    </row>
    <row r="425">
      <c r="D425" s="4"/>
      <c r="F425" s="5"/>
      <c r="G425" s="6"/>
      <c r="I425" s="7"/>
      <c r="S425" s="7"/>
    </row>
    <row r="426">
      <c r="D426" s="4"/>
      <c r="F426" s="5"/>
      <c r="G426" s="6"/>
      <c r="I426" s="7"/>
      <c r="S426" s="7"/>
    </row>
    <row r="427">
      <c r="D427" s="4"/>
      <c r="F427" s="5"/>
      <c r="G427" s="6"/>
      <c r="I427" s="7"/>
      <c r="S427" s="7"/>
    </row>
    <row r="428">
      <c r="D428" s="4"/>
      <c r="F428" s="5"/>
      <c r="G428" s="6"/>
      <c r="I428" s="7"/>
      <c r="S428" s="7"/>
    </row>
    <row r="429">
      <c r="D429" s="4"/>
      <c r="F429" s="5"/>
      <c r="G429" s="6"/>
      <c r="I429" s="7"/>
      <c r="S429" s="7"/>
    </row>
    <row r="430">
      <c r="D430" s="4"/>
      <c r="F430" s="5"/>
      <c r="G430" s="6"/>
      <c r="I430" s="7"/>
      <c r="S430" s="7"/>
    </row>
    <row r="431">
      <c r="D431" s="4"/>
      <c r="F431" s="5"/>
      <c r="G431" s="6"/>
      <c r="I431" s="7"/>
      <c r="S431" s="7"/>
    </row>
    <row r="432">
      <c r="D432" s="4"/>
      <c r="F432" s="5"/>
      <c r="G432" s="6"/>
      <c r="I432" s="7"/>
      <c r="S432" s="7"/>
    </row>
    <row r="433">
      <c r="D433" s="4"/>
      <c r="F433" s="5"/>
      <c r="G433" s="6"/>
      <c r="I433" s="7"/>
      <c r="S433" s="7"/>
    </row>
    <row r="434">
      <c r="D434" s="4"/>
      <c r="F434" s="5"/>
      <c r="G434" s="6"/>
      <c r="I434" s="7"/>
      <c r="S434" s="7"/>
    </row>
    <row r="435">
      <c r="D435" s="4"/>
      <c r="F435" s="5"/>
      <c r="G435" s="6"/>
      <c r="I435" s="7"/>
      <c r="S435" s="7"/>
    </row>
    <row r="436">
      <c r="D436" s="4"/>
      <c r="F436" s="5"/>
      <c r="G436" s="6"/>
      <c r="I436" s="7"/>
      <c r="S436" s="7"/>
    </row>
    <row r="437">
      <c r="D437" s="4"/>
      <c r="F437" s="5"/>
      <c r="G437" s="6"/>
      <c r="I437" s="7"/>
      <c r="S437" s="7"/>
    </row>
    <row r="438">
      <c r="D438" s="4"/>
      <c r="F438" s="5"/>
      <c r="G438" s="6"/>
      <c r="I438" s="7"/>
      <c r="S438" s="7"/>
    </row>
    <row r="439">
      <c r="D439" s="4"/>
      <c r="F439" s="5"/>
      <c r="G439" s="6"/>
      <c r="I439" s="7"/>
      <c r="S439" s="7"/>
    </row>
    <row r="440">
      <c r="D440" s="4"/>
      <c r="F440" s="5"/>
      <c r="G440" s="6"/>
      <c r="I440" s="7"/>
      <c r="S440" s="7"/>
    </row>
    <row r="441">
      <c r="D441" s="4"/>
      <c r="F441" s="5"/>
      <c r="G441" s="6"/>
      <c r="I441" s="7"/>
      <c r="S441" s="7"/>
    </row>
    <row r="442">
      <c r="D442" s="4"/>
      <c r="F442" s="5"/>
      <c r="G442" s="6"/>
      <c r="I442" s="7"/>
      <c r="S442" s="7"/>
    </row>
    <row r="443">
      <c r="D443" s="4"/>
      <c r="F443" s="5"/>
      <c r="G443" s="6"/>
      <c r="I443" s="7"/>
      <c r="S443" s="7"/>
    </row>
    <row r="444">
      <c r="D444" s="4"/>
      <c r="F444" s="5"/>
      <c r="G444" s="6"/>
      <c r="I444" s="7"/>
      <c r="S444" s="7"/>
    </row>
    <row r="445">
      <c r="D445" s="4"/>
      <c r="F445" s="5"/>
      <c r="G445" s="6"/>
      <c r="I445" s="7"/>
      <c r="S445" s="7"/>
    </row>
    <row r="446">
      <c r="D446" s="4"/>
      <c r="F446" s="5"/>
      <c r="G446" s="6"/>
      <c r="I446" s="7"/>
      <c r="S446" s="7"/>
    </row>
    <row r="447">
      <c r="D447" s="4"/>
      <c r="F447" s="5"/>
      <c r="G447" s="6"/>
      <c r="I447" s="7"/>
      <c r="S447" s="7"/>
    </row>
    <row r="448">
      <c r="D448" s="4"/>
      <c r="F448" s="5"/>
      <c r="G448" s="6"/>
      <c r="I448" s="7"/>
      <c r="S448" s="7"/>
    </row>
    <row r="449">
      <c r="D449" s="4"/>
      <c r="F449" s="5"/>
      <c r="G449" s="6"/>
      <c r="I449" s="7"/>
      <c r="S449" s="7"/>
    </row>
    <row r="450">
      <c r="D450" s="4"/>
      <c r="F450" s="5"/>
      <c r="G450" s="6"/>
      <c r="I450" s="7"/>
      <c r="S450" s="7"/>
    </row>
    <row r="451">
      <c r="D451" s="4"/>
      <c r="F451" s="5"/>
      <c r="G451" s="6"/>
      <c r="I451" s="7"/>
      <c r="S451" s="7"/>
    </row>
    <row r="452">
      <c r="D452" s="4"/>
      <c r="F452" s="5"/>
      <c r="G452" s="6"/>
      <c r="I452" s="7"/>
      <c r="S452" s="7"/>
    </row>
    <row r="453">
      <c r="D453" s="4"/>
      <c r="F453" s="5"/>
      <c r="G453" s="6"/>
      <c r="I453" s="7"/>
      <c r="S453" s="7"/>
    </row>
    <row r="454">
      <c r="D454" s="4"/>
      <c r="F454" s="5"/>
      <c r="G454" s="6"/>
      <c r="I454" s="7"/>
      <c r="S454" s="7"/>
    </row>
    <row r="455">
      <c r="D455" s="4"/>
      <c r="F455" s="5"/>
      <c r="G455" s="6"/>
      <c r="I455" s="7"/>
      <c r="S455" s="7"/>
    </row>
    <row r="456">
      <c r="D456" s="4"/>
      <c r="F456" s="5"/>
      <c r="G456" s="6"/>
      <c r="I456" s="7"/>
      <c r="S456" s="7"/>
    </row>
    <row r="457">
      <c r="D457" s="4"/>
      <c r="F457" s="5"/>
      <c r="G457" s="6"/>
      <c r="I457" s="7"/>
      <c r="S457" s="7"/>
    </row>
    <row r="458">
      <c r="D458" s="4"/>
      <c r="F458" s="5"/>
      <c r="G458" s="6"/>
      <c r="I458" s="7"/>
      <c r="S458" s="7"/>
    </row>
    <row r="459">
      <c r="D459" s="4"/>
      <c r="F459" s="5"/>
      <c r="G459" s="6"/>
      <c r="I459" s="7"/>
      <c r="S459" s="7"/>
    </row>
    <row r="460">
      <c r="D460" s="4"/>
      <c r="F460" s="5"/>
      <c r="G460" s="6"/>
      <c r="I460" s="7"/>
      <c r="S460" s="7"/>
    </row>
    <row r="461">
      <c r="D461" s="4"/>
      <c r="F461" s="5"/>
      <c r="G461" s="6"/>
      <c r="I461" s="7"/>
      <c r="S461" s="7"/>
    </row>
    <row r="462">
      <c r="D462" s="4"/>
      <c r="F462" s="5"/>
      <c r="G462" s="6"/>
      <c r="I462" s="7"/>
      <c r="S462" s="7"/>
    </row>
    <row r="463">
      <c r="D463" s="4"/>
      <c r="F463" s="5"/>
      <c r="G463" s="6"/>
      <c r="I463" s="7"/>
      <c r="S463" s="7"/>
    </row>
    <row r="464">
      <c r="D464" s="4"/>
      <c r="F464" s="5"/>
      <c r="G464" s="6"/>
      <c r="I464" s="7"/>
      <c r="S464" s="7"/>
    </row>
    <row r="465">
      <c r="D465" s="4"/>
      <c r="F465" s="5"/>
      <c r="G465" s="6"/>
      <c r="I465" s="7"/>
      <c r="S465" s="7"/>
    </row>
    <row r="466">
      <c r="D466" s="4"/>
      <c r="F466" s="5"/>
      <c r="G466" s="6"/>
      <c r="I466" s="7"/>
      <c r="S466" s="7"/>
    </row>
    <row r="467">
      <c r="D467" s="4"/>
      <c r="F467" s="5"/>
      <c r="G467" s="6"/>
      <c r="I467" s="7"/>
      <c r="S467" s="7"/>
    </row>
    <row r="468">
      <c r="D468" s="4"/>
      <c r="F468" s="5"/>
      <c r="G468" s="6"/>
      <c r="I468" s="7"/>
      <c r="S468" s="7"/>
    </row>
    <row r="469">
      <c r="D469" s="4"/>
      <c r="F469" s="5"/>
      <c r="G469" s="6"/>
      <c r="I469" s="7"/>
      <c r="S469" s="7"/>
    </row>
    <row r="470">
      <c r="D470" s="4"/>
      <c r="F470" s="5"/>
      <c r="G470" s="6"/>
      <c r="I470" s="7"/>
      <c r="S470" s="7"/>
    </row>
    <row r="471">
      <c r="D471" s="4"/>
      <c r="F471" s="5"/>
      <c r="G471" s="6"/>
      <c r="I471" s="7"/>
      <c r="S471" s="7"/>
    </row>
    <row r="472">
      <c r="D472" s="4"/>
      <c r="F472" s="5"/>
      <c r="G472" s="6"/>
      <c r="I472" s="7"/>
      <c r="S472" s="7"/>
    </row>
    <row r="473">
      <c r="D473" s="4"/>
      <c r="F473" s="5"/>
      <c r="G473" s="6"/>
      <c r="I473" s="7"/>
      <c r="S473" s="7"/>
    </row>
    <row r="474">
      <c r="D474" s="4"/>
      <c r="F474" s="5"/>
      <c r="G474" s="6"/>
      <c r="I474" s="7"/>
      <c r="S474" s="7"/>
    </row>
    <row r="475">
      <c r="D475" s="4"/>
      <c r="F475" s="5"/>
      <c r="G475" s="6"/>
      <c r="I475" s="7"/>
      <c r="S475" s="7"/>
    </row>
    <row r="476">
      <c r="D476" s="4"/>
      <c r="F476" s="5"/>
      <c r="G476" s="6"/>
      <c r="I476" s="7"/>
      <c r="S476" s="7"/>
    </row>
    <row r="477">
      <c r="D477" s="4"/>
      <c r="F477" s="5"/>
      <c r="G477" s="6"/>
      <c r="I477" s="7"/>
      <c r="S477" s="7"/>
    </row>
    <row r="478">
      <c r="D478" s="4"/>
      <c r="F478" s="5"/>
      <c r="G478" s="6"/>
      <c r="I478" s="7"/>
      <c r="S478" s="7"/>
    </row>
    <row r="479">
      <c r="D479" s="4"/>
      <c r="F479" s="5"/>
      <c r="G479" s="6"/>
      <c r="I479" s="7"/>
      <c r="S479" s="7"/>
    </row>
    <row r="480">
      <c r="D480" s="4"/>
      <c r="F480" s="5"/>
      <c r="G480" s="6"/>
      <c r="I480" s="7"/>
      <c r="S480" s="7"/>
    </row>
    <row r="481">
      <c r="D481" s="4"/>
      <c r="F481" s="5"/>
      <c r="G481" s="6"/>
      <c r="I481" s="7"/>
      <c r="S481" s="7"/>
    </row>
    <row r="482">
      <c r="D482" s="4"/>
      <c r="F482" s="5"/>
      <c r="G482" s="6"/>
      <c r="I482" s="7"/>
      <c r="S482" s="7"/>
    </row>
    <row r="483">
      <c r="D483" s="4"/>
      <c r="F483" s="5"/>
      <c r="G483" s="6"/>
      <c r="I483" s="7"/>
      <c r="S483" s="7"/>
    </row>
    <row r="484">
      <c r="D484" s="4"/>
      <c r="F484" s="5"/>
      <c r="G484" s="6"/>
      <c r="I484" s="7"/>
      <c r="S484" s="7"/>
    </row>
    <row r="485">
      <c r="D485" s="4"/>
      <c r="F485" s="5"/>
      <c r="G485" s="6"/>
      <c r="I485" s="7"/>
      <c r="S485" s="7"/>
    </row>
    <row r="486">
      <c r="D486" s="4"/>
      <c r="F486" s="5"/>
      <c r="G486" s="6"/>
      <c r="I486" s="7"/>
      <c r="S486" s="7"/>
    </row>
    <row r="487">
      <c r="D487" s="4"/>
      <c r="F487" s="5"/>
      <c r="G487" s="6"/>
      <c r="I487" s="7"/>
      <c r="S487" s="7"/>
    </row>
    <row r="488">
      <c r="D488" s="4"/>
      <c r="F488" s="5"/>
      <c r="G488" s="6"/>
      <c r="I488" s="7"/>
      <c r="S488" s="7"/>
    </row>
    <row r="489">
      <c r="D489" s="4"/>
      <c r="F489" s="5"/>
      <c r="G489" s="6"/>
      <c r="I489" s="7"/>
      <c r="S489" s="7"/>
    </row>
    <row r="490">
      <c r="D490" s="4"/>
      <c r="F490" s="5"/>
      <c r="G490" s="6"/>
      <c r="I490" s="7"/>
      <c r="S490" s="7"/>
    </row>
    <row r="491">
      <c r="D491" s="4"/>
      <c r="F491" s="5"/>
      <c r="G491" s="6"/>
      <c r="I491" s="7"/>
      <c r="S491" s="7"/>
    </row>
    <row r="492">
      <c r="D492" s="4"/>
      <c r="F492" s="5"/>
      <c r="G492" s="6"/>
      <c r="I492" s="7"/>
      <c r="S492" s="7"/>
    </row>
    <row r="493">
      <c r="D493" s="4"/>
      <c r="F493" s="5"/>
      <c r="G493" s="6"/>
      <c r="I493" s="7"/>
      <c r="S493" s="7"/>
    </row>
    <row r="494">
      <c r="D494" s="4"/>
      <c r="F494" s="5"/>
      <c r="G494" s="6"/>
      <c r="I494" s="7"/>
      <c r="S494" s="7"/>
    </row>
    <row r="495">
      <c r="D495" s="4"/>
      <c r="F495" s="5"/>
      <c r="G495" s="6"/>
      <c r="I495" s="7"/>
      <c r="S495" s="7"/>
    </row>
    <row r="496">
      <c r="D496" s="4"/>
      <c r="F496" s="5"/>
      <c r="G496" s="6"/>
      <c r="I496" s="7"/>
      <c r="S496" s="7"/>
    </row>
    <row r="497">
      <c r="D497" s="4"/>
      <c r="F497" s="5"/>
      <c r="G497" s="6"/>
      <c r="I497" s="7"/>
      <c r="S497" s="7"/>
    </row>
    <row r="498">
      <c r="D498" s="4"/>
      <c r="F498" s="5"/>
      <c r="G498" s="6"/>
      <c r="I498" s="7"/>
      <c r="S498" s="7"/>
    </row>
    <row r="499">
      <c r="D499" s="4"/>
      <c r="F499" s="5"/>
      <c r="G499" s="6"/>
      <c r="I499" s="7"/>
      <c r="S499" s="7"/>
    </row>
    <row r="500">
      <c r="D500" s="4"/>
      <c r="F500" s="5"/>
      <c r="G500" s="6"/>
      <c r="I500" s="7"/>
      <c r="S500" s="7"/>
    </row>
    <row r="501">
      <c r="D501" s="4"/>
      <c r="F501" s="5"/>
      <c r="G501" s="6"/>
      <c r="I501" s="7"/>
      <c r="S501" s="7"/>
    </row>
    <row r="502">
      <c r="D502" s="4"/>
      <c r="F502" s="5"/>
      <c r="G502" s="6"/>
      <c r="I502" s="7"/>
      <c r="S502" s="7"/>
    </row>
    <row r="503">
      <c r="D503" s="4"/>
      <c r="F503" s="5"/>
      <c r="G503" s="6"/>
      <c r="I503" s="7"/>
      <c r="S503" s="7"/>
    </row>
    <row r="504">
      <c r="D504" s="4"/>
      <c r="F504" s="5"/>
      <c r="G504" s="6"/>
      <c r="I504" s="7"/>
      <c r="S504" s="7"/>
    </row>
    <row r="505">
      <c r="D505" s="4"/>
      <c r="F505" s="5"/>
      <c r="G505" s="6"/>
      <c r="I505" s="7"/>
      <c r="S505" s="7"/>
    </row>
    <row r="506">
      <c r="D506" s="4"/>
      <c r="F506" s="5"/>
      <c r="G506" s="6"/>
      <c r="I506" s="7"/>
      <c r="S506" s="7"/>
    </row>
    <row r="507">
      <c r="D507" s="4"/>
      <c r="F507" s="5"/>
      <c r="G507" s="6"/>
      <c r="I507" s="7"/>
      <c r="S507" s="7"/>
    </row>
    <row r="508">
      <c r="D508" s="4"/>
      <c r="F508" s="5"/>
      <c r="G508" s="6"/>
      <c r="I508" s="7"/>
      <c r="S508" s="7"/>
    </row>
    <row r="509">
      <c r="D509" s="4"/>
      <c r="F509" s="5"/>
      <c r="G509" s="6"/>
      <c r="I509" s="7"/>
      <c r="S509" s="7"/>
    </row>
    <row r="510">
      <c r="D510" s="4"/>
      <c r="F510" s="5"/>
      <c r="G510" s="6"/>
      <c r="I510" s="7"/>
      <c r="S510" s="7"/>
    </row>
    <row r="511">
      <c r="D511" s="4"/>
      <c r="F511" s="5"/>
      <c r="G511" s="6"/>
      <c r="I511" s="7"/>
      <c r="S511" s="7"/>
    </row>
    <row r="512">
      <c r="D512" s="4"/>
      <c r="F512" s="5"/>
      <c r="G512" s="6"/>
      <c r="I512" s="7"/>
      <c r="S512" s="7"/>
    </row>
    <row r="513">
      <c r="D513" s="4"/>
      <c r="F513" s="5"/>
      <c r="G513" s="6"/>
      <c r="I513" s="7"/>
      <c r="S513" s="7"/>
    </row>
    <row r="514">
      <c r="D514" s="4"/>
      <c r="F514" s="5"/>
      <c r="G514" s="6"/>
      <c r="I514" s="7"/>
      <c r="S514" s="7"/>
    </row>
    <row r="515">
      <c r="D515" s="4"/>
      <c r="F515" s="5"/>
      <c r="G515" s="6"/>
      <c r="I515" s="7"/>
      <c r="S515" s="7"/>
    </row>
    <row r="516">
      <c r="D516" s="4"/>
      <c r="F516" s="5"/>
      <c r="G516" s="6"/>
      <c r="I516" s="7"/>
      <c r="S516" s="7"/>
    </row>
    <row r="517">
      <c r="D517" s="4"/>
      <c r="F517" s="5"/>
      <c r="G517" s="6"/>
      <c r="I517" s="7"/>
      <c r="S517" s="7"/>
    </row>
    <row r="518">
      <c r="D518" s="4"/>
      <c r="F518" s="5"/>
      <c r="G518" s="6"/>
      <c r="I518" s="7"/>
      <c r="S518" s="7"/>
    </row>
    <row r="519">
      <c r="D519" s="4"/>
      <c r="F519" s="5"/>
      <c r="G519" s="6"/>
      <c r="I519" s="7"/>
      <c r="S519" s="7"/>
    </row>
    <row r="520">
      <c r="D520" s="4"/>
      <c r="F520" s="5"/>
      <c r="G520" s="6"/>
      <c r="I520" s="7"/>
      <c r="S520" s="7"/>
    </row>
    <row r="521">
      <c r="D521" s="4"/>
      <c r="F521" s="5"/>
      <c r="G521" s="6"/>
      <c r="I521" s="7"/>
      <c r="S521" s="7"/>
    </row>
    <row r="522">
      <c r="D522" s="4"/>
      <c r="F522" s="5"/>
      <c r="G522" s="6"/>
      <c r="I522" s="7"/>
      <c r="S522" s="7"/>
    </row>
    <row r="523">
      <c r="D523" s="4"/>
      <c r="F523" s="5"/>
      <c r="G523" s="6"/>
      <c r="I523" s="7"/>
      <c r="S523" s="7"/>
    </row>
    <row r="524">
      <c r="D524" s="4"/>
      <c r="F524" s="5"/>
      <c r="G524" s="6"/>
      <c r="I524" s="7"/>
      <c r="S524" s="7"/>
    </row>
    <row r="525">
      <c r="D525" s="4"/>
      <c r="F525" s="5"/>
      <c r="G525" s="6"/>
      <c r="I525" s="7"/>
      <c r="S525" s="7"/>
    </row>
    <row r="526">
      <c r="D526" s="4"/>
      <c r="F526" s="5"/>
      <c r="G526" s="6"/>
      <c r="I526" s="7"/>
      <c r="S526" s="7"/>
    </row>
    <row r="527">
      <c r="D527" s="4"/>
      <c r="F527" s="5"/>
      <c r="G527" s="6"/>
      <c r="I527" s="7"/>
      <c r="S527" s="7"/>
    </row>
    <row r="528">
      <c r="D528" s="4"/>
      <c r="F528" s="5"/>
      <c r="G528" s="6"/>
      <c r="I528" s="7"/>
      <c r="S528" s="7"/>
    </row>
    <row r="529">
      <c r="D529" s="4"/>
      <c r="F529" s="5"/>
      <c r="G529" s="6"/>
      <c r="I529" s="7"/>
      <c r="S529" s="7"/>
    </row>
    <row r="530">
      <c r="D530" s="4"/>
      <c r="F530" s="5"/>
      <c r="G530" s="6"/>
      <c r="I530" s="7"/>
      <c r="S530" s="7"/>
    </row>
    <row r="531">
      <c r="D531" s="4"/>
      <c r="F531" s="5"/>
      <c r="G531" s="6"/>
      <c r="I531" s="7"/>
      <c r="S531" s="7"/>
    </row>
    <row r="532">
      <c r="D532" s="4"/>
      <c r="F532" s="5"/>
      <c r="G532" s="6"/>
      <c r="I532" s="7"/>
      <c r="S532" s="7"/>
    </row>
    <row r="533">
      <c r="D533" s="4"/>
      <c r="F533" s="5"/>
      <c r="G533" s="6"/>
      <c r="I533" s="7"/>
      <c r="S533" s="7"/>
    </row>
    <row r="534">
      <c r="D534" s="4"/>
      <c r="F534" s="5"/>
      <c r="G534" s="6"/>
      <c r="I534" s="7"/>
      <c r="S534" s="7"/>
    </row>
    <row r="535">
      <c r="D535" s="4"/>
      <c r="F535" s="5"/>
      <c r="G535" s="6"/>
      <c r="I535" s="7"/>
      <c r="S535" s="7"/>
    </row>
    <row r="536">
      <c r="D536" s="4"/>
      <c r="F536" s="5"/>
      <c r="G536" s="6"/>
      <c r="I536" s="7"/>
      <c r="S536" s="7"/>
    </row>
    <row r="537">
      <c r="D537" s="4"/>
      <c r="F537" s="5"/>
      <c r="G537" s="6"/>
      <c r="I537" s="7"/>
      <c r="S537" s="7"/>
    </row>
    <row r="538">
      <c r="D538" s="4"/>
      <c r="F538" s="5"/>
      <c r="G538" s="6"/>
      <c r="I538" s="7"/>
      <c r="S538" s="7"/>
    </row>
    <row r="539">
      <c r="D539" s="4"/>
      <c r="F539" s="5"/>
      <c r="G539" s="6"/>
      <c r="I539" s="7"/>
      <c r="S539" s="7"/>
    </row>
    <row r="540">
      <c r="D540" s="4"/>
      <c r="F540" s="5"/>
      <c r="G540" s="6"/>
      <c r="I540" s="7"/>
      <c r="S540" s="7"/>
    </row>
    <row r="541">
      <c r="D541" s="4"/>
      <c r="F541" s="5"/>
      <c r="G541" s="6"/>
      <c r="I541" s="7"/>
      <c r="S541" s="7"/>
    </row>
    <row r="542">
      <c r="D542" s="4"/>
      <c r="F542" s="5"/>
      <c r="G542" s="6"/>
      <c r="I542" s="7"/>
      <c r="S542" s="7"/>
    </row>
    <row r="543">
      <c r="D543" s="4"/>
      <c r="F543" s="5"/>
      <c r="G543" s="6"/>
      <c r="I543" s="7"/>
      <c r="S543" s="7"/>
    </row>
    <row r="544">
      <c r="D544" s="4"/>
      <c r="F544" s="5"/>
      <c r="G544" s="6"/>
      <c r="I544" s="7"/>
      <c r="S544" s="7"/>
    </row>
    <row r="545">
      <c r="D545" s="4"/>
      <c r="F545" s="5"/>
      <c r="G545" s="6"/>
      <c r="I545" s="7"/>
      <c r="S545" s="7"/>
    </row>
    <row r="546">
      <c r="D546" s="4"/>
      <c r="F546" s="5"/>
      <c r="G546" s="6"/>
      <c r="I546" s="7"/>
      <c r="S546" s="7"/>
    </row>
    <row r="547">
      <c r="D547" s="4"/>
      <c r="F547" s="5"/>
      <c r="G547" s="6"/>
      <c r="I547" s="7"/>
      <c r="S547" s="7"/>
    </row>
    <row r="548">
      <c r="D548" s="4"/>
      <c r="F548" s="5"/>
      <c r="G548" s="6"/>
      <c r="I548" s="7"/>
      <c r="S548" s="7"/>
    </row>
    <row r="549">
      <c r="D549" s="4"/>
      <c r="F549" s="5"/>
      <c r="G549" s="6"/>
      <c r="I549" s="7"/>
      <c r="S549" s="7"/>
    </row>
    <row r="550">
      <c r="D550" s="4"/>
      <c r="F550" s="5"/>
      <c r="G550" s="6"/>
      <c r="I550" s="7"/>
      <c r="S550" s="7"/>
    </row>
    <row r="551">
      <c r="D551" s="4"/>
      <c r="F551" s="5"/>
      <c r="G551" s="6"/>
      <c r="I551" s="7"/>
      <c r="S551" s="7"/>
    </row>
    <row r="552">
      <c r="D552" s="4"/>
      <c r="F552" s="5"/>
      <c r="G552" s="6"/>
      <c r="I552" s="7"/>
      <c r="S552" s="7"/>
    </row>
    <row r="553">
      <c r="D553" s="4"/>
      <c r="F553" s="5"/>
      <c r="G553" s="6"/>
      <c r="I553" s="7"/>
      <c r="S553" s="7"/>
    </row>
    <row r="554">
      <c r="D554" s="4"/>
      <c r="F554" s="5"/>
      <c r="G554" s="6"/>
      <c r="I554" s="7"/>
      <c r="S554" s="7"/>
    </row>
    <row r="555">
      <c r="D555" s="4"/>
      <c r="F555" s="5"/>
      <c r="G555" s="6"/>
      <c r="I555" s="7"/>
      <c r="S555" s="7"/>
    </row>
    <row r="556">
      <c r="D556" s="4"/>
      <c r="F556" s="5"/>
      <c r="G556" s="6"/>
      <c r="I556" s="7"/>
      <c r="S556" s="7"/>
    </row>
    <row r="557">
      <c r="D557" s="4"/>
      <c r="F557" s="5"/>
      <c r="G557" s="6"/>
      <c r="I557" s="7"/>
      <c r="S557" s="7"/>
    </row>
    <row r="558">
      <c r="D558" s="4"/>
      <c r="F558" s="5"/>
      <c r="G558" s="6"/>
      <c r="I558" s="7"/>
      <c r="S558" s="7"/>
    </row>
    <row r="559">
      <c r="D559" s="4"/>
      <c r="F559" s="5"/>
      <c r="G559" s="6"/>
      <c r="I559" s="7"/>
      <c r="S559" s="7"/>
    </row>
    <row r="560">
      <c r="D560" s="4"/>
      <c r="F560" s="5"/>
      <c r="G560" s="6"/>
      <c r="I560" s="7"/>
      <c r="S560" s="7"/>
    </row>
    <row r="561">
      <c r="D561" s="4"/>
      <c r="F561" s="5"/>
      <c r="G561" s="6"/>
      <c r="I561" s="7"/>
      <c r="S561" s="7"/>
    </row>
    <row r="562">
      <c r="D562" s="4"/>
      <c r="F562" s="5"/>
      <c r="G562" s="6"/>
      <c r="I562" s="7"/>
      <c r="S562" s="7"/>
    </row>
    <row r="563">
      <c r="D563" s="4"/>
      <c r="F563" s="5"/>
      <c r="G563" s="6"/>
      <c r="I563" s="7"/>
      <c r="S563" s="7"/>
    </row>
    <row r="564">
      <c r="D564" s="4"/>
      <c r="F564" s="5"/>
      <c r="G564" s="6"/>
      <c r="I564" s="7"/>
      <c r="S564" s="7"/>
    </row>
    <row r="565">
      <c r="D565" s="4"/>
      <c r="F565" s="5"/>
      <c r="G565" s="6"/>
      <c r="I565" s="7"/>
      <c r="S565" s="7"/>
    </row>
    <row r="566">
      <c r="D566" s="4"/>
      <c r="F566" s="5"/>
      <c r="G566" s="6"/>
      <c r="I566" s="7"/>
      <c r="S566" s="7"/>
    </row>
    <row r="567">
      <c r="D567" s="4"/>
      <c r="F567" s="5"/>
      <c r="G567" s="6"/>
      <c r="I567" s="7"/>
      <c r="S567" s="7"/>
    </row>
    <row r="568">
      <c r="D568" s="4"/>
      <c r="F568" s="5"/>
      <c r="G568" s="6"/>
      <c r="I568" s="7"/>
      <c r="S568" s="7"/>
    </row>
    <row r="569">
      <c r="D569" s="4"/>
      <c r="F569" s="5"/>
      <c r="G569" s="6"/>
      <c r="I569" s="7"/>
      <c r="S569" s="7"/>
    </row>
    <row r="570">
      <c r="D570" s="4"/>
      <c r="F570" s="5"/>
      <c r="G570" s="6"/>
      <c r="I570" s="7"/>
      <c r="S570" s="7"/>
    </row>
    <row r="571">
      <c r="D571" s="4"/>
      <c r="F571" s="5"/>
      <c r="G571" s="6"/>
      <c r="I571" s="7"/>
      <c r="S571" s="7"/>
    </row>
    <row r="572">
      <c r="D572" s="4"/>
      <c r="F572" s="5"/>
      <c r="G572" s="6"/>
      <c r="I572" s="7"/>
      <c r="S572" s="7"/>
    </row>
    <row r="573">
      <c r="D573" s="4"/>
      <c r="F573" s="5"/>
      <c r="G573" s="6"/>
      <c r="I573" s="7"/>
      <c r="S573" s="7"/>
    </row>
    <row r="574">
      <c r="D574" s="4"/>
      <c r="F574" s="5"/>
      <c r="G574" s="6"/>
      <c r="I574" s="7"/>
      <c r="S574" s="7"/>
    </row>
    <row r="575">
      <c r="D575" s="4"/>
      <c r="F575" s="5"/>
      <c r="G575" s="6"/>
      <c r="I575" s="7"/>
      <c r="S575" s="7"/>
    </row>
    <row r="576">
      <c r="D576" s="4"/>
      <c r="F576" s="5"/>
      <c r="G576" s="6"/>
      <c r="I576" s="7"/>
      <c r="S576" s="7"/>
    </row>
    <row r="577">
      <c r="D577" s="4"/>
      <c r="F577" s="5"/>
      <c r="G577" s="6"/>
      <c r="I577" s="7"/>
      <c r="S577" s="7"/>
    </row>
    <row r="578">
      <c r="D578" s="4"/>
      <c r="F578" s="5"/>
      <c r="G578" s="6"/>
      <c r="I578" s="7"/>
      <c r="S578" s="7"/>
    </row>
    <row r="579">
      <c r="D579" s="4"/>
      <c r="F579" s="5"/>
      <c r="G579" s="6"/>
      <c r="I579" s="7"/>
      <c r="S579" s="7"/>
    </row>
    <row r="580">
      <c r="D580" s="4"/>
      <c r="F580" s="5"/>
      <c r="G580" s="6"/>
      <c r="I580" s="7"/>
      <c r="S580" s="7"/>
    </row>
    <row r="581">
      <c r="D581" s="4"/>
      <c r="F581" s="5"/>
      <c r="G581" s="6"/>
      <c r="I581" s="7"/>
      <c r="S581" s="7"/>
    </row>
    <row r="582">
      <c r="D582" s="4"/>
      <c r="F582" s="5"/>
      <c r="G582" s="6"/>
      <c r="I582" s="7"/>
      <c r="S582" s="7"/>
    </row>
    <row r="583">
      <c r="D583" s="4"/>
      <c r="F583" s="5"/>
      <c r="G583" s="6"/>
      <c r="I583" s="7"/>
      <c r="S583" s="7"/>
    </row>
    <row r="584">
      <c r="D584" s="4"/>
      <c r="F584" s="5"/>
      <c r="G584" s="6"/>
      <c r="I584" s="7"/>
      <c r="S584" s="7"/>
    </row>
    <row r="585">
      <c r="D585" s="4"/>
      <c r="F585" s="5"/>
      <c r="G585" s="6"/>
      <c r="I585" s="7"/>
      <c r="S585" s="7"/>
    </row>
    <row r="586">
      <c r="D586" s="4"/>
      <c r="F586" s="5"/>
      <c r="G586" s="6"/>
      <c r="I586" s="7"/>
      <c r="S586" s="7"/>
    </row>
    <row r="587">
      <c r="D587" s="4"/>
      <c r="F587" s="5"/>
      <c r="G587" s="6"/>
      <c r="I587" s="7"/>
      <c r="S587" s="7"/>
    </row>
    <row r="588">
      <c r="D588" s="4"/>
      <c r="F588" s="5"/>
      <c r="G588" s="6"/>
      <c r="I588" s="7"/>
      <c r="S588" s="7"/>
    </row>
    <row r="589">
      <c r="D589" s="4"/>
      <c r="F589" s="5"/>
      <c r="G589" s="6"/>
      <c r="I589" s="7"/>
      <c r="S589" s="7"/>
    </row>
    <row r="590">
      <c r="D590" s="4"/>
      <c r="F590" s="5"/>
      <c r="G590" s="6"/>
      <c r="I590" s="7"/>
      <c r="S590" s="7"/>
    </row>
    <row r="591">
      <c r="D591" s="4"/>
      <c r="F591" s="5"/>
      <c r="G591" s="6"/>
      <c r="I591" s="7"/>
      <c r="S591" s="7"/>
    </row>
    <row r="592">
      <c r="D592" s="4"/>
      <c r="F592" s="5"/>
      <c r="G592" s="6"/>
      <c r="I592" s="7"/>
      <c r="S592" s="7"/>
    </row>
    <row r="593">
      <c r="D593" s="4"/>
      <c r="F593" s="5"/>
      <c r="G593" s="6"/>
      <c r="I593" s="7"/>
      <c r="S593" s="7"/>
    </row>
    <row r="594">
      <c r="D594" s="4"/>
      <c r="F594" s="5"/>
      <c r="G594" s="6"/>
      <c r="I594" s="7"/>
      <c r="S594" s="7"/>
    </row>
    <row r="595">
      <c r="D595" s="4"/>
      <c r="F595" s="5"/>
      <c r="G595" s="6"/>
      <c r="I595" s="7"/>
      <c r="S595" s="7"/>
    </row>
    <row r="596">
      <c r="D596" s="4"/>
      <c r="F596" s="5"/>
      <c r="G596" s="6"/>
      <c r="I596" s="7"/>
      <c r="S596" s="7"/>
    </row>
    <row r="597">
      <c r="D597" s="4"/>
      <c r="F597" s="5"/>
      <c r="G597" s="6"/>
      <c r="I597" s="7"/>
      <c r="S597" s="7"/>
    </row>
    <row r="598">
      <c r="D598" s="4"/>
      <c r="F598" s="5"/>
      <c r="G598" s="6"/>
      <c r="I598" s="7"/>
      <c r="S598" s="7"/>
    </row>
    <row r="599">
      <c r="D599" s="4"/>
      <c r="F599" s="5"/>
      <c r="G599" s="6"/>
      <c r="I599" s="7"/>
      <c r="S599" s="7"/>
    </row>
    <row r="600">
      <c r="D600" s="4"/>
      <c r="F600" s="5"/>
      <c r="G600" s="6"/>
      <c r="I600" s="7"/>
      <c r="S600" s="7"/>
    </row>
    <row r="601">
      <c r="D601" s="4"/>
      <c r="F601" s="5"/>
      <c r="G601" s="6"/>
      <c r="I601" s="7"/>
      <c r="S601" s="7"/>
    </row>
    <row r="602">
      <c r="D602" s="4"/>
      <c r="F602" s="5"/>
      <c r="G602" s="6"/>
      <c r="I602" s="7"/>
      <c r="S602" s="7"/>
    </row>
    <row r="603">
      <c r="D603" s="4"/>
      <c r="F603" s="5"/>
      <c r="G603" s="6"/>
      <c r="I603" s="7"/>
      <c r="S603" s="7"/>
    </row>
    <row r="604">
      <c r="D604" s="4"/>
      <c r="F604" s="5"/>
      <c r="G604" s="6"/>
      <c r="I604" s="7"/>
      <c r="S604" s="7"/>
    </row>
    <row r="605">
      <c r="D605" s="4"/>
      <c r="F605" s="5"/>
      <c r="G605" s="6"/>
      <c r="I605" s="7"/>
      <c r="S605" s="7"/>
    </row>
    <row r="606">
      <c r="D606" s="4"/>
      <c r="F606" s="5"/>
      <c r="G606" s="6"/>
      <c r="I606" s="7"/>
      <c r="S606" s="7"/>
    </row>
    <row r="607">
      <c r="D607" s="4"/>
      <c r="F607" s="5"/>
      <c r="G607" s="6"/>
      <c r="I607" s="7"/>
      <c r="S607" s="7"/>
    </row>
    <row r="608">
      <c r="D608" s="4"/>
      <c r="F608" s="5"/>
      <c r="G608" s="6"/>
      <c r="I608" s="7"/>
      <c r="S608" s="7"/>
    </row>
    <row r="609">
      <c r="D609" s="4"/>
      <c r="F609" s="5"/>
      <c r="G609" s="6"/>
      <c r="I609" s="7"/>
      <c r="S609" s="7"/>
    </row>
    <row r="610">
      <c r="D610" s="4"/>
      <c r="F610" s="5"/>
      <c r="G610" s="6"/>
      <c r="I610" s="7"/>
      <c r="S610" s="7"/>
    </row>
    <row r="611">
      <c r="D611" s="4"/>
      <c r="F611" s="5"/>
      <c r="G611" s="6"/>
      <c r="I611" s="7"/>
      <c r="S611" s="7"/>
    </row>
    <row r="612">
      <c r="D612" s="4"/>
      <c r="F612" s="5"/>
      <c r="G612" s="6"/>
      <c r="I612" s="7"/>
      <c r="S612" s="7"/>
    </row>
    <row r="613">
      <c r="D613" s="4"/>
      <c r="F613" s="5"/>
      <c r="G613" s="6"/>
      <c r="I613" s="7"/>
      <c r="S613" s="7"/>
    </row>
    <row r="614">
      <c r="D614" s="4"/>
      <c r="F614" s="5"/>
      <c r="G614" s="6"/>
      <c r="I614" s="7"/>
      <c r="S614" s="7"/>
    </row>
    <row r="615">
      <c r="D615" s="4"/>
      <c r="F615" s="5"/>
      <c r="G615" s="6"/>
      <c r="I615" s="7"/>
      <c r="S615" s="7"/>
    </row>
    <row r="616">
      <c r="D616" s="4"/>
      <c r="F616" s="5"/>
      <c r="G616" s="6"/>
      <c r="I616" s="7"/>
      <c r="S616" s="7"/>
    </row>
    <row r="617">
      <c r="D617" s="4"/>
      <c r="F617" s="5"/>
      <c r="G617" s="6"/>
      <c r="I617" s="7"/>
      <c r="S617" s="7"/>
    </row>
    <row r="618">
      <c r="D618" s="4"/>
      <c r="F618" s="5"/>
      <c r="G618" s="6"/>
      <c r="I618" s="7"/>
      <c r="S618" s="7"/>
    </row>
    <row r="619">
      <c r="D619" s="4"/>
      <c r="F619" s="5"/>
      <c r="G619" s="6"/>
      <c r="I619" s="7"/>
      <c r="S619" s="7"/>
    </row>
    <row r="620">
      <c r="D620" s="4"/>
      <c r="F620" s="5"/>
      <c r="G620" s="6"/>
      <c r="I620" s="7"/>
      <c r="S620" s="7"/>
    </row>
    <row r="621">
      <c r="D621" s="4"/>
      <c r="F621" s="5"/>
      <c r="G621" s="6"/>
      <c r="I621" s="7"/>
      <c r="S621" s="7"/>
    </row>
    <row r="622">
      <c r="D622" s="4"/>
      <c r="F622" s="5"/>
      <c r="G622" s="6"/>
      <c r="I622" s="7"/>
      <c r="S622" s="7"/>
    </row>
    <row r="623">
      <c r="D623" s="4"/>
      <c r="F623" s="5"/>
      <c r="G623" s="6"/>
      <c r="I623" s="7"/>
      <c r="S623" s="7"/>
    </row>
    <row r="624">
      <c r="D624" s="4"/>
      <c r="F624" s="5"/>
      <c r="G624" s="6"/>
      <c r="I624" s="7"/>
      <c r="S624" s="7"/>
    </row>
    <row r="625">
      <c r="D625" s="4"/>
      <c r="F625" s="5"/>
      <c r="G625" s="6"/>
      <c r="I625" s="7"/>
      <c r="S625" s="7"/>
    </row>
    <row r="626">
      <c r="D626" s="4"/>
      <c r="F626" s="5"/>
      <c r="G626" s="6"/>
      <c r="I626" s="7"/>
      <c r="S626" s="7"/>
    </row>
    <row r="627">
      <c r="D627" s="4"/>
      <c r="F627" s="5"/>
      <c r="G627" s="6"/>
      <c r="I627" s="7"/>
      <c r="S627" s="7"/>
    </row>
    <row r="628">
      <c r="D628" s="4"/>
      <c r="F628" s="5"/>
      <c r="G628" s="6"/>
      <c r="I628" s="7"/>
      <c r="S628" s="7"/>
    </row>
    <row r="629">
      <c r="D629" s="4"/>
      <c r="F629" s="5"/>
      <c r="G629" s="6"/>
      <c r="I629" s="7"/>
      <c r="S629" s="7"/>
    </row>
    <row r="630">
      <c r="D630" s="4"/>
      <c r="F630" s="5"/>
      <c r="G630" s="6"/>
      <c r="I630" s="7"/>
      <c r="S630" s="7"/>
    </row>
    <row r="631">
      <c r="D631" s="4"/>
      <c r="F631" s="5"/>
      <c r="G631" s="6"/>
      <c r="I631" s="7"/>
      <c r="S631" s="7"/>
    </row>
    <row r="632">
      <c r="D632" s="4"/>
      <c r="F632" s="5"/>
      <c r="G632" s="6"/>
      <c r="I632" s="7"/>
      <c r="S632" s="7"/>
    </row>
    <row r="633">
      <c r="D633" s="4"/>
      <c r="F633" s="5"/>
      <c r="G633" s="6"/>
      <c r="I633" s="7"/>
      <c r="S633" s="7"/>
    </row>
    <row r="634">
      <c r="D634" s="4"/>
      <c r="F634" s="5"/>
      <c r="G634" s="6"/>
      <c r="I634" s="7"/>
      <c r="S634" s="7"/>
    </row>
    <row r="635">
      <c r="D635" s="4"/>
      <c r="F635" s="5"/>
      <c r="G635" s="6"/>
      <c r="I635" s="7"/>
      <c r="S635" s="7"/>
    </row>
    <row r="636">
      <c r="D636" s="4"/>
      <c r="F636" s="5"/>
      <c r="G636" s="6"/>
      <c r="I636" s="7"/>
      <c r="S636" s="7"/>
    </row>
    <row r="637">
      <c r="D637" s="4"/>
      <c r="F637" s="5"/>
      <c r="G637" s="6"/>
      <c r="I637" s="7"/>
      <c r="S637" s="7"/>
    </row>
    <row r="638">
      <c r="D638" s="4"/>
      <c r="F638" s="5"/>
      <c r="G638" s="6"/>
      <c r="I638" s="7"/>
      <c r="S638" s="7"/>
    </row>
    <row r="639">
      <c r="D639" s="4"/>
      <c r="F639" s="5"/>
      <c r="G639" s="6"/>
      <c r="I639" s="7"/>
      <c r="S639" s="7"/>
    </row>
    <row r="640">
      <c r="D640" s="4"/>
      <c r="F640" s="5"/>
      <c r="G640" s="6"/>
      <c r="I640" s="7"/>
      <c r="S640" s="7"/>
    </row>
    <row r="641">
      <c r="D641" s="4"/>
      <c r="F641" s="5"/>
      <c r="G641" s="6"/>
      <c r="I641" s="7"/>
      <c r="S641" s="7"/>
    </row>
    <row r="642">
      <c r="D642" s="4"/>
      <c r="F642" s="5"/>
      <c r="G642" s="6"/>
      <c r="I642" s="7"/>
      <c r="S642" s="7"/>
    </row>
    <row r="643">
      <c r="D643" s="4"/>
      <c r="F643" s="5"/>
      <c r="G643" s="6"/>
      <c r="I643" s="7"/>
      <c r="S643" s="7"/>
    </row>
    <row r="644">
      <c r="D644" s="4"/>
      <c r="F644" s="5"/>
      <c r="G644" s="6"/>
      <c r="I644" s="7"/>
      <c r="S644" s="7"/>
    </row>
    <row r="645">
      <c r="D645" s="4"/>
      <c r="F645" s="5"/>
      <c r="G645" s="6"/>
      <c r="I645" s="7"/>
      <c r="S645" s="7"/>
    </row>
    <row r="646">
      <c r="D646" s="4"/>
      <c r="F646" s="5"/>
      <c r="G646" s="6"/>
      <c r="I646" s="7"/>
      <c r="S646" s="7"/>
    </row>
    <row r="647">
      <c r="D647" s="4"/>
      <c r="F647" s="5"/>
      <c r="G647" s="6"/>
      <c r="I647" s="7"/>
      <c r="S647" s="7"/>
    </row>
    <row r="648">
      <c r="D648" s="4"/>
      <c r="F648" s="5"/>
      <c r="G648" s="6"/>
      <c r="I648" s="7"/>
      <c r="S648" s="7"/>
    </row>
    <row r="649">
      <c r="D649" s="4"/>
      <c r="F649" s="5"/>
      <c r="G649" s="6"/>
      <c r="I649" s="7"/>
      <c r="S649" s="7"/>
    </row>
    <row r="650">
      <c r="D650" s="4"/>
      <c r="F650" s="5"/>
      <c r="G650" s="6"/>
      <c r="I650" s="7"/>
      <c r="S650" s="7"/>
    </row>
    <row r="651">
      <c r="D651" s="4"/>
      <c r="F651" s="5"/>
      <c r="G651" s="6"/>
      <c r="I651" s="7"/>
      <c r="S651" s="7"/>
    </row>
    <row r="652">
      <c r="D652" s="4"/>
      <c r="F652" s="5"/>
      <c r="G652" s="6"/>
      <c r="I652" s="7"/>
      <c r="S652" s="7"/>
    </row>
    <row r="653">
      <c r="D653" s="4"/>
      <c r="F653" s="5"/>
      <c r="G653" s="6"/>
      <c r="I653" s="7"/>
      <c r="S653" s="7"/>
    </row>
    <row r="654">
      <c r="D654" s="4"/>
      <c r="F654" s="5"/>
      <c r="G654" s="6"/>
      <c r="I654" s="7"/>
      <c r="S654" s="7"/>
    </row>
    <row r="655">
      <c r="D655" s="4"/>
      <c r="F655" s="5"/>
      <c r="G655" s="6"/>
      <c r="I655" s="7"/>
      <c r="S655" s="7"/>
    </row>
    <row r="656">
      <c r="D656" s="4"/>
      <c r="F656" s="5"/>
      <c r="G656" s="6"/>
      <c r="I656" s="7"/>
      <c r="S656" s="7"/>
    </row>
    <row r="657">
      <c r="D657" s="4"/>
      <c r="F657" s="5"/>
      <c r="G657" s="6"/>
      <c r="I657" s="7"/>
      <c r="S657" s="7"/>
    </row>
    <row r="658">
      <c r="D658" s="4"/>
      <c r="F658" s="5"/>
      <c r="G658" s="6"/>
      <c r="I658" s="7"/>
      <c r="S658" s="7"/>
    </row>
    <row r="659">
      <c r="D659" s="4"/>
      <c r="F659" s="5"/>
      <c r="G659" s="6"/>
      <c r="I659" s="7"/>
      <c r="S659" s="7"/>
    </row>
    <row r="660">
      <c r="D660" s="4"/>
      <c r="F660" s="5"/>
      <c r="G660" s="6"/>
      <c r="I660" s="7"/>
      <c r="S660" s="7"/>
    </row>
    <row r="661">
      <c r="D661" s="4"/>
      <c r="F661" s="5"/>
      <c r="G661" s="6"/>
      <c r="I661" s="7"/>
      <c r="S661" s="7"/>
    </row>
    <row r="662">
      <c r="D662" s="4"/>
      <c r="F662" s="5"/>
      <c r="G662" s="6"/>
      <c r="I662" s="7"/>
      <c r="S662" s="7"/>
    </row>
    <row r="663">
      <c r="D663" s="4"/>
      <c r="F663" s="5"/>
      <c r="G663" s="6"/>
      <c r="I663" s="7"/>
      <c r="S663" s="7"/>
    </row>
    <row r="664">
      <c r="D664" s="4"/>
      <c r="F664" s="5"/>
      <c r="G664" s="6"/>
      <c r="I664" s="7"/>
      <c r="S664" s="7"/>
    </row>
    <row r="665">
      <c r="D665" s="4"/>
      <c r="F665" s="5"/>
      <c r="G665" s="6"/>
      <c r="I665" s="7"/>
      <c r="S665" s="7"/>
    </row>
    <row r="666">
      <c r="D666" s="4"/>
      <c r="F666" s="5"/>
      <c r="G666" s="6"/>
      <c r="I666" s="7"/>
      <c r="S666" s="7"/>
    </row>
    <row r="667">
      <c r="D667" s="4"/>
      <c r="F667" s="5"/>
      <c r="G667" s="6"/>
      <c r="I667" s="7"/>
      <c r="S667" s="7"/>
    </row>
    <row r="668">
      <c r="D668" s="4"/>
      <c r="F668" s="5"/>
      <c r="G668" s="6"/>
      <c r="I668" s="7"/>
      <c r="S668" s="7"/>
    </row>
    <row r="669">
      <c r="D669" s="4"/>
      <c r="F669" s="5"/>
      <c r="G669" s="6"/>
      <c r="I669" s="7"/>
      <c r="S669" s="7"/>
    </row>
    <row r="670">
      <c r="D670" s="4"/>
      <c r="F670" s="5"/>
      <c r="G670" s="6"/>
      <c r="I670" s="7"/>
      <c r="S670" s="7"/>
    </row>
    <row r="671">
      <c r="D671" s="4"/>
      <c r="F671" s="5"/>
      <c r="G671" s="6"/>
      <c r="I671" s="7"/>
      <c r="S671" s="7"/>
    </row>
    <row r="672">
      <c r="D672" s="4"/>
      <c r="F672" s="5"/>
      <c r="G672" s="6"/>
      <c r="I672" s="7"/>
      <c r="S672" s="7"/>
    </row>
    <row r="673">
      <c r="D673" s="4"/>
      <c r="F673" s="5"/>
      <c r="G673" s="6"/>
      <c r="I673" s="7"/>
      <c r="S673" s="7"/>
    </row>
    <row r="674">
      <c r="D674" s="4"/>
      <c r="F674" s="5"/>
      <c r="G674" s="6"/>
      <c r="I674" s="7"/>
      <c r="S674" s="7"/>
    </row>
    <row r="675">
      <c r="D675" s="4"/>
      <c r="F675" s="5"/>
      <c r="G675" s="6"/>
      <c r="I675" s="7"/>
      <c r="S675" s="7"/>
    </row>
    <row r="676">
      <c r="D676" s="4"/>
      <c r="F676" s="5"/>
      <c r="G676" s="6"/>
      <c r="I676" s="7"/>
      <c r="S676" s="7"/>
    </row>
    <row r="677">
      <c r="D677" s="4"/>
      <c r="F677" s="5"/>
      <c r="G677" s="6"/>
      <c r="I677" s="7"/>
      <c r="S677" s="7"/>
    </row>
    <row r="678">
      <c r="D678" s="4"/>
      <c r="F678" s="5"/>
      <c r="G678" s="6"/>
      <c r="I678" s="7"/>
      <c r="S678" s="7"/>
    </row>
    <row r="679">
      <c r="D679" s="4"/>
      <c r="F679" s="5"/>
      <c r="G679" s="6"/>
      <c r="I679" s="7"/>
      <c r="S679" s="7"/>
    </row>
    <row r="680">
      <c r="D680" s="4"/>
      <c r="F680" s="5"/>
      <c r="G680" s="6"/>
      <c r="I680" s="7"/>
      <c r="S680" s="7"/>
    </row>
    <row r="681">
      <c r="D681" s="4"/>
      <c r="F681" s="5"/>
      <c r="G681" s="6"/>
      <c r="I681" s="7"/>
      <c r="S681" s="7"/>
    </row>
    <row r="682">
      <c r="D682" s="4"/>
      <c r="F682" s="5"/>
      <c r="G682" s="6"/>
      <c r="I682" s="7"/>
      <c r="S682" s="7"/>
    </row>
    <row r="683">
      <c r="D683" s="4"/>
      <c r="F683" s="5"/>
      <c r="G683" s="6"/>
      <c r="I683" s="7"/>
      <c r="S683" s="7"/>
    </row>
    <row r="684">
      <c r="D684" s="4"/>
      <c r="F684" s="5"/>
      <c r="G684" s="6"/>
      <c r="I684" s="7"/>
      <c r="S684" s="7"/>
    </row>
    <row r="685">
      <c r="D685" s="4"/>
      <c r="F685" s="5"/>
      <c r="G685" s="6"/>
      <c r="I685" s="7"/>
      <c r="S685" s="7"/>
    </row>
    <row r="686">
      <c r="D686" s="4"/>
      <c r="F686" s="5"/>
      <c r="G686" s="6"/>
      <c r="I686" s="7"/>
      <c r="S686" s="7"/>
    </row>
    <row r="687">
      <c r="D687" s="4"/>
      <c r="F687" s="5"/>
      <c r="G687" s="6"/>
      <c r="I687" s="7"/>
      <c r="S687" s="7"/>
    </row>
    <row r="688">
      <c r="D688" s="4"/>
      <c r="F688" s="5"/>
      <c r="G688" s="6"/>
      <c r="I688" s="7"/>
      <c r="S688" s="7"/>
    </row>
    <row r="689">
      <c r="D689" s="4"/>
      <c r="F689" s="5"/>
      <c r="G689" s="6"/>
      <c r="I689" s="7"/>
      <c r="S689" s="7"/>
    </row>
    <row r="690">
      <c r="D690" s="4"/>
      <c r="F690" s="5"/>
      <c r="G690" s="6"/>
      <c r="I690" s="7"/>
      <c r="S690" s="7"/>
    </row>
    <row r="691">
      <c r="D691" s="4"/>
      <c r="F691" s="5"/>
      <c r="G691" s="6"/>
      <c r="I691" s="7"/>
      <c r="S691" s="7"/>
    </row>
    <row r="692">
      <c r="D692" s="4"/>
      <c r="F692" s="5"/>
      <c r="G692" s="6"/>
      <c r="I692" s="7"/>
      <c r="S692" s="7"/>
    </row>
    <row r="693">
      <c r="D693" s="4"/>
      <c r="F693" s="5"/>
      <c r="G693" s="6"/>
      <c r="I693" s="7"/>
      <c r="S693" s="7"/>
    </row>
    <row r="694">
      <c r="D694" s="4"/>
      <c r="F694" s="5"/>
      <c r="G694" s="6"/>
      <c r="I694" s="7"/>
      <c r="S694" s="7"/>
    </row>
    <row r="695">
      <c r="D695" s="4"/>
      <c r="F695" s="5"/>
      <c r="G695" s="6"/>
      <c r="I695" s="7"/>
      <c r="S695" s="7"/>
    </row>
    <row r="696">
      <c r="D696" s="4"/>
      <c r="F696" s="5"/>
      <c r="G696" s="6"/>
      <c r="I696" s="7"/>
      <c r="S696" s="7"/>
    </row>
    <row r="697">
      <c r="D697" s="4"/>
      <c r="F697" s="5"/>
      <c r="G697" s="6"/>
      <c r="I697" s="7"/>
      <c r="S697" s="7"/>
    </row>
    <row r="698">
      <c r="D698" s="4"/>
      <c r="F698" s="5"/>
      <c r="G698" s="6"/>
      <c r="I698" s="7"/>
      <c r="S698" s="7"/>
    </row>
    <row r="699">
      <c r="D699" s="4"/>
      <c r="F699" s="5"/>
      <c r="G699" s="6"/>
      <c r="I699" s="7"/>
      <c r="S699" s="7"/>
    </row>
    <row r="700">
      <c r="D700" s="4"/>
      <c r="F700" s="5"/>
      <c r="G700" s="6"/>
      <c r="I700" s="7"/>
      <c r="S700" s="7"/>
    </row>
    <row r="701">
      <c r="D701" s="4"/>
      <c r="F701" s="5"/>
      <c r="G701" s="6"/>
      <c r="I701" s="7"/>
      <c r="S701" s="7"/>
    </row>
    <row r="702">
      <c r="D702" s="4"/>
      <c r="F702" s="5"/>
      <c r="G702" s="6"/>
      <c r="I702" s="7"/>
      <c r="S702" s="7"/>
    </row>
    <row r="703">
      <c r="D703" s="4"/>
      <c r="F703" s="5"/>
      <c r="G703" s="6"/>
      <c r="I703" s="7"/>
      <c r="S703" s="7"/>
    </row>
    <row r="704">
      <c r="D704" s="4"/>
      <c r="F704" s="5"/>
      <c r="G704" s="6"/>
      <c r="I704" s="7"/>
      <c r="S704" s="7"/>
    </row>
    <row r="705">
      <c r="D705" s="4"/>
      <c r="F705" s="5"/>
      <c r="G705" s="6"/>
      <c r="I705" s="7"/>
      <c r="S705" s="7"/>
    </row>
    <row r="706">
      <c r="D706" s="4"/>
      <c r="F706" s="5"/>
      <c r="G706" s="6"/>
      <c r="I706" s="7"/>
      <c r="S706" s="7"/>
    </row>
    <row r="707">
      <c r="D707" s="4"/>
      <c r="F707" s="5"/>
      <c r="G707" s="6"/>
      <c r="I707" s="7"/>
      <c r="S707" s="7"/>
    </row>
    <row r="708">
      <c r="D708" s="4"/>
      <c r="F708" s="5"/>
      <c r="G708" s="6"/>
      <c r="I708" s="7"/>
      <c r="S708" s="7"/>
    </row>
    <row r="709">
      <c r="D709" s="4"/>
      <c r="F709" s="5"/>
      <c r="G709" s="6"/>
      <c r="I709" s="7"/>
      <c r="S709" s="7"/>
    </row>
    <row r="710">
      <c r="D710" s="4"/>
      <c r="F710" s="5"/>
      <c r="G710" s="6"/>
      <c r="I710" s="7"/>
      <c r="S710" s="7"/>
    </row>
    <row r="711">
      <c r="D711" s="4"/>
      <c r="F711" s="5"/>
      <c r="G711" s="6"/>
      <c r="I711" s="7"/>
      <c r="S711" s="7"/>
    </row>
    <row r="712">
      <c r="D712" s="4"/>
      <c r="F712" s="5"/>
      <c r="G712" s="6"/>
      <c r="I712" s="7"/>
      <c r="S712" s="7"/>
    </row>
    <row r="713">
      <c r="D713" s="4"/>
      <c r="F713" s="5"/>
      <c r="G713" s="6"/>
      <c r="I713" s="7"/>
      <c r="S713" s="7"/>
    </row>
    <row r="714">
      <c r="D714" s="4"/>
      <c r="F714" s="5"/>
      <c r="G714" s="6"/>
      <c r="I714" s="7"/>
      <c r="S714" s="7"/>
    </row>
    <row r="715">
      <c r="D715" s="4"/>
      <c r="F715" s="5"/>
      <c r="G715" s="6"/>
      <c r="I715" s="7"/>
      <c r="S715" s="7"/>
    </row>
    <row r="716">
      <c r="D716" s="4"/>
      <c r="F716" s="5"/>
      <c r="G716" s="6"/>
      <c r="I716" s="7"/>
      <c r="S716" s="7"/>
    </row>
    <row r="717">
      <c r="D717" s="4"/>
      <c r="F717" s="5"/>
      <c r="G717" s="6"/>
      <c r="I717" s="7"/>
      <c r="S717" s="7"/>
    </row>
    <row r="718">
      <c r="D718" s="4"/>
      <c r="F718" s="5"/>
      <c r="G718" s="6"/>
      <c r="I718" s="7"/>
      <c r="S718" s="7"/>
    </row>
    <row r="719">
      <c r="D719" s="4"/>
      <c r="F719" s="5"/>
      <c r="G719" s="6"/>
      <c r="I719" s="7"/>
      <c r="S719" s="7"/>
    </row>
    <row r="720">
      <c r="D720" s="4"/>
      <c r="F720" s="5"/>
      <c r="G720" s="6"/>
      <c r="I720" s="7"/>
      <c r="S720" s="7"/>
    </row>
    <row r="721">
      <c r="D721" s="4"/>
      <c r="F721" s="5"/>
      <c r="G721" s="6"/>
      <c r="I721" s="7"/>
      <c r="S721" s="7"/>
    </row>
    <row r="722">
      <c r="D722" s="4"/>
      <c r="F722" s="5"/>
      <c r="G722" s="6"/>
      <c r="I722" s="7"/>
      <c r="S722" s="7"/>
    </row>
    <row r="723">
      <c r="D723" s="4"/>
      <c r="F723" s="5"/>
      <c r="G723" s="6"/>
      <c r="I723" s="7"/>
      <c r="S723" s="7"/>
    </row>
    <row r="724">
      <c r="D724" s="4"/>
      <c r="F724" s="5"/>
      <c r="G724" s="6"/>
      <c r="I724" s="7"/>
      <c r="S724" s="7"/>
    </row>
    <row r="725">
      <c r="D725" s="4"/>
      <c r="F725" s="5"/>
      <c r="G725" s="6"/>
      <c r="I725" s="7"/>
      <c r="S725" s="7"/>
    </row>
    <row r="726">
      <c r="D726" s="4"/>
      <c r="F726" s="5"/>
      <c r="G726" s="6"/>
      <c r="I726" s="7"/>
      <c r="S726" s="7"/>
    </row>
    <row r="727">
      <c r="D727" s="4"/>
      <c r="F727" s="5"/>
      <c r="G727" s="6"/>
      <c r="I727" s="7"/>
      <c r="S727" s="7"/>
    </row>
    <row r="728">
      <c r="D728" s="4"/>
      <c r="F728" s="5"/>
      <c r="G728" s="6"/>
      <c r="I728" s="7"/>
      <c r="S728" s="7"/>
    </row>
    <row r="729">
      <c r="D729" s="4"/>
      <c r="F729" s="5"/>
      <c r="G729" s="6"/>
      <c r="I729" s="7"/>
      <c r="S729" s="7"/>
    </row>
    <row r="730">
      <c r="D730" s="4"/>
      <c r="F730" s="5"/>
      <c r="G730" s="6"/>
      <c r="I730" s="7"/>
      <c r="S730" s="7"/>
    </row>
    <row r="731">
      <c r="D731" s="4"/>
      <c r="F731" s="5"/>
      <c r="G731" s="6"/>
      <c r="I731" s="7"/>
      <c r="S731" s="7"/>
    </row>
    <row r="732">
      <c r="D732" s="4"/>
      <c r="F732" s="5"/>
      <c r="G732" s="6"/>
      <c r="I732" s="7"/>
      <c r="S732" s="7"/>
    </row>
    <row r="733">
      <c r="D733" s="4"/>
      <c r="F733" s="5"/>
      <c r="G733" s="6"/>
      <c r="I733" s="7"/>
      <c r="S733" s="7"/>
    </row>
    <row r="734">
      <c r="D734" s="4"/>
      <c r="F734" s="5"/>
      <c r="G734" s="6"/>
      <c r="I734" s="7"/>
      <c r="S734" s="7"/>
    </row>
    <row r="735">
      <c r="D735" s="4"/>
      <c r="F735" s="5"/>
      <c r="G735" s="6"/>
      <c r="I735" s="7"/>
      <c r="S735" s="7"/>
    </row>
    <row r="736">
      <c r="D736" s="4"/>
      <c r="F736" s="5"/>
      <c r="G736" s="6"/>
      <c r="I736" s="7"/>
      <c r="S736" s="7"/>
    </row>
    <row r="737">
      <c r="D737" s="4"/>
      <c r="F737" s="5"/>
      <c r="G737" s="6"/>
      <c r="I737" s="7"/>
      <c r="S737" s="7"/>
    </row>
    <row r="738">
      <c r="D738" s="4"/>
      <c r="F738" s="5"/>
      <c r="G738" s="6"/>
      <c r="I738" s="7"/>
      <c r="S738" s="7"/>
    </row>
    <row r="739">
      <c r="D739" s="4"/>
      <c r="F739" s="5"/>
      <c r="G739" s="6"/>
      <c r="I739" s="7"/>
      <c r="S739" s="7"/>
    </row>
    <row r="740">
      <c r="D740" s="4"/>
      <c r="F740" s="5"/>
      <c r="G740" s="6"/>
      <c r="I740" s="7"/>
      <c r="S740" s="7"/>
    </row>
    <row r="741">
      <c r="D741" s="4"/>
      <c r="F741" s="5"/>
      <c r="G741" s="6"/>
      <c r="I741" s="7"/>
      <c r="S741" s="7"/>
    </row>
    <row r="742">
      <c r="D742" s="4"/>
      <c r="F742" s="5"/>
      <c r="G742" s="6"/>
      <c r="I742" s="7"/>
      <c r="S742" s="7"/>
    </row>
    <row r="743">
      <c r="D743" s="4"/>
      <c r="F743" s="5"/>
      <c r="G743" s="6"/>
      <c r="I743" s="7"/>
      <c r="S743" s="7"/>
    </row>
    <row r="744">
      <c r="D744" s="4"/>
      <c r="F744" s="5"/>
      <c r="G744" s="6"/>
      <c r="I744" s="7"/>
      <c r="S744" s="7"/>
    </row>
    <row r="745">
      <c r="D745" s="4"/>
      <c r="F745" s="5"/>
      <c r="G745" s="6"/>
      <c r="I745" s="7"/>
      <c r="S745" s="7"/>
    </row>
    <row r="746">
      <c r="D746" s="4"/>
      <c r="F746" s="5"/>
      <c r="G746" s="6"/>
      <c r="I746" s="7"/>
      <c r="S746" s="7"/>
    </row>
    <row r="747">
      <c r="D747" s="4"/>
      <c r="F747" s="5"/>
      <c r="G747" s="6"/>
      <c r="I747" s="7"/>
      <c r="S747" s="7"/>
    </row>
    <row r="748">
      <c r="D748" s="4"/>
      <c r="F748" s="5"/>
      <c r="G748" s="6"/>
      <c r="I748" s="7"/>
      <c r="S748" s="7"/>
    </row>
    <row r="749">
      <c r="D749" s="4"/>
      <c r="F749" s="5"/>
      <c r="G749" s="6"/>
      <c r="I749" s="7"/>
      <c r="S749" s="7"/>
    </row>
    <row r="750">
      <c r="D750" s="4"/>
      <c r="F750" s="5"/>
      <c r="G750" s="6"/>
      <c r="I750" s="7"/>
      <c r="S750" s="7"/>
    </row>
    <row r="751">
      <c r="D751" s="4"/>
      <c r="F751" s="5"/>
      <c r="G751" s="6"/>
      <c r="I751" s="7"/>
      <c r="S751" s="7"/>
    </row>
    <row r="752">
      <c r="D752" s="4"/>
      <c r="F752" s="5"/>
      <c r="G752" s="6"/>
      <c r="I752" s="7"/>
      <c r="S752" s="7"/>
    </row>
    <row r="753">
      <c r="D753" s="4"/>
      <c r="F753" s="5"/>
      <c r="G753" s="6"/>
      <c r="I753" s="7"/>
      <c r="S753" s="7"/>
    </row>
    <row r="754">
      <c r="D754" s="4"/>
      <c r="F754" s="5"/>
      <c r="G754" s="6"/>
      <c r="I754" s="7"/>
      <c r="S754" s="7"/>
    </row>
    <row r="755">
      <c r="D755" s="4"/>
      <c r="F755" s="5"/>
      <c r="G755" s="6"/>
      <c r="I755" s="7"/>
      <c r="S755" s="7"/>
    </row>
    <row r="756">
      <c r="D756" s="4"/>
      <c r="F756" s="5"/>
      <c r="G756" s="6"/>
      <c r="I756" s="7"/>
      <c r="S756" s="7"/>
    </row>
    <row r="757">
      <c r="D757" s="4"/>
      <c r="F757" s="5"/>
      <c r="G757" s="6"/>
      <c r="I757" s="7"/>
      <c r="S757" s="7"/>
    </row>
    <row r="758">
      <c r="D758" s="4"/>
      <c r="F758" s="5"/>
      <c r="G758" s="6"/>
      <c r="I758" s="7"/>
      <c r="S758" s="7"/>
    </row>
    <row r="759">
      <c r="D759" s="4"/>
      <c r="F759" s="5"/>
      <c r="G759" s="6"/>
      <c r="I759" s="7"/>
      <c r="S759" s="7"/>
    </row>
    <row r="760">
      <c r="D760" s="4"/>
      <c r="F760" s="5"/>
      <c r="G760" s="6"/>
      <c r="I760" s="7"/>
      <c r="S760" s="7"/>
    </row>
    <row r="761">
      <c r="D761" s="4"/>
      <c r="F761" s="5"/>
      <c r="G761" s="6"/>
      <c r="I761" s="7"/>
      <c r="S761" s="7"/>
    </row>
    <row r="762">
      <c r="D762" s="4"/>
      <c r="F762" s="5"/>
      <c r="G762" s="6"/>
      <c r="I762" s="7"/>
      <c r="S762" s="7"/>
    </row>
    <row r="763">
      <c r="D763" s="4"/>
      <c r="F763" s="5"/>
      <c r="G763" s="6"/>
      <c r="I763" s="7"/>
      <c r="S763" s="7"/>
    </row>
    <row r="764">
      <c r="D764" s="4"/>
      <c r="F764" s="5"/>
      <c r="G764" s="6"/>
      <c r="I764" s="7"/>
      <c r="S764" s="7"/>
    </row>
    <row r="765">
      <c r="D765" s="4"/>
      <c r="F765" s="5"/>
      <c r="G765" s="6"/>
      <c r="I765" s="7"/>
      <c r="S765" s="7"/>
    </row>
    <row r="766">
      <c r="D766" s="4"/>
      <c r="F766" s="5"/>
      <c r="G766" s="6"/>
      <c r="I766" s="7"/>
      <c r="S766" s="7"/>
    </row>
    <row r="767">
      <c r="D767" s="4"/>
      <c r="F767" s="5"/>
      <c r="G767" s="6"/>
      <c r="I767" s="7"/>
      <c r="S767" s="7"/>
    </row>
    <row r="768">
      <c r="D768" s="4"/>
      <c r="F768" s="5"/>
      <c r="G768" s="6"/>
      <c r="I768" s="7"/>
      <c r="S768" s="7"/>
    </row>
    <row r="769">
      <c r="D769" s="4"/>
      <c r="F769" s="5"/>
      <c r="G769" s="6"/>
      <c r="I769" s="7"/>
      <c r="S769" s="7"/>
    </row>
    <row r="770">
      <c r="D770" s="4"/>
      <c r="F770" s="5"/>
      <c r="G770" s="6"/>
      <c r="I770" s="7"/>
      <c r="S770" s="7"/>
    </row>
    <row r="771">
      <c r="D771" s="4"/>
      <c r="F771" s="5"/>
      <c r="G771" s="6"/>
      <c r="I771" s="7"/>
      <c r="S771" s="7"/>
    </row>
    <row r="772">
      <c r="D772" s="4"/>
      <c r="F772" s="5"/>
      <c r="G772" s="6"/>
      <c r="I772" s="7"/>
      <c r="S772" s="7"/>
    </row>
    <row r="773">
      <c r="D773" s="4"/>
      <c r="F773" s="5"/>
      <c r="G773" s="6"/>
      <c r="I773" s="7"/>
      <c r="S773" s="7"/>
    </row>
    <row r="774">
      <c r="D774" s="4"/>
      <c r="F774" s="5"/>
      <c r="G774" s="6"/>
      <c r="I774" s="7"/>
      <c r="S774" s="7"/>
    </row>
    <row r="775">
      <c r="D775" s="4"/>
      <c r="F775" s="5"/>
      <c r="G775" s="6"/>
      <c r="I775" s="7"/>
      <c r="S775" s="7"/>
    </row>
    <row r="776">
      <c r="D776" s="4"/>
      <c r="F776" s="5"/>
      <c r="G776" s="6"/>
      <c r="I776" s="7"/>
      <c r="S776" s="7"/>
    </row>
    <row r="777">
      <c r="D777" s="4"/>
      <c r="F777" s="5"/>
      <c r="G777" s="6"/>
      <c r="I777" s="7"/>
      <c r="S777" s="7"/>
    </row>
    <row r="778">
      <c r="D778" s="4"/>
      <c r="F778" s="5"/>
      <c r="G778" s="6"/>
      <c r="I778" s="7"/>
      <c r="S778" s="7"/>
    </row>
    <row r="779">
      <c r="D779" s="4"/>
      <c r="F779" s="5"/>
      <c r="G779" s="6"/>
      <c r="I779" s="7"/>
      <c r="S779" s="7"/>
    </row>
    <row r="780">
      <c r="D780" s="4"/>
      <c r="F780" s="5"/>
      <c r="G780" s="6"/>
      <c r="I780" s="7"/>
      <c r="S780" s="7"/>
    </row>
    <row r="781">
      <c r="D781" s="4"/>
      <c r="F781" s="5"/>
      <c r="G781" s="6"/>
      <c r="I781" s="7"/>
      <c r="S781" s="7"/>
    </row>
    <row r="782">
      <c r="D782" s="4"/>
      <c r="F782" s="5"/>
      <c r="G782" s="6"/>
      <c r="I782" s="7"/>
      <c r="S782" s="7"/>
    </row>
    <row r="783">
      <c r="D783" s="4"/>
      <c r="F783" s="5"/>
      <c r="G783" s="6"/>
      <c r="I783" s="7"/>
      <c r="S783" s="7"/>
    </row>
    <row r="784">
      <c r="D784" s="4"/>
      <c r="F784" s="5"/>
      <c r="G784" s="6"/>
      <c r="I784" s="7"/>
      <c r="S784" s="7"/>
    </row>
    <row r="785">
      <c r="D785" s="4"/>
      <c r="F785" s="5"/>
      <c r="G785" s="6"/>
      <c r="I785" s="7"/>
      <c r="S785" s="7"/>
    </row>
    <row r="786">
      <c r="D786" s="4"/>
      <c r="F786" s="5"/>
      <c r="G786" s="6"/>
      <c r="I786" s="7"/>
      <c r="S786" s="7"/>
    </row>
    <row r="787">
      <c r="D787" s="4"/>
      <c r="F787" s="5"/>
      <c r="G787" s="6"/>
      <c r="I787" s="7"/>
      <c r="S787" s="7"/>
    </row>
    <row r="788">
      <c r="D788" s="4"/>
      <c r="F788" s="5"/>
      <c r="G788" s="6"/>
      <c r="I788" s="7"/>
      <c r="S788" s="7"/>
    </row>
    <row r="789">
      <c r="D789" s="4"/>
      <c r="F789" s="5"/>
      <c r="G789" s="6"/>
      <c r="I789" s="7"/>
      <c r="S789" s="7"/>
    </row>
    <row r="790">
      <c r="D790" s="4"/>
      <c r="F790" s="5"/>
      <c r="G790" s="6"/>
      <c r="I790" s="7"/>
      <c r="S790" s="7"/>
    </row>
    <row r="791">
      <c r="D791" s="4"/>
      <c r="F791" s="5"/>
      <c r="G791" s="6"/>
      <c r="I791" s="7"/>
      <c r="S791" s="7"/>
    </row>
    <row r="792">
      <c r="D792" s="4"/>
      <c r="F792" s="5"/>
      <c r="G792" s="6"/>
      <c r="I792" s="7"/>
      <c r="S792" s="7"/>
    </row>
    <row r="793">
      <c r="D793" s="4"/>
      <c r="F793" s="5"/>
      <c r="G793" s="6"/>
      <c r="I793" s="7"/>
      <c r="S793" s="7"/>
    </row>
    <row r="794">
      <c r="D794" s="4"/>
      <c r="F794" s="5"/>
      <c r="G794" s="6"/>
      <c r="I794" s="7"/>
      <c r="S794" s="7"/>
    </row>
    <row r="795">
      <c r="D795" s="4"/>
      <c r="F795" s="5"/>
      <c r="G795" s="6"/>
      <c r="I795" s="7"/>
      <c r="S795" s="7"/>
    </row>
    <row r="796">
      <c r="D796" s="4"/>
      <c r="F796" s="5"/>
      <c r="G796" s="6"/>
      <c r="I796" s="7"/>
      <c r="S796" s="7"/>
    </row>
    <row r="797">
      <c r="D797" s="4"/>
      <c r="F797" s="5"/>
      <c r="G797" s="6"/>
      <c r="I797" s="7"/>
      <c r="S797" s="7"/>
    </row>
    <row r="798">
      <c r="D798" s="4"/>
      <c r="F798" s="5"/>
      <c r="G798" s="6"/>
      <c r="I798" s="7"/>
      <c r="S798" s="7"/>
    </row>
    <row r="799">
      <c r="D799" s="4"/>
      <c r="F799" s="5"/>
      <c r="G799" s="6"/>
      <c r="I799" s="7"/>
      <c r="S799" s="7"/>
    </row>
    <row r="800">
      <c r="D800" s="4"/>
      <c r="F800" s="5"/>
      <c r="G800" s="6"/>
      <c r="I800" s="7"/>
      <c r="S800" s="7"/>
    </row>
    <row r="801">
      <c r="D801" s="4"/>
      <c r="F801" s="5"/>
      <c r="G801" s="6"/>
      <c r="I801" s="7"/>
      <c r="S801" s="7"/>
    </row>
    <row r="802">
      <c r="D802" s="4"/>
      <c r="F802" s="5"/>
      <c r="G802" s="6"/>
      <c r="I802" s="7"/>
      <c r="S802" s="7"/>
    </row>
    <row r="803">
      <c r="D803" s="4"/>
      <c r="F803" s="5"/>
      <c r="G803" s="6"/>
      <c r="I803" s="7"/>
      <c r="S803" s="7"/>
    </row>
    <row r="804">
      <c r="D804" s="4"/>
      <c r="F804" s="5"/>
      <c r="G804" s="6"/>
      <c r="I804" s="7"/>
      <c r="S804" s="7"/>
    </row>
    <row r="805">
      <c r="D805" s="4"/>
      <c r="F805" s="5"/>
      <c r="G805" s="6"/>
      <c r="I805" s="7"/>
      <c r="S805" s="7"/>
    </row>
    <row r="806">
      <c r="D806" s="4"/>
      <c r="F806" s="5"/>
      <c r="G806" s="6"/>
      <c r="I806" s="7"/>
      <c r="S806" s="7"/>
    </row>
    <row r="807">
      <c r="D807" s="4"/>
      <c r="F807" s="5"/>
      <c r="G807" s="6"/>
      <c r="I807" s="7"/>
      <c r="S807" s="7"/>
    </row>
    <row r="808">
      <c r="D808" s="4"/>
      <c r="F808" s="5"/>
      <c r="G808" s="6"/>
      <c r="I808" s="7"/>
      <c r="S808" s="7"/>
    </row>
    <row r="809">
      <c r="D809" s="4"/>
      <c r="F809" s="5"/>
      <c r="G809" s="6"/>
      <c r="I809" s="7"/>
      <c r="S809" s="7"/>
    </row>
    <row r="810">
      <c r="D810" s="4"/>
      <c r="F810" s="5"/>
      <c r="G810" s="6"/>
      <c r="I810" s="7"/>
      <c r="S810" s="7"/>
    </row>
    <row r="811">
      <c r="D811" s="4"/>
      <c r="F811" s="5"/>
      <c r="G811" s="6"/>
      <c r="I811" s="7"/>
      <c r="S811" s="7"/>
    </row>
    <row r="812">
      <c r="D812" s="4"/>
      <c r="F812" s="5"/>
      <c r="G812" s="6"/>
      <c r="I812" s="7"/>
      <c r="S812" s="7"/>
    </row>
    <row r="813">
      <c r="D813" s="4"/>
      <c r="F813" s="5"/>
      <c r="G813" s="6"/>
      <c r="I813" s="7"/>
      <c r="S813" s="7"/>
    </row>
    <row r="814">
      <c r="D814" s="4"/>
      <c r="F814" s="5"/>
      <c r="G814" s="6"/>
      <c r="I814" s="7"/>
      <c r="S814" s="7"/>
    </row>
    <row r="815">
      <c r="D815" s="4"/>
      <c r="F815" s="5"/>
      <c r="G815" s="6"/>
      <c r="I815" s="7"/>
      <c r="S815" s="7"/>
    </row>
    <row r="816">
      <c r="D816" s="4"/>
      <c r="F816" s="5"/>
      <c r="G816" s="6"/>
      <c r="I816" s="7"/>
      <c r="S816" s="7"/>
    </row>
    <row r="817">
      <c r="D817" s="4"/>
      <c r="F817" s="5"/>
      <c r="G817" s="6"/>
      <c r="I817" s="7"/>
      <c r="S817" s="7"/>
    </row>
    <row r="818">
      <c r="D818" s="4"/>
      <c r="F818" s="5"/>
      <c r="G818" s="6"/>
      <c r="I818" s="7"/>
      <c r="S818" s="7"/>
    </row>
    <row r="819">
      <c r="D819" s="4"/>
      <c r="F819" s="5"/>
      <c r="G819" s="6"/>
      <c r="I819" s="7"/>
      <c r="S819" s="7"/>
    </row>
    <row r="820">
      <c r="D820" s="4"/>
      <c r="F820" s="5"/>
      <c r="G820" s="6"/>
      <c r="I820" s="7"/>
      <c r="S820" s="7"/>
    </row>
    <row r="821">
      <c r="D821" s="4"/>
      <c r="F821" s="5"/>
      <c r="G821" s="6"/>
      <c r="I821" s="7"/>
      <c r="S821" s="7"/>
    </row>
    <row r="822">
      <c r="D822" s="4"/>
      <c r="F822" s="5"/>
      <c r="G822" s="6"/>
      <c r="I822" s="7"/>
      <c r="S822" s="7"/>
    </row>
    <row r="823">
      <c r="D823" s="4"/>
      <c r="F823" s="5"/>
      <c r="G823" s="6"/>
      <c r="I823" s="7"/>
      <c r="S823" s="7"/>
    </row>
    <row r="824">
      <c r="D824" s="4"/>
      <c r="F824" s="5"/>
      <c r="G824" s="6"/>
      <c r="I824" s="7"/>
      <c r="S824" s="7"/>
    </row>
    <row r="825">
      <c r="D825" s="4"/>
      <c r="F825" s="5"/>
      <c r="G825" s="6"/>
      <c r="I825" s="7"/>
      <c r="S825" s="7"/>
    </row>
    <row r="826">
      <c r="D826" s="4"/>
      <c r="F826" s="5"/>
      <c r="G826" s="6"/>
      <c r="I826" s="7"/>
      <c r="S826" s="7"/>
    </row>
    <row r="827">
      <c r="D827" s="4"/>
      <c r="F827" s="5"/>
      <c r="G827" s="6"/>
      <c r="I827" s="7"/>
      <c r="S827" s="7"/>
    </row>
    <row r="828">
      <c r="D828" s="4"/>
      <c r="F828" s="5"/>
      <c r="G828" s="6"/>
      <c r="I828" s="7"/>
      <c r="S828" s="7"/>
    </row>
    <row r="829">
      <c r="D829" s="4"/>
      <c r="F829" s="5"/>
      <c r="G829" s="6"/>
      <c r="I829" s="7"/>
      <c r="S829" s="7"/>
    </row>
    <row r="830">
      <c r="D830" s="4"/>
      <c r="F830" s="5"/>
      <c r="G830" s="6"/>
      <c r="I830" s="7"/>
      <c r="S830" s="7"/>
    </row>
    <row r="831">
      <c r="D831" s="4"/>
      <c r="F831" s="5"/>
      <c r="G831" s="6"/>
      <c r="I831" s="7"/>
      <c r="S831" s="7"/>
    </row>
    <row r="832">
      <c r="D832" s="4"/>
      <c r="F832" s="5"/>
      <c r="G832" s="6"/>
      <c r="I832" s="7"/>
      <c r="S832" s="7"/>
    </row>
    <row r="833">
      <c r="D833" s="4"/>
      <c r="F833" s="5"/>
      <c r="G833" s="6"/>
      <c r="I833" s="7"/>
      <c r="S833" s="7"/>
    </row>
    <row r="834">
      <c r="D834" s="4"/>
      <c r="F834" s="5"/>
      <c r="G834" s="6"/>
      <c r="I834" s="7"/>
      <c r="S834" s="7"/>
    </row>
    <row r="835">
      <c r="D835" s="4"/>
      <c r="F835" s="5"/>
      <c r="G835" s="6"/>
      <c r="I835" s="7"/>
      <c r="S835" s="7"/>
    </row>
    <row r="836">
      <c r="D836" s="4"/>
      <c r="F836" s="5"/>
      <c r="G836" s="6"/>
      <c r="I836" s="7"/>
      <c r="S836" s="7"/>
    </row>
    <row r="837">
      <c r="D837" s="4"/>
      <c r="F837" s="5"/>
      <c r="G837" s="6"/>
      <c r="I837" s="7"/>
      <c r="S837" s="7"/>
    </row>
    <row r="838">
      <c r="D838" s="4"/>
      <c r="F838" s="5"/>
      <c r="G838" s="6"/>
      <c r="I838" s="7"/>
      <c r="S838" s="7"/>
    </row>
    <row r="839">
      <c r="D839" s="4"/>
      <c r="F839" s="5"/>
      <c r="G839" s="6"/>
      <c r="I839" s="7"/>
      <c r="S839" s="7"/>
    </row>
    <row r="840">
      <c r="D840" s="4"/>
      <c r="F840" s="5"/>
      <c r="G840" s="6"/>
      <c r="I840" s="7"/>
      <c r="S840" s="7"/>
    </row>
    <row r="841">
      <c r="D841" s="4"/>
      <c r="F841" s="5"/>
      <c r="G841" s="6"/>
      <c r="I841" s="7"/>
      <c r="S841" s="7"/>
    </row>
    <row r="842">
      <c r="D842" s="4"/>
      <c r="F842" s="5"/>
      <c r="G842" s="6"/>
      <c r="I842" s="7"/>
      <c r="S842" s="7"/>
    </row>
    <row r="843">
      <c r="D843" s="4"/>
      <c r="F843" s="5"/>
      <c r="G843" s="6"/>
      <c r="I843" s="7"/>
      <c r="S843" s="7"/>
    </row>
    <row r="844">
      <c r="D844" s="4"/>
      <c r="F844" s="5"/>
      <c r="G844" s="6"/>
      <c r="I844" s="7"/>
      <c r="S844" s="7"/>
    </row>
    <row r="845">
      <c r="D845" s="4"/>
      <c r="F845" s="5"/>
      <c r="G845" s="6"/>
      <c r="I845" s="7"/>
      <c r="S845" s="7"/>
    </row>
    <row r="846">
      <c r="D846" s="4"/>
      <c r="F846" s="5"/>
      <c r="G846" s="6"/>
      <c r="I846" s="7"/>
      <c r="S846" s="7"/>
    </row>
    <row r="847">
      <c r="D847" s="4"/>
      <c r="F847" s="5"/>
      <c r="G847" s="6"/>
      <c r="I847" s="7"/>
      <c r="S847" s="7"/>
    </row>
    <row r="848">
      <c r="D848" s="4"/>
      <c r="F848" s="5"/>
      <c r="G848" s="6"/>
      <c r="I848" s="7"/>
      <c r="S848" s="7"/>
    </row>
    <row r="849">
      <c r="D849" s="4"/>
      <c r="F849" s="5"/>
      <c r="G849" s="6"/>
      <c r="I849" s="7"/>
      <c r="S849" s="7"/>
    </row>
    <row r="850">
      <c r="D850" s="4"/>
      <c r="F850" s="5"/>
      <c r="G850" s="6"/>
      <c r="I850" s="7"/>
      <c r="S850" s="7"/>
    </row>
    <row r="851">
      <c r="D851" s="4"/>
      <c r="F851" s="5"/>
      <c r="G851" s="6"/>
      <c r="I851" s="7"/>
      <c r="S851" s="7"/>
    </row>
    <row r="852">
      <c r="D852" s="4"/>
      <c r="F852" s="5"/>
      <c r="G852" s="6"/>
      <c r="I852" s="7"/>
      <c r="S852" s="7"/>
    </row>
    <row r="853">
      <c r="D853" s="4"/>
      <c r="F853" s="5"/>
      <c r="G853" s="6"/>
      <c r="I853" s="7"/>
      <c r="S853" s="7"/>
    </row>
    <row r="854">
      <c r="D854" s="4"/>
      <c r="F854" s="5"/>
      <c r="G854" s="6"/>
      <c r="I854" s="7"/>
      <c r="S854" s="7"/>
    </row>
    <row r="855">
      <c r="D855" s="4"/>
      <c r="F855" s="5"/>
      <c r="G855" s="6"/>
      <c r="I855" s="7"/>
      <c r="S855" s="7"/>
    </row>
    <row r="856">
      <c r="D856" s="4"/>
      <c r="F856" s="5"/>
      <c r="G856" s="6"/>
      <c r="I856" s="7"/>
      <c r="S856" s="7"/>
    </row>
    <row r="857">
      <c r="D857" s="4"/>
      <c r="F857" s="5"/>
      <c r="G857" s="6"/>
      <c r="I857" s="7"/>
      <c r="S857" s="7"/>
    </row>
    <row r="858">
      <c r="D858" s="4"/>
      <c r="F858" s="5"/>
      <c r="G858" s="6"/>
      <c r="I858" s="7"/>
      <c r="S858" s="7"/>
    </row>
    <row r="859">
      <c r="D859" s="4"/>
      <c r="F859" s="5"/>
      <c r="G859" s="6"/>
      <c r="I859" s="7"/>
      <c r="S859" s="7"/>
    </row>
    <row r="860">
      <c r="D860" s="4"/>
      <c r="F860" s="5"/>
      <c r="G860" s="6"/>
      <c r="I860" s="7"/>
      <c r="S860" s="7"/>
    </row>
    <row r="861">
      <c r="D861" s="4"/>
      <c r="F861" s="5"/>
      <c r="G861" s="6"/>
      <c r="I861" s="7"/>
      <c r="S861" s="7"/>
    </row>
    <row r="862">
      <c r="D862" s="4"/>
      <c r="F862" s="5"/>
      <c r="G862" s="6"/>
      <c r="I862" s="7"/>
      <c r="S862" s="7"/>
    </row>
    <row r="863">
      <c r="D863" s="4"/>
      <c r="F863" s="5"/>
      <c r="G863" s="6"/>
      <c r="I863" s="7"/>
      <c r="S863" s="7"/>
    </row>
    <row r="864">
      <c r="D864" s="4"/>
      <c r="F864" s="5"/>
      <c r="G864" s="6"/>
      <c r="I864" s="7"/>
      <c r="S864" s="7"/>
    </row>
    <row r="865">
      <c r="D865" s="4"/>
      <c r="F865" s="5"/>
      <c r="G865" s="6"/>
      <c r="I865" s="7"/>
      <c r="S865" s="7"/>
    </row>
    <row r="866">
      <c r="D866" s="4"/>
      <c r="F866" s="5"/>
      <c r="G866" s="6"/>
      <c r="I866" s="7"/>
      <c r="S866" s="7"/>
    </row>
    <row r="867">
      <c r="D867" s="4"/>
      <c r="F867" s="5"/>
      <c r="G867" s="6"/>
      <c r="I867" s="7"/>
      <c r="S867" s="7"/>
    </row>
    <row r="868">
      <c r="D868" s="4"/>
      <c r="F868" s="5"/>
      <c r="G868" s="6"/>
      <c r="I868" s="7"/>
      <c r="S868" s="7"/>
    </row>
    <row r="869">
      <c r="D869" s="4"/>
      <c r="F869" s="5"/>
      <c r="G869" s="6"/>
      <c r="I869" s="7"/>
      <c r="S869" s="7"/>
    </row>
    <row r="870">
      <c r="D870" s="4"/>
      <c r="F870" s="5"/>
      <c r="G870" s="6"/>
      <c r="I870" s="7"/>
      <c r="S870" s="7"/>
    </row>
    <row r="871">
      <c r="D871" s="4"/>
      <c r="F871" s="5"/>
      <c r="G871" s="6"/>
      <c r="I871" s="7"/>
      <c r="S871" s="7"/>
    </row>
    <row r="872">
      <c r="D872" s="4"/>
      <c r="F872" s="5"/>
      <c r="G872" s="6"/>
      <c r="I872" s="7"/>
      <c r="S872" s="7"/>
    </row>
    <row r="873">
      <c r="D873" s="4"/>
      <c r="F873" s="5"/>
      <c r="G873" s="6"/>
      <c r="I873" s="7"/>
      <c r="S873" s="7"/>
    </row>
    <row r="874">
      <c r="D874" s="4"/>
      <c r="F874" s="5"/>
      <c r="G874" s="6"/>
      <c r="I874" s="7"/>
      <c r="S874" s="7"/>
    </row>
    <row r="875">
      <c r="D875" s="4"/>
      <c r="F875" s="5"/>
      <c r="G875" s="6"/>
      <c r="I875" s="7"/>
      <c r="S875" s="7"/>
    </row>
    <row r="876">
      <c r="D876" s="4"/>
      <c r="F876" s="5"/>
      <c r="G876" s="6"/>
      <c r="I876" s="7"/>
      <c r="S876" s="7"/>
    </row>
    <row r="877">
      <c r="D877" s="4"/>
      <c r="F877" s="5"/>
      <c r="G877" s="6"/>
      <c r="I877" s="7"/>
      <c r="S877" s="7"/>
    </row>
    <row r="878">
      <c r="D878" s="4"/>
      <c r="F878" s="5"/>
      <c r="G878" s="6"/>
      <c r="I878" s="7"/>
      <c r="S878" s="7"/>
    </row>
    <row r="879">
      <c r="D879" s="4"/>
      <c r="F879" s="5"/>
      <c r="G879" s="6"/>
      <c r="I879" s="7"/>
      <c r="S879" s="7"/>
    </row>
    <row r="880">
      <c r="D880" s="4"/>
      <c r="F880" s="5"/>
      <c r="G880" s="6"/>
      <c r="I880" s="7"/>
      <c r="S880" s="7"/>
    </row>
    <row r="881">
      <c r="D881" s="4"/>
      <c r="F881" s="5"/>
      <c r="G881" s="6"/>
      <c r="I881" s="7"/>
      <c r="S881" s="7"/>
    </row>
    <row r="882">
      <c r="D882" s="4"/>
      <c r="F882" s="5"/>
      <c r="G882" s="6"/>
      <c r="I882" s="7"/>
      <c r="S882" s="7"/>
    </row>
    <row r="883">
      <c r="D883" s="4"/>
      <c r="F883" s="5"/>
      <c r="G883" s="6"/>
      <c r="I883" s="7"/>
      <c r="S883" s="7"/>
    </row>
    <row r="884">
      <c r="D884" s="4"/>
      <c r="F884" s="5"/>
      <c r="G884" s="6"/>
      <c r="I884" s="7"/>
      <c r="S884" s="7"/>
    </row>
    <row r="885">
      <c r="D885" s="4"/>
      <c r="F885" s="5"/>
      <c r="G885" s="6"/>
      <c r="I885" s="7"/>
      <c r="S885" s="7"/>
    </row>
    <row r="886">
      <c r="D886" s="4"/>
      <c r="F886" s="5"/>
      <c r="G886" s="6"/>
      <c r="I886" s="7"/>
      <c r="S886" s="7"/>
    </row>
    <row r="887">
      <c r="D887" s="4"/>
      <c r="F887" s="5"/>
      <c r="G887" s="6"/>
      <c r="I887" s="7"/>
      <c r="S887" s="7"/>
    </row>
    <row r="888">
      <c r="D888" s="4"/>
      <c r="F888" s="5"/>
      <c r="G888" s="6"/>
      <c r="I888" s="7"/>
      <c r="S888" s="7"/>
    </row>
    <row r="889">
      <c r="D889" s="4"/>
      <c r="F889" s="5"/>
      <c r="G889" s="6"/>
      <c r="I889" s="7"/>
      <c r="S889" s="7"/>
    </row>
    <row r="890">
      <c r="D890" s="4"/>
      <c r="F890" s="5"/>
      <c r="G890" s="6"/>
      <c r="I890" s="7"/>
      <c r="S890" s="7"/>
    </row>
    <row r="891">
      <c r="D891" s="4"/>
      <c r="F891" s="5"/>
      <c r="G891" s="6"/>
      <c r="I891" s="7"/>
      <c r="S891" s="7"/>
    </row>
    <row r="892">
      <c r="D892" s="4"/>
      <c r="F892" s="5"/>
      <c r="G892" s="6"/>
      <c r="I892" s="7"/>
      <c r="S892" s="7"/>
    </row>
    <row r="893">
      <c r="D893" s="4"/>
      <c r="F893" s="5"/>
      <c r="G893" s="6"/>
      <c r="I893" s="7"/>
      <c r="S893" s="7"/>
    </row>
    <row r="894">
      <c r="D894" s="4"/>
      <c r="F894" s="5"/>
      <c r="G894" s="6"/>
      <c r="I894" s="7"/>
      <c r="S894" s="7"/>
    </row>
    <row r="895">
      <c r="D895" s="4"/>
      <c r="F895" s="5"/>
      <c r="G895" s="6"/>
      <c r="I895" s="7"/>
      <c r="S895" s="7"/>
    </row>
    <row r="896">
      <c r="D896" s="4"/>
      <c r="F896" s="5"/>
      <c r="G896" s="6"/>
      <c r="I896" s="7"/>
      <c r="S896" s="7"/>
    </row>
    <row r="897">
      <c r="D897" s="4"/>
      <c r="F897" s="5"/>
      <c r="G897" s="6"/>
      <c r="I897" s="7"/>
      <c r="S897" s="7"/>
    </row>
    <row r="898">
      <c r="D898" s="4"/>
      <c r="F898" s="5"/>
      <c r="G898" s="6"/>
      <c r="I898" s="7"/>
      <c r="S898" s="7"/>
    </row>
    <row r="899">
      <c r="D899" s="4"/>
      <c r="F899" s="5"/>
      <c r="G899" s="6"/>
      <c r="I899" s="7"/>
      <c r="S899" s="7"/>
    </row>
    <row r="900">
      <c r="D900" s="4"/>
      <c r="F900" s="5"/>
      <c r="G900" s="6"/>
      <c r="I900" s="7"/>
      <c r="S900" s="7"/>
    </row>
    <row r="901">
      <c r="D901" s="4"/>
      <c r="F901" s="5"/>
      <c r="G901" s="6"/>
      <c r="I901" s="7"/>
      <c r="S901" s="7"/>
    </row>
    <row r="902">
      <c r="D902" s="4"/>
      <c r="F902" s="5"/>
      <c r="G902" s="6"/>
      <c r="I902" s="7"/>
      <c r="S902" s="7"/>
    </row>
    <row r="903">
      <c r="D903" s="4"/>
      <c r="F903" s="5"/>
      <c r="G903" s="6"/>
      <c r="I903" s="7"/>
      <c r="S903" s="7"/>
    </row>
    <row r="904">
      <c r="D904" s="4"/>
      <c r="F904" s="5"/>
      <c r="G904" s="6"/>
      <c r="I904" s="7"/>
      <c r="S904" s="7"/>
    </row>
    <row r="905">
      <c r="D905" s="4"/>
      <c r="F905" s="5"/>
      <c r="G905" s="6"/>
      <c r="I905" s="7"/>
      <c r="S905" s="7"/>
    </row>
    <row r="906">
      <c r="D906" s="4"/>
      <c r="F906" s="5"/>
      <c r="G906" s="6"/>
      <c r="I906" s="7"/>
      <c r="S906" s="7"/>
    </row>
    <row r="907">
      <c r="D907" s="4"/>
      <c r="F907" s="5"/>
      <c r="G907" s="6"/>
      <c r="I907" s="7"/>
      <c r="S907" s="7"/>
    </row>
    <row r="908">
      <c r="D908" s="4"/>
      <c r="F908" s="5"/>
      <c r="G908" s="6"/>
      <c r="I908" s="7"/>
      <c r="S908" s="7"/>
    </row>
    <row r="909">
      <c r="D909" s="4"/>
      <c r="F909" s="5"/>
      <c r="G909" s="6"/>
      <c r="I909" s="7"/>
      <c r="S909" s="7"/>
    </row>
    <row r="910">
      <c r="D910" s="4"/>
      <c r="F910" s="5"/>
      <c r="G910" s="6"/>
      <c r="I910" s="7"/>
      <c r="S910" s="7"/>
    </row>
    <row r="911">
      <c r="D911" s="4"/>
      <c r="F911" s="5"/>
      <c r="G911" s="6"/>
      <c r="I911" s="7"/>
      <c r="S911" s="7"/>
    </row>
    <row r="912">
      <c r="D912" s="4"/>
      <c r="F912" s="5"/>
      <c r="G912" s="6"/>
      <c r="I912" s="7"/>
      <c r="S912" s="7"/>
    </row>
    <row r="913">
      <c r="D913" s="4"/>
      <c r="F913" s="5"/>
      <c r="G913" s="6"/>
      <c r="I913" s="7"/>
      <c r="S913" s="7"/>
    </row>
    <row r="914">
      <c r="D914" s="4"/>
      <c r="F914" s="5"/>
      <c r="G914" s="6"/>
      <c r="I914" s="7"/>
      <c r="S914" s="7"/>
    </row>
    <row r="915">
      <c r="D915" s="4"/>
      <c r="F915" s="5"/>
      <c r="G915" s="6"/>
      <c r="I915" s="7"/>
      <c r="S915" s="7"/>
    </row>
    <row r="916">
      <c r="D916" s="4"/>
      <c r="F916" s="5"/>
      <c r="G916" s="6"/>
      <c r="I916" s="7"/>
      <c r="S916" s="7"/>
    </row>
    <row r="917">
      <c r="D917" s="4"/>
      <c r="F917" s="5"/>
      <c r="G917" s="6"/>
      <c r="I917" s="7"/>
      <c r="S917" s="7"/>
    </row>
    <row r="918">
      <c r="D918" s="4"/>
      <c r="F918" s="5"/>
      <c r="G918" s="6"/>
      <c r="I918" s="7"/>
      <c r="S918" s="7"/>
    </row>
    <row r="919">
      <c r="D919" s="4"/>
      <c r="F919" s="5"/>
      <c r="G919" s="6"/>
      <c r="I919" s="7"/>
      <c r="S919" s="7"/>
    </row>
    <row r="920">
      <c r="D920" s="4"/>
      <c r="F920" s="5"/>
      <c r="G920" s="6"/>
      <c r="I920" s="7"/>
      <c r="S920" s="7"/>
    </row>
    <row r="921">
      <c r="D921" s="4"/>
      <c r="F921" s="5"/>
      <c r="G921" s="6"/>
      <c r="I921" s="7"/>
      <c r="S921" s="7"/>
    </row>
    <row r="922">
      <c r="D922" s="4"/>
      <c r="F922" s="5"/>
      <c r="G922" s="6"/>
      <c r="I922" s="7"/>
      <c r="S922" s="7"/>
    </row>
    <row r="923">
      <c r="D923" s="4"/>
      <c r="F923" s="5"/>
      <c r="G923" s="6"/>
      <c r="I923" s="7"/>
      <c r="S923" s="7"/>
    </row>
    <row r="924">
      <c r="D924" s="4"/>
      <c r="F924" s="5"/>
      <c r="G924" s="6"/>
      <c r="I924" s="7"/>
      <c r="S924" s="7"/>
    </row>
    <row r="925">
      <c r="D925" s="4"/>
      <c r="F925" s="5"/>
      <c r="G925" s="6"/>
      <c r="I925" s="7"/>
      <c r="S925" s="7"/>
    </row>
    <row r="926">
      <c r="D926" s="4"/>
      <c r="F926" s="5"/>
      <c r="G926" s="6"/>
      <c r="I926" s="7"/>
      <c r="S926" s="7"/>
    </row>
    <row r="927">
      <c r="D927" s="4"/>
      <c r="F927" s="5"/>
      <c r="G927" s="6"/>
      <c r="I927" s="7"/>
      <c r="S927" s="7"/>
    </row>
    <row r="928">
      <c r="D928" s="4"/>
      <c r="F928" s="5"/>
      <c r="G928" s="6"/>
      <c r="I928" s="7"/>
      <c r="S928" s="7"/>
    </row>
    <row r="929">
      <c r="D929" s="4"/>
      <c r="F929" s="5"/>
      <c r="G929" s="6"/>
      <c r="I929" s="7"/>
      <c r="S929" s="7"/>
    </row>
    <row r="930">
      <c r="D930" s="4"/>
      <c r="F930" s="5"/>
      <c r="G930" s="6"/>
      <c r="I930" s="7"/>
      <c r="S930" s="7"/>
    </row>
    <row r="931">
      <c r="D931" s="4"/>
      <c r="F931" s="5"/>
      <c r="G931" s="6"/>
      <c r="I931" s="7"/>
      <c r="S931" s="7"/>
    </row>
    <row r="932">
      <c r="D932" s="4"/>
      <c r="F932" s="5"/>
      <c r="G932" s="6"/>
      <c r="I932" s="7"/>
      <c r="S932" s="7"/>
    </row>
    <row r="933">
      <c r="D933" s="4"/>
      <c r="F933" s="5"/>
      <c r="G933" s="6"/>
      <c r="I933" s="7"/>
      <c r="S933" s="7"/>
    </row>
    <row r="934">
      <c r="D934" s="4"/>
      <c r="F934" s="5"/>
      <c r="G934" s="6"/>
      <c r="I934" s="7"/>
      <c r="S934" s="7"/>
    </row>
    <row r="935">
      <c r="D935" s="4"/>
      <c r="F935" s="5"/>
      <c r="G935" s="6"/>
      <c r="I935" s="7"/>
      <c r="S935" s="7"/>
    </row>
    <row r="936">
      <c r="D936" s="4"/>
      <c r="F936" s="5"/>
      <c r="G936" s="6"/>
      <c r="I936" s="7"/>
      <c r="S936" s="7"/>
    </row>
    <row r="937">
      <c r="D937" s="4"/>
      <c r="F937" s="5"/>
      <c r="G937" s="6"/>
      <c r="I937" s="7"/>
      <c r="S937" s="7"/>
    </row>
    <row r="938">
      <c r="D938" s="4"/>
      <c r="F938" s="5"/>
      <c r="G938" s="6"/>
      <c r="I938" s="7"/>
      <c r="S938" s="7"/>
    </row>
    <row r="939">
      <c r="D939" s="4"/>
      <c r="F939" s="5"/>
      <c r="G939" s="6"/>
      <c r="I939" s="7"/>
      <c r="S939" s="7"/>
    </row>
    <row r="940">
      <c r="D940" s="4"/>
      <c r="F940" s="5"/>
      <c r="G940" s="6"/>
      <c r="I940" s="7"/>
      <c r="S940" s="7"/>
    </row>
    <row r="941">
      <c r="D941" s="4"/>
      <c r="F941" s="5"/>
      <c r="G941" s="6"/>
      <c r="I941" s="7"/>
      <c r="S941" s="7"/>
    </row>
    <row r="942">
      <c r="D942" s="4"/>
      <c r="F942" s="5"/>
      <c r="G942" s="6"/>
      <c r="I942" s="7"/>
      <c r="S942" s="7"/>
    </row>
    <row r="943">
      <c r="D943" s="4"/>
      <c r="F943" s="5"/>
      <c r="G943" s="6"/>
      <c r="I943" s="7"/>
      <c r="S943" s="7"/>
    </row>
    <row r="944">
      <c r="D944" s="4"/>
      <c r="F944" s="5"/>
      <c r="G944" s="6"/>
      <c r="I944" s="7"/>
      <c r="S944" s="7"/>
    </row>
    <row r="945">
      <c r="D945" s="4"/>
      <c r="F945" s="5"/>
      <c r="G945" s="6"/>
      <c r="I945" s="7"/>
      <c r="S945" s="7"/>
    </row>
    <row r="946">
      <c r="D946" s="4"/>
      <c r="F946" s="5"/>
      <c r="G946" s="6"/>
      <c r="I946" s="7"/>
      <c r="S946" s="7"/>
    </row>
    <row r="947">
      <c r="D947" s="4"/>
      <c r="F947" s="5"/>
      <c r="G947" s="6"/>
      <c r="I947" s="7"/>
      <c r="S947" s="7"/>
    </row>
    <row r="948">
      <c r="D948" s="4"/>
      <c r="F948" s="5"/>
      <c r="G948" s="6"/>
      <c r="I948" s="7"/>
      <c r="S948" s="7"/>
    </row>
    <row r="949">
      <c r="D949" s="4"/>
      <c r="F949" s="5"/>
      <c r="G949" s="6"/>
      <c r="I949" s="7"/>
      <c r="S949" s="7"/>
    </row>
    <row r="950">
      <c r="D950" s="4"/>
      <c r="F950" s="5"/>
      <c r="G950" s="6"/>
      <c r="I950" s="7"/>
      <c r="S950" s="7"/>
    </row>
    <row r="951">
      <c r="D951" s="4"/>
      <c r="F951" s="5"/>
      <c r="G951" s="6"/>
      <c r="I951" s="7"/>
      <c r="S951" s="7"/>
    </row>
    <row r="952">
      <c r="D952" s="4"/>
      <c r="F952" s="5"/>
      <c r="G952" s="6"/>
      <c r="I952" s="7"/>
      <c r="S952" s="7"/>
    </row>
    <row r="953">
      <c r="D953" s="4"/>
      <c r="F953" s="5"/>
      <c r="G953" s="6"/>
      <c r="I953" s="7"/>
      <c r="S953" s="7"/>
    </row>
    <row r="954">
      <c r="D954" s="4"/>
      <c r="F954" s="5"/>
      <c r="G954" s="6"/>
      <c r="I954" s="7"/>
      <c r="S954" s="7"/>
    </row>
    <row r="955">
      <c r="D955" s="4"/>
      <c r="F955" s="5"/>
      <c r="G955" s="6"/>
      <c r="I955" s="7"/>
      <c r="S955" s="7"/>
    </row>
    <row r="956">
      <c r="D956" s="4"/>
      <c r="F956" s="5"/>
      <c r="G956" s="6"/>
      <c r="I956" s="7"/>
      <c r="S956" s="7"/>
    </row>
    <row r="957">
      <c r="D957" s="4"/>
      <c r="F957" s="5"/>
      <c r="G957" s="6"/>
      <c r="I957" s="7"/>
      <c r="S957" s="7"/>
    </row>
    <row r="958">
      <c r="D958" s="4"/>
      <c r="F958" s="5"/>
      <c r="G958" s="6"/>
      <c r="I958" s="7"/>
      <c r="S958" s="7"/>
    </row>
    <row r="959">
      <c r="D959" s="4"/>
      <c r="F959" s="5"/>
      <c r="G959" s="6"/>
      <c r="I959" s="7"/>
      <c r="S959" s="7"/>
    </row>
    <row r="960">
      <c r="D960" s="4"/>
      <c r="F960" s="5"/>
      <c r="G960" s="6"/>
      <c r="I960" s="7"/>
      <c r="S960" s="7"/>
    </row>
    <row r="961">
      <c r="D961" s="4"/>
      <c r="F961" s="5"/>
      <c r="G961" s="6"/>
      <c r="I961" s="7"/>
      <c r="S961" s="7"/>
    </row>
    <row r="962">
      <c r="D962" s="4"/>
      <c r="F962" s="5"/>
      <c r="G962" s="6"/>
      <c r="I962" s="7"/>
      <c r="S962" s="7"/>
    </row>
    <row r="963">
      <c r="D963" s="4"/>
      <c r="F963" s="5"/>
      <c r="G963" s="6"/>
      <c r="I963" s="7"/>
      <c r="S963" s="7"/>
    </row>
    <row r="964">
      <c r="D964" s="4"/>
      <c r="F964" s="5"/>
      <c r="G964" s="6"/>
      <c r="I964" s="7"/>
      <c r="S964" s="7"/>
    </row>
    <row r="965">
      <c r="D965" s="4"/>
      <c r="F965" s="5"/>
      <c r="G965" s="6"/>
      <c r="I965" s="7"/>
      <c r="S965" s="7"/>
    </row>
    <row r="966">
      <c r="D966" s="4"/>
      <c r="F966" s="5"/>
      <c r="G966" s="6"/>
      <c r="I966" s="7"/>
      <c r="S966" s="7"/>
    </row>
    <row r="967">
      <c r="D967" s="4"/>
      <c r="F967" s="5"/>
      <c r="G967" s="6"/>
      <c r="I967" s="7"/>
      <c r="S967" s="7"/>
    </row>
    <row r="968">
      <c r="D968" s="4"/>
      <c r="F968" s="5"/>
      <c r="G968" s="6"/>
      <c r="I968" s="7"/>
      <c r="S968" s="7"/>
    </row>
    <row r="969">
      <c r="D969" s="4"/>
      <c r="F969" s="5"/>
      <c r="G969" s="6"/>
      <c r="I969" s="7"/>
      <c r="S969" s="7"/>
    </row>
    <row r="970">
      <c r="D970" s="4"/>
      <c r="F970" s="5"/>
      <c r="G970" s="6"/>
      <c r="I970" s="7"/>
      <c r="S970" s="7"/>
    </row>
    <row r="971">
      <c r="D971" s="4"/>
      <c r="F971" s="5"/>
      <c r="G971" s="6"/>
      <c r="I971" s="7"/>
      <c r="S971" s="7"/>
    </row>
    <row r="972">
      <c r="D972" s="4"/>
      <c r="F972" s="5"/>
      <c r="G972" s="6"/>
      <c r="I972" s="7"/>
      <c r="S972" s="7"/>
    </row>
    <row r="973">
      <c r="D973" s="4"/>
      <c r="F973" s="5"/>
      <c r="G973" s="6"/>
      <c r="I973" s="7"/>
      <c r="S973" s="7"/>
    </row>
    <row r="974">
      <c r="D974" s="4"/>
      <c r="F974" s="5"/>
      <c r="G974" s="6"/>
      <c r="I974" s="7"/>
      <c r="S974" s="7"/>
    </row>
    <row r="975">
      <c r="D975" s="4"/>
      <c r="F975" s="5"/>
      <c r="G975" s="6"/>
      <c r="I975" s="7"/>
      <c r="S975" s="7"/>
    </row>
    <row r="976">
      <c r="D976" s="4"/>
      <c r="F976" s="5"/>
      <c r="G976" s="6"/>
      <c r="I976" s="7"/>
      <c r="S976" s="7"/>
    </row>
    <row r="977">
      <c r="D977" s="4"/>
      <c r="F977" s="5"/>
      <c r="G977" s="6"/>
      <c r="I977" s="7"/>
      <c r="S977" s="7"/>
    </row>
    <row r="978">
      <c r="D978" s="4"/>
      <c r="F978" s="5"/>
      <c r="G978" s="6"/>
      <c r="I978" s="7"/>
      <c r="S978" s="7"/>
    </row>
    <row r="979">
      <c r="D979" s="4"/>
      <c r="F979" s="5"/>
      <c r="G979" s="6"/>
      <c r="I979" s="7"/>
      <c r="S979" s="7"/>
    </row>
    <row r="980">
      <c r="D980" s="4"/>
      <c r="F980" s="5"/>
      <c r="G980" s="6"/>
      <c r="I980" s="7"/>
      <c r="S980" s="7"/>
    </row>
    <row r="981">
      <c r="D981" s="4"/>
      <c r="F981" s="5"/>
      <c r="G981" s="6"/>
      <c r="I981" s="7"/>
      <c r="S981" s="7"/>
    </row>
    <row r="982">
      <c r="D982" s="4"/>
      <c r="F982" s="5"/>
      <c r="G982" s="6"/>
      <c r="I982" s="7"/>
      <c r="S982" s="7"/>
    </row>
    <row r="983">
      <c r="D983" s="4"/>
      <c r="F983" s="5"/>
      <c r="G983" s="6"/>
      <c r="I983" s="7"/>
      <c r="S983" s="7"/>
    </row>
    <row r="984">
      <c r="D984" s="4"/>
      <c r="F984" s="5"/>
      <c r="G984" s="6"/>
      <c r="I984" s="7"/>
      <c r="S984" s="7"/>
    </row>
    <row r="985">
      <c r="D985" s="4"/>
      <c r="F985" s="5"/>
      <c r="G985" s="6"/>
      <c r="I985" s="7"/>
      <c r="S985" s="7"/>
    </row>
    <row r="986">
      <c r="D986" s="4"/>
      <c r="F986" s="5"/>
      <c r="G986" s="6"/>
      <c r="I986" s="7"/>
      <c r="S986" s="7"/>
    </row>
    <row r="987">
      <c r="D987" s="4"/>
      <c r="F987" s="5"/>
      <c r="G987" s="6"/>
      <c r="I987" s="7"/>
      <c r="S987" s="7"/>
    </row>
    <row r="988">
      <c r="D988" s="4"/>
      <c r="F988" s="5"/>
      <c r="G988" s="6"/>
      <c r="I988" s="7"/>
      <c r="S988" s="7"/>
    </row>
    <row r="989">
      <c r="D989" s="4"/>
      <c r="F989" s="5"/>
      <c r="G989" s="6"/>
      <c r="I989" s="7"/>
      <c r="S989" s="7"/>
    </row>
    <row r="990">
      <c r="D990" s="4"/>
      <c r="F990" s="5"/>
      <c r="G990" s="6"/>
      <c r="I990" s="7"/>
      <c r="S990" s="7"/>
    </row>
    <row r="991">
      <c r="D991" s="4"/>
      <c r="F991" s="5"/>
      <c r="G991" s="6"/>
      <c r="I991" s="7"/>
      <c r="S991" s="7"/>
    </row>
    <row r="992">
      <c r="D992" s="4"/>
      <c r="F992" s="5"/>
      <c r="G992" s="6"/>
      <c r="I992" s="7"/>
      <c r="S992" s="7"/>
    </row>
    <row r="993">
      <c r="D993" s="4"/>
      <c r="F993" s="5"/>
      <c r="G993" s="6"/>
      <c r="I993" s="7"/>
      <c r="S993" s="7"/>
    </row>
    <row r="994">
      <c r="D994" s="4"/>
      <c r="F994" s="5"/>
      <c r="G994" s="6"/>
      <c r="I994" s="7"/>
      <c r="S994" s="7"/>
    </row>
    <row r="995">
      <c r="D995" s="4"/>
      <c r="F995" s="5"/>
      <c r="G995" s="6"/>
      <c r="I995" s="7"/>
      <c r="S995" s="7"/>
    </row>
    <row r="996">
      <c r="D996" s="4"/>
      <c r="F996" s="5"/>
      <c r="G996" s="6"/>
      <c r="I996" s="7"/>
      <c r="S996" s="7"/>
    </row>
    <row r="997">
      <c r="D997" s="4"/>
      <c r="F997" s="5"/>
      <c r="G997" s="6"/>
      <c r="I997" s="7"/>
      <c r="S997" s="7"/>
    </row>
    <row r="998">
      <c r="D998" s="4"/>
      <c r="F998" s="5"/>
      <c r="G998" s="6"/>
      <c r="I998" s="7"/>
      <c r="S998" s="7"/>
    </row>
    <row r="999">
      <c r="D999" s="4"/>
      <c r="F999" s="5"/>
      <c r="G999" s="6"/>
      <c r="I999" s="7"/>
      <c r="S999" s="7"/>
    </row>
    <row r="1000">
      <c r="D1000" s="4"/>
      <c r="F1000" s="5"/>
      <c r="G1000" s="6"/>
      <c r="I1000" s="7"/>
      <c r="S1000" s="7"/>
    </row>
  </sheetData>
  <mergeCells count="1">
    <mergeCell ref="E96:I96"/>
  </mergeCells>
  <drawing r:id="rId5"/>
</worksheet>
</file>